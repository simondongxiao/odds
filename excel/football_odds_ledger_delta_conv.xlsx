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476b70898b48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5a55be519164cf8"/>
    <x:sheet xmlns:r="http://schemas.openxmlformats.org/officeDocument/2006/relationships" name="赛事明细" sheetId="2" r:id="R1dba3f391a234bf8"/>
    <x:sheet xmlns:r="http://schemas.openxmlformats.org/officeDocument/2006/relationships" name="更新日志" sheetId="3" r:id="R81552b98ceb94ba6"/>
    <x:sheet xmlns:r="http://schemas.openxmlformats.org/officeDocument/2006/relationships" name="分类统计" sheetId="4" r:id="R3d24fa0fd8a44344"/>
    <x:sheet xmlns:r="http://schemas.openxmlformats.org/officeDocument/2006/relationships" name="意图正反统计" sheetId="5" r:id="R1374e6ec675b4135"/>
    <x:sheet xmlns:r="http://schemas.openxmlformats.org/officeDocument/2006/relationships" name="Delta回测" sheetId="6" r:id="Ree50510a75034218"/>
    <x:sheet xmlns:r="http://schemas.openxmlformats.org/officeDocument/2006/relationships" name="周中周末盘口" sheetId="7" r:id="Rb705484b21e24b9b"/>
    <x:sheet xmlns:r="http://schemas.openxmlformats.org/officeDocument/2006/relationships" name="联赛方向周中周末" sheetId="8" r:id="R9511eb7d31f2488f"/>
  </x:sheets>
</x:workbook>
</file>

<file path=xl/sharedStrings.xml><?xml version="1.0" encoding="utf-8"?>
<x:sst xmlns:x="http://schemas.openxmlformats.org/spreadsheetml/2006/main">
  <x:si>
    <x:t xml:space="preserve">足球亚盘可投注赛事盈亏账本</x:t>
  </x:si>
  <x:si>
    <x:t xml:space="preserve">数据源</x:t>
  </x:si>
  <x:si>
    <x:t xml:space="preserve">GitHub V3 Legacy 最新版（完整链接见更新日志）</x:t>
  </x:si>
  <x:si>
    <x:t xml:space="preserve">结算分布（已结算）</x:t>
  </x:si>
  <x:si>
    <x:t xml:space="preserve">页面更新时间</x:t>
  </x:si>
  <x:si>
    <x:t xml:space="preserve">2026-09-30 11:15（北京时间）</x:t>
  </x:si>
  <x:si>
    <x:t xml:space="preserve">结果</x:t>
  </x:si>
  <x:si>
    <x:t xml:space="preserve">场次</x:t>
  </x:si>
  <x:si>
    <x:t xml:space="preserve">说明</x:t>
  </x:si>
  <x:si>
    <x:t xml:space="preserve">本次筛选日期</x:t>
  </x:si>
  <x:si>
    <x:t xml:space="preserve">覆盖记账日：2026-09-01至2026-09-29；新增9/29当前GitHub页面可投赛事</x:t>
  </x:si>
  <x:si>
    <x:t xml:space="preserve">红</x:t>
  </x:si>
  <x:si>
    <x:t xml:space="preserve">+即时水位</x:t>
  </x:si>
  <x:si>
    <x:t xml:space="preserve">网页可投注场次</x:t>
  </x:si>
  <x:si>
    <x:t xml:space="preserve">半红</x:t>
  </x:si>
  <x:si>
    <x:t xml:space="preserve">+0.5即时水位</x:t>
  </x:si>
  <x:si>
    <x:t xml:space="preserve">已结算场次</x:t>
  </x:si>
  <x:si>
    <x:t xml:space="preserve">走</x:t>
  </x:si>
  <x:si>
    <x:t xml:space="preserve">退回本金</x:t>
  </x:si>
  <x:si>
    <x:t xml:space="preserve">待结算场次</x:t>
  </x:si>
  <x:si>
    <x:t xml:space="preserve">半黑</x:t>
  </x:si>
  <x:si>
    <x:t xml:space="preserve">-0.5u</x:t>
  </x:si>
  <x:si>
    <x:t xml:space="preserve">总盈亏（u）</x:t>
  </x:si>
  <x:si>
    <x:t xml:space="preserve">黑</x:t>
  </x:si>
  <x:si>
    <x:t xml:space="preserve">-1u</x:t>
  </x:si>
  <x:si>
    <x:t xml:space="preserve">ROI</x:t>
  </x:si>
  <x:si>
    <x:t xml:space="preserve">26</x:t>
  </x:si>
  <x:si>
    <x:t xml:space="preserve">09/29–09/29 每日更新（北京时间12:00至次日12:00）</x:t>
  </x:si>
  <x:si>
    <x:t xml:space="preserve">统计日</x:t>
  </x:si>
  <x:si>
    <x:t xml:space="preserve">入选场次</x:t>
  </x:si>
  <x:si>
    <x:t xml:space="preserve">已结算</x:t>
  </x:si>
  <x:si>
    <x:t xml:space="preserve">有效胜率</x:t>
  </x:si>
  <x:si>
    <x:t xml:space="preserve">盈亏(u)</x:t>
  </x:si>
  <x:si>
    <x:t xml:space="preserve">2026-09-29</x:t>
  </x:si>
  <x:si>
    <x:t xml:space="preserve">均注1u；有效胜率=(红+0.5×半红)/(红+0.5×半红+黑+0.5×半黑)，走盘不进胜率分母。ROI=盈亏÷已结算场次；待核实与未完赛不计入盈亏。</x:t>
  </x:si>
  <x:si>
    <x:t xml:space="preserve">赛事明细｜按网页“筛选当日可投注赛事”结果记录</x:t>
  </x:si>
  <x:si>
    <x:t xml:space="preserve">正向=当前“投注方”的结算；反向=相反投注方的结算。新增U:W列用于反向回测，反向红黑按红↔黑、半红↔半黑、走↔走映射，反向水位取即时另一方水位。</x:t>
  </x:si>
  <x:si>
    <x:t xml:space="preserve">日期筛选</x:t>
  </x:si>
  <x:si>
    <x:t xml:space="preserve">比赛时间</x:t>
  </x:si>
  <x:si>
    <x:t xml:space="preserve">地区分布</x:t>
  </x:si>
  <x:si>
    <x:t xml:space="preserve">赛事类型</x:t>
  </x:si>
  <x:si>
    <x:t xml:space="preserve">联赛/杯赛</x:t>
  </x:si>
  <x:si>
    <x:t xml:space="preserve">具体比赛</x:t>
  </x:si>
  <x:si>
    <x:t xml:space="preserve">即时主水</x:t>
  </x:si>
  <x:si>
    <x:t xml:space="preserve">即时盘口</x:t>
  </x:si>
  <x:si>
    <x:t xml:space="preserve">即时客水</x:t>
  </x:si>
  <x:si>
    <x:t xml:space="preserve">即时亚盘文本</x:t>
  </x:si>
  <x:si>
    <x:t xml:space="preserve">亚盘意图</x:t>
  </x:si>
  <x:si>
    <x:t xml:space="preserve">投注方</x:t>
  </x:si>
  <x:si>
    <x:t xml:space="preserve">综合胜率</x:t>
  </x:si>
  <x:si>
    <x:t xml:space="preserve">投注动作</x:t>
  </x:si>
  <x:si>
    <x:t xml:space="preserve">赛果</x:t>
  </x:si>
  <x:si>
    <x:t xml:space="preserve">结算状态</x:t>
  </x:si>
  <x:si>
    <x:t xml:space="preserve">红黑</x:t>
  </x:si>
  <x:si>
    <x:t xml:space="preserve">投注水位</x:t>
  </x:si>
  <x:si>
    <x:t xml:space="preserve">来源</x:t>
  </x:si>
  <x:si>
    <x:t xml:space="preserve">反向红黑</x:t>
  </x:si>
  <x:si>
    <x:t xml:space="preserve">反向水位</x:t>
  </x:si>
  <x:si>
    <x:t xml:space="preserve">反向盈亏(u)</x:t>
  </x:si>
  <x:si>
    <x:t xml:space="preserve">初盘主水</x:t>
  </x:si>
  <x:si>
    <x:t xml:space="preserve">初盘盘口</x:t>
  </x:si>
  <x:si>
    <x:t xml:space="preserve">初盘客水</x:t>
  </x:si>
  <x:si>
    <x:t xml:space="preserve">初盘选中盘口</x:t>
  </x:si>
  <x:si>
    <x:t xml:space="preserve">初盘投注水位</x:t>
  </x:si>
  <x:si>
    <x:t xml:space="preserve">即时投注水位</x:t>
  </x:si>
  <x:si>
    <x:t xml:space="preserve">即时主胜欧赔</x:t>
  </x:si>
  <x:si>
    <x:t xml:space="preserve">即时平局欧赔</x:t>
  </x:si>
  <x:si>
    <x:t xml:space="preserve">即时客胜欧赔</x:t>
  </x:si>
  <x:si>
    <x:t xml:space="preserve">欧赔实测抽水率</x:t>
  </x:si>
  <x:si>
    <x:t xml:space="preserve">相对5%抽水差</x:t>
  </x:si>
  <x:si>
    <x:t xml:space="preserve">去水主胜概率</x:t>
  </x:si>
  <x:si>
    <x:t xml:space="preserve">去水平局概率</x:t>
  </x:si>
  <x:si>
    <x:t xml:space="preserve">去水客胜概率</x:t>
  </x:si>
  <x:si>
    <x:t xml:space="preserve">拟合主队进球λ</x:t>
  </x:si>
  <x:si>
    <x:t xml:space="preserve">拟合客队进球λ</x:t>
  </x:si>
  <x:si>
    <x:t xml:space="preserve">1X2拟合RMSE</x:t>
  </x:si>
  <x:si>
    <x:t xml:space="preserve">欧转亚理论水位</x:t>
  </x:si>
  <x:si>
    <x:t xml:space="preserve">Delta_Conv</x:t>
  </x:si>
  <x:si>
    <x:t xml:space="preserve">Delta定价标签</x:t>
  </x:si>
  <x:si>
    <x:t xml:space="preserve">选中即时盘口</x:t>
  </x:si>
  <x:si>
    <x:t xml:space="preserve">理论赢结算权重</x:t>
  </x:si>
  <x:si>
    <x:t xml:space="preserve">理论输结算权重</x:t>
  </x:si>
  <x:si>
    <x:t xml:space="preserve">开盘主胜欧赔</x:t>
  </x:si>
  <x:si>
    <x:t xml:space="preserve">开盘平局欧赔</x:t>
  </x:si>
  <x:si>
    <x:t xml:space="preserve">开盘客胜欧赔</x:t>
  </x:si>
  <x:si>
    <x:t xml:space="preserve">赔率快照来源</x:t>
  </x:si>
  <x:si>
    <x:t xml:space="preserve">Delta计算状态</x:t>
  </x:si>
  <x:si>
    <x:t xml:space="preserve">2026-09-01</x:t>
  </x:si>
  <x:si>
    <x:t xml:space="preserve">2026-09-01 21:00</x:t>
  </x:si>
  <x:si>
    <x:t xml:space="preserve">欧洲非五大系列</x:t>
  </x:si>
  <x:si>
    <x:t xml:space="preserve">杯赛</x:t>
  </x:si>
  <x:si>
    <x:t xml:space="preserve">罗杯</x:t>
  </x:si>
  <x:si>
    <x:t xml:space="preserve">AFC布加勒斯特 vs 康戈迪亚齐安</x:t>
  </x:si>
  <x:si>
    <x:t xml:space="preserve">0.74/-1.75/0.96</x:t>
  </x:si>
  <x:si>
    <x:t xml:space="preserve">真实示强/阻上</x:t>
  </x:si>
  <x:si>
    <x:t xml:space="preserve">康戈迪亚齐安</x:t>
  </x:si>
  <x:si>
    <x:t xml:space="preserve">网页可投</x:t>
  </x:si>
  <x:si>
    <x:t xml:space="preserve">2-5</x:t>
  </x:si>
  <x:si>
    <x:t xml:space="preserve">https://simondongxiao.github.io/odds/</x:t>
  </x:si>
  <x:si>
    <x:t xml:space="preserve">压水/阻上</x:t>
  </x:si>
  <x:si>
    <x:t xml:space="preserve">work\odds-page-source\index.html</x:t>
  </x:si>
  <x:si>
    <x:t xml:space="preserve">已计算（同盘同水同欧赔时点）</x:t>
  </x:si>
  <x:si>
    <x:t xml:space="preserve">2026-09-02 00:00</x:t>
  </x:si>
  <x:si>
    <x:t xml:space="preserve">欧女杯</x:t>
  </x:si>
  <x:si>
    <x:t xml:space="preserve">奥地利维也纳女足 vs SK布兰女足</x:t>
  </x:si>
  <x:si>
    <x:t xml:space="preserve">0.89/-0.5/0.81</x:t>
  </x:si>
  <x:si>
    <x:t xml:space="preserve">诱上/阻下</x:t>
  </x:si>
  <x:si>
    <x:t xml:space="preserve">SK布兰女足</x:t>
  </x:si>
  <x:si>
    <x:t xml:space="preserve">4-0</x:t>
  </x:si>
  <x:si>
    <x:t xml:space="preserve">五大联赛杯赛</x:t>
  </x:si>
  <x:si>
    <x:t xml:space="preserve">意杯</x:t>
  </x:si>
  <x:si>
    <x:t xml:space="preserve">帕尔马 vs 克雷莫纳</x:t>
  </x:si>
  <x:si>
    <x:t xml:space="preserve">0.82/0.25/1.07</x:t>
  </x:si>
  <x:si>
    <x:t xml:space="preserve">帕尔马</x:t>
  </x:si>
  <x:si>
    <x:t xml:space="preserve">0-2</x:t>
  </x:si>
  <x:si>
    <x:t xml:space="preserve">2026-09-02 01:00</x:t>
  </x:si>
  <x:si>
    <x:t xml:space="preserve">联赛</x:t>
  </x:si>
  <x:si>
    <x:t xml:space="preserve">土甲</x:t>
  </x:si>
  <x:si>
    <x:t xml:space="preserve">波卢斯堡 vs 克斯欧仁古库</x:t>
  </x:si>
  <x:si>
    <x:t xml:space="preserve">0.97/-1/0.89</x:t>
  </x:si>
  <x:si>
    <x:t xml:space="preserve">克斯欧仁古库</x:t>
  </x:si>
  <x:si>
    <x:t xml:space="preserve">2026-09-02 01:30</x:t>
  </x:si>
  <x:si>
    <x:t xml:space="preserve">冰岛超</x:t>
  </x:si>
  <x:si>
    <x:t xml:space="preserve">KR雷克雅未克 vs 维京古尔</x:t>
  </x:si>
  <x:si>
    <x:t xml:space="preserve">1.06/-0.25/0.82</x:t>
  </x:si>
  <x:si>
    <x:t xml:space="preserve">维京古尔</x:t>
  </x:si>
  <x:si>
    <x:t xml:space="preserve">1-1</x:t>
  </x:si>
  <x:si>
    <x:t xml:space="preserve">2026-09-02 02:00</x:t>
  </x:si>
  <x:si>
    <x:t xml:space="preserve">南美系列</x:t>
  </x:si>
  <x:si>
    <x:t xml:space="preserve">乌拉杯</x:t>
  </x:si>
  <x:si>
    <x:t xml:space="preserve">科尔隆 vs 芬斯</x:t>
  </x:si>
  <x:si>
    <x:t xml:space="preserve">0.78/0/0.92</x:t>
  </x:si>
  <x:si>
    <x:t xml:space="preserve">降温保护/诱下</x:t>
  </x:si>
  <x:si>
    <x:t xml:space="preserve">芬斯</x:t>
  </x:si>
  <x:si>
    <x:t xml:space="preserve">3-3</x:t>
  </x:si>
  <x:si>
    <x:t xml:space="preserve">放水/高回报</x:t>
  </x:si>
  <x:si>
    <x:t xml:space="preserve">西亚/中亚系列</x:t>
  </x:si>
  <x:si>
    <x:t xml:space="preserve">沙特联</x:t>
  </x:si>
  <x:si>
    <x:t xml:space="preserve">利雅得新月 vs 吉达国民</x:t>
  </x:si>
  <x:si>
    <x:t xml:space="preserve">0.89/1/0.99</x:t>
  </x:si>
  <x:si>
    <x:t xml:space="preserve">吉达国民</x:t>
  </x:si>
  <x:si>
    <x:t xml:space="preserve">3-0</x:t>
  </x:si>
  <x:si>
    <x:t xml:space="preserve">放水/诱下</x:t>
  </x:si>
  <x:si>
    <x:t xml:space="preserve">2026-09-02 02:45</x:t>
  </x:si>
  <x:si>
    <x:t xml:space="preserve">五大联赛非顶级联赛</x:t>
  </x:si>
  <x:si>
    <x:t xml:space="preserve">英甲</x:t>
  </x:si>
  <x:si>
    <x:t xml:space="preserve">彼得堡联 vs 斯蒂文尼奇</x:t>
  </x:si>
  <x:si>
    <x:t xml:space="preserve">0.78/0/1.11</x:t>
  </x:si>
  <x:si>
    <x:t xml:space="preserve">彼得堡联</x:t>
  </x:si>
  <x:si>
    <x:t xml:space="preserve">0-0</x:t>
  </x:si>
  <x:si>
    <x:t xml:space="preserve">压水/低回报</x:t>
  </x:si>
  <x:si>
    <x:t xml:space="preserve">苏挑杯</x:t>
  </x:si>
  <x:si>
    <x:t xml:space="preserve">斯青威尔 vs 凯尔特人B队</x:t>
  </x:si>
  <x:si>
    <x:t xml:space="preserve">0.75/0.25/0.95</x:t>
  </x:si>
  <x:si>
    <x:t xml:space="preserve">斯青威尔</x:t>
  </x:si>
  <x:si>
    <x:t xml:space="preserve">3-4</x:t>
  </x:si>
  <x:si>
    <x:t xml:space="preserve">英冠</x:t>
  </x:si>
  <x:si>
    <x:t xml:space="preserve">斯旺西 vs 沃特福德</x:t>
  </x:si>
  <x:si>
    <x:t xml:space="preserve">0.86/0.5/1.02</x:t>
  </x:si>
  <x:si>
    <x:t xml:space="preserve">阻下/上盘保护</x:t>
  </x:si>
  <x:si>
    <x:t xml:space="preserve">沃特福德</x:t>
  </x:si>
  <x:si>
    <x:t xml:space="preserve">2-0</x:t>
  </x:si>
  <x:si>
    <x:t xml:space="preserve">唐卡斯特 vs 诺茨郡</x:t>
  </x:si>
  <x:si>
    <x:t xml:space="preserve">0.99/0.25/0.89</x:t>
  </x:si>
  <x:si>
    <x:t xml:space="preserve">唐卡斯特</x:t>
  </x:si>
  <x:si>
    <x:t xml:space="preserve">放水/诱上</x:t>
  </x:si>
  <x:si>
    <x:t xml:space="preserve">韦康比流浪者 vs 谢周三</x:t>
  </x:si>
  <x:si>
    <x:t xml:space="preserve">1.04/0/0.84</x:t>
  </x:si>
  <x:si>
    <x:t xml:space="preserve">谢周三</x:t>
  </x:si>
  <x:si>
    <x:t xml:space="preserve">1-2</x:t>
  </x:si>
  <x:si>
    <x:t xml:space="preserve">西汉姆联 vs 狼队</x:t>
  </x:si>
  <x:si>
    <x:t xml:space="preserve">0.80/0.25/1.08</x:t>
  </x:si>
  <x:si>
    <x:t xml:space="preserve">西汉姆联</x:t>
  </x:si>
  <x:si>
    <x:t xml:space="preserve">4-2</x:t>
  </x:si>
  <x:si>
    <x:t xml:space="preserve">正常定价</x:t>
  </x:si>
  <x:si>
    <x:t xml:space="preserve">谢菲尔德联队 vs 博尔顿</x:t>
  </x:si>
  <x:si>
    <x:t xml:space="preserve">0.79/0.75/1.09</x:t>
  </x:si>
  <x:si>
    <x:t xml:space="preserve">谢菲尔德联队</x:t>
  </x:si>
  <x:si>
    <x:t xml:space="preserve">3-2</x:t>
  </x:si>
  <x:si>
    <x:t xml:space="preserve">2026-09-02 03:00</x:t>
  </x:si>
  <x:si>
    <x:t xml:space="preserve">意丙杯</x:t>
  </x:si>
  <x:si>
    <x:t xml:space="preserve">巴里 vs AZ皮切尔诺</x:t>
  </x:si>
  <x:si>
    <x:t xml:space="preserve">1.00/1/0.76</x:t>
  </x:si>
  <x:si>
    <x:t xml:space="preserve">巴里</x:t>
  </x:si>
  <x:si>
    <x:t xml:space="preserve">伯明翰 vs 南安普敦</x:t>
  </x:si>
  <x:si>
    <x:t xml:space="preserve">0.82/0/1.06</x:t>
  </x:si>
  <x:si>
    <x:t xml:space="preserve">伯明翰</x:t>
  </x:si>
  <x:si>
    <x:t xml:space="preserve">都灵 vs 蒙扎</x:t>
  </x:si>
  <x:si>
    <x:t xml:space="preserve">1.02/0.75/0.87</x:t>
  </x:si>
  <x:si>
    <x:t xml:space="preserve">阻上/诱下</x:t>
  </x:si>
  <x:si>
    <x:t xml:space="preserve">都灵</x:t>
  </x:si>
  <x:si>
    <x:t xml:space="preserve">0-1</x:t>
  </x:si>
  <x:si>
    <x:t xml:space="preserve">巴拉甲秋</x:t>
  </x:si>
  <x:si>
    <x:t xml:space="preserve">鲁毕奥 vs 圣罗伦素体育会</x:t>
  </x:si>
  <x:si>
    <x:t xml:space="preserve">0.98/0.75/0.84</x:t>
  </x:si>
  <x:si>
    <x:t xml:space="preserve">诱下/上盘降温</x:t>
  </x:si>
  <x:si>
    <x:t xml:space="preserve">鲁毕奥</x:t>
  </x:si>
  <x:si>
    <x:t xml:space="preserve">3-1</x:t>
  </x:si>
  <x:si>
    <x:t xml:space="preserve">斯托克城 vs 诺维奇</x:t>
  </x:si>
  <x:si>
    <x:t xml:space="preserve">1.03/-0.25/0.85</x:t>
  </x:si>
  <x:si>
    <x:t xml:space="preserve">斯托克城</x:t>
  </x:si>
  <x:si>
    <x:t xml:space="preserve">1-0</x:t>
  </x:si>
  <x:si>
    <x:t xml:space="preserve">2026-09-02 05:00</x:t>
  </x:si>
  <x:si>
    <x:t xml:space="preserve">漫游者 vs 塞路</x:t>
  </x:si>
  <x:si>
    <x:t xml:space="preserve">0.77/0.25/0.93</x:t>
  </x:si>
  <x:si>
    <x:t xml:space="preserve">漫游者</x:t>
  </x:si>
  <x:si>
    <x:t xml:space="preserve">2026-09-02 06:00</x:t>
  </x:si>
  <x:si>
    <x:t xml:space="preserve">智利丙</x:t>
  </x:si>
  <x:si>
    <x:t xml:space="preserve">哥查瓜 vs 萨拉曼卡</x:t>
  </x:si>
  <x:si>
    <x:t xml:space="preserve">0.96/0.25/0.74</x:t>
  </x:si>
  <x:si>
    <x:t xml:space="preserve">哥查瓜</x:t>
  </x:si>
  <x:si>
    <x:t xml:space="preserve">2026-09-02 06:30</x:t>
  </x:si>
  <x:si>
    <x:t xml:space="preserve">巴西乙</x:t>
  </x:si>
  <x:si>
    <x:t xml:space="preserve">隆迪那 vs 尤文图德</x:t>
  </x:si>
  <x:si>
    <x:t xml:space="preserve">0.81/-0.25/1.07</x:t>
  </x:si>
  <x:si>
    <x:t xml:space="preserve">尤文图德</x:t>
  </x:si>
  <x:si>
    <x:t xml:space="preserve">2026-09-02 07:00</x:t>
  </x:si>
  <x:si>
    <x:t xml:space="preserve">加勒比杯</x:t>
  </x:si>
  <x:si>
    <x:t xml:space="preserve">国防部队 vs 三多俱乐部</x:t>
  </x:si>
  <x:si>
    <x:t xml:space="preserve">0.82/0.25/0.94</x:t>
  </x:si>
  <x:si>
    <x:t xml:space="preserve">国防部队</x:t>
  </x:si>
  <x:si>
    <x:t xml:space="preserve">2026-09-02 08:00</x:t>
  </x:si>
  <x:si>
    <x:t xml:space="preserve">厄瓜甲</x:t>
  </x:si>
  <x:si>
    <x:t xml:space="preserve">基多体育大学 vs 穆苏克鲁纳</x:t>
  </x:si>
  <x:si>
    <x:t xml:space="preserve">0.83/0.75/1.05</x:t>
  </x:si>
  <x:si>
    <x:t xml:space="preserve">基多体育大学</x:t>
  </x:si>
  <x:si>
    <x:t xml:space="preserve">work\odds-page-source\snapshots\2026-09-04_184454\index.html</x:t>
  </x:si>
  <x:si>
    <x:t xml:space="preserve">巴西杯</x:t>
  </x:si>
  <x:si>
    <x:t xml:space="preserve">米内罗竞技 vs 克鲁塞罗</x:t>
  </x:si>
  <x:si>
    <x:t xml:space="preserve">0.80/0/1.09</x:t>
  </x:si>
  <x:si>
    <x:t xml:space="preserve">米内罗竞技</x:t>
  </x:si>
  <x:si>
    <x:t xml:space="preserve">2-1</x:t>
  </x:si>
  <x:si>
    <x:t xml:space="preserve">2026-09-02 09:00</x:t>
  </x:si>
  <x:si>
    <x:t xml:space="preserve">哥伦甲秋</x:t>
  </x:si>
  <x:si>
    <x:t xml:space="preserve">福塔雷绍查 vs 云斯卡尔达斯</x:t>
  </x:si>
  <x:si>
    <x:t xml:space="preserve">0.98/-0.25/0.91</x:t>
  </x:si>
  <x:si>
    <x:t xml:space="preserve">福塔雷绍查</x:t>
  </x:si>
  <x:si>
    <x:t xml:space="preserve">2026-09-02</x:t>
  </x:si>
  <x:si>
    <x:t xml:space="preserve">2026-09-02 18:00</x:t>
  </x:si>
  <x:si>
    <x:t xml:space="preserve">日韩系列</x:t>
  </x:si>
  <x:si>
    <x:t xml:space="preserve">日职联</x:t>
  </x:si>
  <x:si>
    <x:t xml:space="preserve">广岛三箭 vs 名古屋鲸八</x:t>
  </x:si>
  <x:si>
    <x:t xml:space="preserve">0.82/1.0/1.07</x:t>
  </x:si>
  <x:si>
    <x:t xml:space="preserve">广岛三箭</x:t>
  </x:si>
  <x:si>
    <x:t xml:space="preserve">其他系列</x:t>
  </x:si>
  <x:si>
    <x:t xml:space="preserve">日联杯</x:t>
  </x:si>
  <x:si>
    <x:t xml:space="preserve">FC岐阜 vs 德岛漩涡</x:t>
  </x:si>
  <x:si>
    <x:t xml:space="preserve">0.80/0/1.02</x:t>
  </x:si>
  <x:si>
    <x:t xml:space="preserve">FC岐阜</x:t>
  </x:si>
  <x:si>
    <x:t xml:space="preserve">奈良俱乐部 vs 鸟栖沙岩</x:t>
  </x:si>
  <x:si>
    <x:t xml:space="preserve">1.03/-0.75/0.79</x:t>
  </x:si>
  <x:si>
    <x:t xml:space="preserve">鸟栖沙岩</x:t>
  </x:si>
  <x:si>
    <x:t xml:space="preserve">山口雷法 vs 藤枝MYFC</x:t>
  </x:si>
  <x:si>
    <x:t xml:space="preserve">0.81/-0.5/1.01</x:t>
  </x:si>
  <x:si>
    <x:t xml:space="preserve">藤枝MYFC</x:t>
  </x:si>
  <x:si>
    <x:t xml:space="preserve">熊本深红 vs 大分三神</x:t>
  </x:si>
  <x:si>
    <x:t xml:space="preserve">0.96/-0.25/0.86</x:t>
  </x:si>
  <x:si>
    <x:t xml:space="preserve">大分三神</x:t>
  </x:si>
  <x:si>
    <x:t xml:space="preserve">群马草津温泉 vs 新泻天鹅</x:t>
  </x:si>
  <x:si>
    <x:t xml:space="preserve">0.96/-1.0/0.86</x:t>
  </x:si>
  <x:si>
    <x:t xml:space="preserve">新泻天鹅</x:t>
  </x:si>
  <x:si>
    <x:t xml:space="preserve">横滨水手 vs 京都不死鸟</x:t>
  </x:si>
  <x:si>
    <x:t xml:space="preserve">0.96/0.5/0.93</x:t>
  </x:si>
  <x:si>
    <x:t xml:space="preserve">京都不死鸟</x:t>
  </x:si>
  <x:si>
    <x:t xml:space="preserve">清水鼓动 vs FC东京</x:t>
  </x:si>
  <x:si>
    <x:t xml:space="preserve">0.92/-0.75/0.97</x:t>
  </x:si>
  <x:si>
    <x:t xml:space="preserve">清水鼓动</x:t>
  </x:si>
  <x:si>
    <x:t xml:space="preserve">水户蜀葵 vs 鹿岛鹿角</x:t>
  </x:si>
  <x:si>
    <x:t xml:space="preserve">0.89/-0.75/1.00</x:t>
  </x:si>
  <x:si>
    <x:t xml:space="preserve">水户蜀葵</x:t>
  </x:si>
  <x:si>
    <x:t xml:space="preserve">长崎成功丸 vs 大阪钢巴</x:t>
  </x:si>
  <x:si>
    <x:t xml:space="preserve">0.83/-0.5/1.06</x:t>
  </x:si>
  <x:si>
    <x:t xml:space="preserve">长崎成功丸</x:t>
  </x:si>
  <x:si>
    <x:t xml:space="preserve">2-2</x:t>
  </x:si>
  <x:si>
    <x:t xml:space="preserve">大阪樱花 vs 柏太阳神</x:t>
  </x:si>
  <x:si>
    <x:t xml:space="preserve">1.03/-0.25/0.86</x:t>
  </x:si>
  <x:si>
    <x:t xml:space="preserve">阻下/下盘保护</x:t>
  </x:si>
  <x:si>
    <x:t xml:space="preserve">柏太阳神</x:t>
  </x:si>
  <x:si>
    <x:t xml:space="preserve">2026-09-02 21:15</x:t>
  </x:si>
  <x:si>
    <x:t xml:space="preserve">俄杯</x:t>
  </x:si>
  <x:si>
    <x:t xml:space="preserve">奥伦堡加索维克 vs 喀山红宝石</x:t>
  </x:si>
  <x:si>
    <x:t xml:space="preserve">0.96/0.25/0.86</x:t>
  </x:si>
  <x:si>
    <x:t xml:space="preserve">奥伦堡加索维克</x:t>
  </x:si>
  <x:si>
    <x:t xml:space="preserve">2026-09-02 21:30</x:t>
  </x:si>
  <x:si>
    <x:t xml:space="preserve">克亚乙</x:t>
  </x:si>
  <x:si>
    <x:t xml:space="preserve">乌克瓦 vs 萨格勒布迪那摩B队</x:t>
  </x:si>
  <x:si>
    <x:t xml:space="preserve">0.76/0.5/0.94</x:t>
  </x:si>
  <x:si>
    <x:t xml:space="preserve">萨格勒布迪那摩B队</x:t>
  </x:si>
  <x:si>
    <x:t xml:space="preserve">2-6</x:t>
  </x:si>
  <x:si>
    <x:t xml:space="preserve">压水/阻下</x:t>
  </x:si>
  <x:si>
    <x:t xml:space="preserve">2026-09-02 21:45</x:t>
  </x:si>
  <x:si>
    <x:t xml:space="preserve">博托沙尼 vs 胡内多阿拉</x:t>
  </x:si>
  <x:si>
    <x:t xml:space="preserve">0.73/0/0.97</x:t>
  </x:si>
  <x:si>
    <x:t xml:space="preserve">胡内多阿拉</x:t>
  </x:si>
  <x:si>
    <x:t xml:space="preserve">2026-09-02 22:00</x:t>
  </x:si>
  <x:si>
    <x:t xml:space="preserve">希腊杯</x:t>
  </x:si>
  <x:si>
    <x:t xml:space="preserve">内斯托 vs AEK雅典</x:t>
  </x:si>
  <x:si>
    <x:t xml:space="preserve">0.87/-2.5/0.95</x:t>
  </x:si>
  <x:si>
    <x:t xml:space="preserve">AEK雅典</x:t>
  </x:si>
  <x:si>
    <x:t xml:space="preserve">贝拉迪亚士邦 vs 贝特曼</x:t>
  </x:si>
  <x:si>
    <x:t xml:space="preserve">0.89/-0.5/0.93</x:t>
  </x:si>
  <x:si>
    <x:t xml:space="preserve">贝特曼</x:t>
  </x:si>
  <x:si>
    <x:t xml:space="preserve">2026-09-02 22:30</x:t>
  </x:si>
  <x:si>
    <x:t xml:space="preserve">格鲁杯</x:t>
  </x:si>
  <x:si>
    <x:t xml:space="preserve">山姆特迪雅(中) vs 伊比利亚1999</x:t>
  </x:si>
  <x:si>
    <x:t xml:space="preserve">0.97/-0.75/0.73</x:t>
  </x:si>
  <x:si>
    <x:t xml:space="preserve">伊比利亚1999</x:t>
  </x:si>
  <x:si>
    <x:t xml:space="preserve">捷丙</x:t>
  </x:si>
  <x:si>
    <x:t xml:space="preserve">维特科维斯 vs 乌尼邱夫</x:t>
  </x:si>
  <x:si>
    <x:t xml:space="preserve">0.86/0/0.84</x:t>
  </x:si>
  <x:si>
    <x:t xml:space="preserve">维特科维斯</x:t>
  </x:si>
  <x:si>
    <x:t xml:space="preserve">马尔科 vs 基菲萨</x:t>
  </x:si>
  <x:si>
    <x:t xml:space="preserve">0.89/-0.75/0.93</x:t>
  </x:si>
  <x:si>
    <x:t xml:space="preserve">基菲萨</x:t>
  </x:si>
  <x:si>
    <x:t xml:space="preserve">布尔诺B队 vs 威瑟汀</x:t>
  </x:si>
  <x:si>
    <x:t xml:space="preserve">0.90/1.5/0.80</x:t>
  </x:si>
  <x:si>
    <x:t xml:space="preserve">布尔诺B队</x:t>
  </x:si>
  <x:si>
    <x:t xml:space="preserve">5-0</x:t>
  </x:si>
  <x:si>
    <x:t xml:space="preserve">2026-09-02 23:00</x:t>
  </x:si>
  <x:si>
    <x:t xml:space="preserve">乔登普罗克 vs 杜布拉瓦</x:t>
  </x:si>
  <x:si>
    <x:t xml:space="preserve">0.78/0.75/0.92</x:t>
  </x:si>
  <x:si>
    <x:t xml:space="preserve">乔登普罗克</x:t>
  </x:si>
  <x:si>
    <x:t xml:space="preserve">扎达拉洛维 vs 雷迪塞瓦特</x:t>
  </x:si>
  <x:si>
    <x:t xml:space="preserve">0.78/0.25/0.92</x:t>
  </x:si>
  <x:si>
    <x:t xml:space="preserve">扎达拉洛维</x:t>
  </x:si>
  <x:si>
    <x:t xml:space="preserve">女欧罗巴杯</x:t>
  </x:si>
  <x:si>
    <x:t xml:space="preserve">利贝雷茨女足 vs SFK萨拉热窝女足</x:t>
  </x:si>
  <x:si>
    <x:t xml:space="preserve">0.81/0.5/0.95</x:t>
  </x:si>
  <x:si>
    <x:t xml:space="preserve">SFK萨拉热窝女足</x:t>
  </x:si>
  <x:si>
    <x:t xml:space="preserve">哥利亚 vs FK米耶尔库雷亚丘克</x:t>
  </x:si>
  <x:si>
    <x:t xml:space="preserve">0.89/0/0.81</x:t>
  </x:si>
  <x:si>
    <x:t xml:space="preserve">FK米耶尔库雷亚丘克</x:t>
  </x:si>
  <x:si>
    <x:t xml:space="preserve">2026-09-03 00:00</x:t>
  </x:si>
  <x:si>
    <x:t xml:space="preserve">欧洲五大系列</x:t>
  </x:si>
  <x:si>
    <x:t xml:space="preserve">布雷西亚 vs 吉安纳</x:t>
  </x:si>
  <x:si>
    <x:t xml:space="preserve">0.82/1/0.88</x:t>
  </x:si>
  <x:si>
    <x:t xml:space="preserve">布雷西亚</x:t>
  </x:si>
  <x:si>
    <x:t xml:space="preserve">5-2</x:t>
  </x:si>
  <x:si>
    <x:t xml:space="preserve">利森B队 vs 哈维瓦</x:t>
  </x:si>
  <x:si>
    <x:t xml:space="preserve">0.83/1.75/0.99</x:t>
  </x:si>
  <x:si>
    <x:t xml:space="preserve">利森B队</x:t>
  </x:si>
  <x:si>
    <x:t xml:space="preserve">罗森博格女足 vs 敖德萨海星女足</x:t>
  </x:si>
  <x:si>
    <x:t xml:space="preserve">0.81/2.25/0.95</x:t>
  </x:si>
  <x:si>
    <x:t xml:space="preserve">罗森博格女足</x:t>
  </x:si>
  <x:si>
    <x:t xml:space="preserve">哈夫纳夫约杜尔女足 vs 利马斯素尔女足</x:t>
  </x:si>
  <x:si>
    <x:t xml:space="preserve">0.72/1/1.04</x:t>
  </x:si>
  <x:si>
    <x:t xml:space="preserve">哈夫纳夫约杜尔女足</x:t>
  </x:si>
  <x:si>
    <x:t xml:space="preserve">捷甲</x:t>
  </x:si>
  <x:si>
    <x:t xml:space="preserve">布尔诺 vs 赫拉德茨克拉洛韦</x:t>
  </x:si>
  <x:si>
    <x:t xml:space="preserve">赫拉德茨克拉洛韦</x:t>
  </x:si>
  <x:si>
    <x:t xml:space="preserve">列什蒂竞技 vs 布加勒斯特迪纳摩</x:t>
  </x:si>
  <x:si>
    <x:t xml:space="preserve">0.94/-2.25/0.88</x:t>
  </x:si>
  <x:si>
    <x:t xml:space="preserve">列什蒂竞技</x:t>
  </x:si>
  <x:si>
    <x:t xml:space="preserve">1-4</x:t>
  </x:si>
  <x:si>
    <x:t xml:space="preserve">2026-09-03 00:30</x:t>
  </x:si>
  <x:si>
    <x:t xml:space="preserve">国际米兰女足 vs 沃尔夫斯堡女足</x:t>
  </x:si>
  <x:si>
    <x:t xml:space="preserve">0.93/-0.75/0.83</x:t>
  </x:si>
  <x:si>
    <x:t xml:space="preserve">沃尔夫斯堡女足</x:t>
  </x:si>
  <x:si>
    <x:t xml:space="preserve">2026-09-03 00:45</x:t>
  </x:si>
  <x:si>
    <x:t xml:space="preserve">塞尔维特女足 vs 布拉格斯巴达女足</x:t>
  </x:si>
  <x:si>
    <x:t xml:space="preserve">0.83/0.75/0.93</x:t>
  </x:si>
  <x:si>
    <x:t xml:space="preserve">塞尔维特女足</x:t>
  </x:si>
  <x:si>
    <x:t xml:space="preserve">2026-09-03 01:00</x:t>
  </x:si>
  <x:si>
    <x:t xml:space="preserve">瑞典杯</x:t>
  </x:si>
  <x:si>
    <x:t xml:space="preserve">BK奥林匹克 vs 哥德堡</x:t>
  </x:si>
  <x:si>
    <x:t xml:space="preserve">0.98/-2/0.84</x:t>
  </x:si>
  <x:si>
    <x:t xml:space="preserve">哥德堡</x:t>
  </x:si>
  <x:si>
    <x:t xml:space="preserve">0-5</x:t>
  </x:si>
  <x:si>
    <x:t xml:space="preserve">费耶诺德女足 vs 安德列治女足</x:t>
  </x:si>
  <x:si>
    <x:t xml:space="preserve">0.98/0/0.78</x:t>
  </x:si>
  <x:si>
    <x:t xml:space="preserve">安德列治女足</x:t>
  </x:si>
  <x:si>
    <x:t xml:space="preserve">2026-09-03 01:45</x:t>
  </x:si>
  <x:si>
    <x:t xml:space="preserve">加里宁格勒巴蒂卡 vs 苏维埃之翼</x:t>
  </x:si>
  <x:si>
    <x:t xml:space="preserve">0.79/0.5/1.03</x:t>
  </x:si>
  <x:si>
    <x:t xml:space="preserve">苏维埃之翼</x:t>
  </x:si>
  <x:si>
    <x:t xml:space="preserve">2026-09-03 02:00</x:t>
  </x:si>
  <x:si>
    <x:t xml:space="preserve">比业余</x:t>
  </x:si>
  <x:si>
    <x:t xml:space="preserve">弗莱尼 vs 安海耶</x:t>
  </x:si>
  <x:si>
    <x:t xml:space="preserve">0.74/0.25/1.08</x:t>
  </x:si>
  <x:si>
    <x:t xml:space="preserve">弗莱尼</x:t>
  </x:si>
  <x:si>
    <x:t xml:space="preserve">旧海弗莱鲁汶女足 vs 索斯诺维茨女足</x:t>
  </x:si>
  <x:si>
    <x:t xml:space="preserve">0.95/1.25/0.87</x:t>
  </x:si>
  <x:si>
    <x:t xml:space="preserve">索斯诺维茨女足</x:t>
  </x:si>
  <x:si>
    <x:t xml:space="preserve">皇家马德里女足 vs 阿贾克斯女足</x:t>
  </x:si>
  <x:si>
    <x:t xml:space="preserve">0.99/2.5/0.83</x:t>
  </x:si>
  <x:si>
    <x:t xml:space="preserve">皇家马德里女足</x:t>
  </x:si>
  <x:si>
    <x:t xml:space="preserve">2026-09-03 02:30</x:t>
  </x:si>
  <x:si>
    <x:t xml:space="preserve">瑞士超</x:t>
  </x:si>
  <x:si>
    <x:t xml:space="preserve">图恩 vs 洛桑</x:t>
  </x:si>
  <x:si>
    <x:t xml:space="preserve">图恩</x:t>
  </x:si>
  <x:si>
    <x:t xml:space="preserve">卢塞恩 vs 瓦杜兹</x:t>
  </x:si>
  <x:si>
    <x:t xml:space="preserve">0.88/0.75/1.01</x:t>
  </x:si>
  <x:si>
    <x:t xml:space="preserve">瓦杜兹</x:t>
  </x:si>
  <x:si>
    <x:t xml:space="preserve">尤文图斯女足 vs 圣珀尔滕女足</x:t>
  </x:si>
  <x:si>
    <x:t xml:space="preserve">0.89/2.25/0.93</x:t>
  </x:si>
  <x:si>
    <x:t xml:space="preserve">圣珀尔滕女足</x:t>
  </x:si>
  <x:si>
    <x:t xml:space="preserve">阿格斯 vs 布加勒斯特星队</x:t>
  </x:si>
  <x:si>
    <x:t xml:space="preserve">0.82/0/1.00</x:t>
  </x:si>
  <x:si>
    <x:t xml:space="preserve">阿格斯</x:t>
  </x:si>
  <x:si>
    <x:t xml:space="preserve">2026-09-03 02:45</x:t>
  </x:si>
  <x:si>
    <x:t xml:space="preserve">巴恩斯利 vs 布莱克浦</x:t>
  </x:si>
  <x:si>
    <x:t xml:space="preserve">0.83/0.25/1.05</x:t>
  </x:si>
  <x:si>
    <x:t xml:space="preserve">巴恩斯利</x:t>
  </x:si>
  <x:si>
    <x:t xml:space="preserve">德国杯</x:t>
  </x:si>
  <x:si>
    <x:t xml:space="preserve">奥斯纳布鲁克 vs 拜仁慕尼黑</x:t>
  </x:si>
  <x:si>
    <x:t xml:space="preserve">1.02/-4/0.80</x:t>
  </x:si>
  <x:si>
    <x:t xml:space="preserve">拜仁慕尼黑</x:t>
  </x:si>
  <x:si>
    <x:t xml:space="preserve">伯顿 vs AFC温布尔登</x:t>
  </x:si>
  <x:si>
    <x:t xml:space="preserve">0.90/0.25/0.98</x:t>
  </x:si>
  <x:si>
    <x:t xml:space="preserve">伯顿</x:t>
  </x:si>
  <x:si>
    <x:t xml:space="preserve">4-1</x:t>
  </x:si>
  <x:si>
    <x:t xml:space="preserve">维冈竞技 vs 米尔顿凯恩斯</x:t>
  </x:si>
  <x:si>
    <x:t xml:space="preserve">1.09/0.25/0.79</x:t>
  </x:si>
  <x:si>
    <x:t xml:space="preserve">维冈竞技</x:t>
  </x:si>
  <x:si>
    <x:t xml:space="preserve">2026-09-03 03:00</x:t>
  </x:si>
  <x:si>
    <x:t xml:space="preserve">巴拉圭国民 vs 亚松森自由</x:t>
  </x:si>
  <x:si>
    <x:t xml:space="preserve">0.77/-0.25/1.05</x:t>
  </x:si>
  <x:si>
    <x:t xml:space="preserve">亚松森自由</x:t>
  </x:si>
  <x:si>
    <x:t xml:space="preserve">马卡拉 vs 曼塔</x:t>
  </x:si>
  <x:si>
    <x:t xml:space="preserve">1.03/1.25/0.79</x:t>
  </x:si>
  <x:si>
    <x:t xml:space="preserve">马卡拉</x:t>
  </x:si>
  <x:si>
    <x:t xml:space="preserve">4-3</x:t>
  </x:si>
  <x:si>
    <x:t xml:space="preserve">伯恩利 vs 米德尔斯堡</x:t>
  </x:si>
  <x:si>
    <x:t xml:space="preserve">0.80/-0.25/1.08</x:t>
  </x:si>
  <x:si>
    <x:t xml:space="preserve">米德尔斯堡</x:t>
  </x:si>
  <x:si>
    <x:t xml:space="preserve">雷丁 vs 曼斯菲尔德</x:t>
  </x:si>
  <x:si>
    <x:t xml:space="preserve">1.03/0.5/0.85</x:t>
  </x:si>
  <x:si>
    <x:t xml:space="preserve">雷丁</x:t>
  </x:si>
  <x:si>
    <x:t xml:space="preserve">2026-09-03 03:15</x:t>
  </x:si>
  <x:si>
    <x:t xml:space="preserve">塞萨洛尼基 vs OFI克里特</x:t>
  </x:si>
  <x:si>
    <x:t xml:space="preserve">0.80/1.25/1.02</x:t>
  </x:si>
  <x:si>
    <x:t xml:space="preserve">塞萨洛尼基</x:t>
  </x:si>
  <x:si>
    <x:t xml:space="preserve">2026-09-03 05:30</x:t>
  </x:si>
  <x:si>
    <x:t xml:space="preserve">库恩卡 vs 瓜亚基尔城</x:t>
  </x:si>
  <x:si>
    <x:t xml:space="preserve">0.83/0.75/0.99</x:t>
  </x:si>
  <x:si>
    <x:t xml:space="preserve">库恩卡</x:t>
  </x:si>
  <x:si>
    <x:t xml:space="preserve">2026-09-03 06:00</x:t>
  </x:si>
  <x:si>
    <x:t xml:space="preserve">智利甲</x:t>
  </x:si>
  <x:si>
    <x:t xml:space="preserve">科金博 vs 康塞普西翁大学</x:t>
  </x:si>
  <x:si>
    <x:t xml:space="preserve">1.09/1/0.80</x:t>
  </x:si>
  <x:si>
    <x:t xml:space="preserve">科金博</x:t>
  </x:si>
  <x:si>
    <x:t xml:space="preserve">2026-09-03 06:30</x:t>
  </x:si>
  <x:si>
    <x:t xml:space="preserve">巴西甲</x:t>
  </x:si>
  <x:si>
    <x:t xml:space="preserve">弗拉门戈 vs 米拉索</x:t>
  </x:si>
  <x:si>
    <x:t xml:space="preserve">0.99/2/0.90</x:t>
  </x:si>
  <x:si>
    <x:t xml:space="preserve">米拉索</x:t>
  </x:si>
  <x:si>
    <x:t xml:space="preserve">2026-09-03 07:00</x:t>
  </x:si>
  <x:si>
    <x:t xml:space="preserve">北美系列</x:t>
  </x:si>
  <x:si>
    <x:t xml:space="preserve">美冠联</x:t>
  </x:si>
  <x:si>
    <x:t xml:space="preserve">查尔斯顿电池 vs 哈特福德竞技</x:t>
  </x:si>
  <x:si>
    <x:t xml:space="preserve">0.80/0.75/1.02</x:t>
  </x:si>
  <x:si>
    <x:t xml:space="preserve">查尔斯顿电池</x:t>
  </x:si>
  <x:si>
    <x:t xml:space="preserve">阿特纳斯 vs 佩纳罗尔</x:t>
  </x:si>
  <x:si>
    <x:t xml:space="preserve">0.80/-0.75/0.90</x:t>
  </x:si>
  <x:si>
    <x:t xml:space="preserve">佩纳罗尔</x:t>
  </x:si>
  <x:si>
    <x:t xml:space="preserve">2026-09-03 07:30</x:t>
  </x:si>
  <x:si>
    <x:t xml:space="preserve">美甲</x:t>
  </x:si>
  <x:si>
    <x:t xml:space="preserve">夏洛特独立 vs 波特兰松之心</x:t>
  </x:si>
  <x:si>
    <x:t xml:space="preserve">0.78/1.25/0.92</x:t>
  </x:si>
  <x:si>
    <x:t xml:space="preserve">波特兰松之心</x:t>
  </x:si>
  <x:si>
    <x:t xml:space="preserve">纽约宇宙队 vs 萨拉索塔天堂</x:t>
  </x:si>
  <x:si>
    <x:t xml:space="preserve">0.95/0.5/0.75</x:t>
  </x:si>
  <x:si>
    <x:t xml:space="preserve">纽约宇宙队</x:t>
  </x:si>
  <x:si>
    <x:t xml:space="preserve">韦恩堡FC vs 里士满踢球者</x:t>
  </x:si>
  <x:si>
    <x:t xml:space="preserve">0.87/1.25/0.83</x:t>
  </x:si>
  <x:si>
    <x:t xml:space="preserve">韦恩堡FC</x:t>
  </x:si>
  <x:si>
    <x:t xml:space="preserve">2026-09-03 08:00</x:t>
  </x:si>
  <x:si>
    <x:t xml:space="preserve">瓜亚基尔巴塞罗那 vs 山谷独立</x:t>
  </x:si>
  <x:si>
    <x:t xml:space="preserve">0.94/-0.5/0.94</x:t>
  </x:si>
  <x:si>
    <x:t xml:space="preserve">瓜亚基尔巴塞罗那</x:t>
  </x:si>
  <x:si>
    <x:t xml:space="preserve">2026-09-03</x:t>
  </x:si>
  <x:si>
    <x:t xml:space="preserve">2026-09-03 20:30</x:t>
  </x:si>
  <x:si>
    <x:t xml:space="preserve">波兰杯</x:t>
  </x:si>
  <x:si>
    <x:t xml:space="preserve">威亚斯威德尼克 vs KS莫摩斯</x:t>
  </x:si>
  <x:si>
    <x:t xml:space="preserve">1.01/-0.75/0.81</x:t>
  </x:si>
  <x:si>
    <x:t xml:space="preserve">KS莫摩斯</x:t>
  </x:si>
  <x:si>
    <x:t xml:space="preserve">2026-09-03 21:00</x:t>
  </x:si>
  <x:si>
    <x:t xml:space="preserve">哈萨克甲</x:t>
  </x:si>
  <x:si>
    <x:t xml:space="preserve">艾斯坦拿B队 vs 塔拉兹</x:t>
  </x:si>
  <x:si>
    <x:t xml:space="preserve">0.94/0/0.76</x:t>
  </x:si>
  <x:si>
    <x:t xml:space="preserve">艾斯坦拿B队</x:t>
  </x:si>
  <x:si>
    <x:t xml:space="preserve">2026-09-03 22:00</x:t>
  </x:si>
  <x:si>
    <x:t xml:space="preserve">卡塔尔联</x:t>
  </x:si>
  <x:si>
    <x:t xml:space="preserve">多哈国民 vs 卡塔尔体育</x:t>
  </x:si>
  <x:si>
    <x:t xml:space="preserve">0.99/0.25/0.83</x:t>
  </x:si>
  <x:si>
    <x:t xml:space="preserve">多哈国民</x:t>
  </x:si>
  <x:si>
    <x:t xml:space="preserve">厄德尔 vs 文尼沙BB</x:t>
  </x:si>
  <x:si>
    <x:t xml:space="preserve">0.84/0.25/1.02</x:t>
  </x:si>
  <x:si>
    <x:t xml:space="preserve">厄德尔</x:t>
  </x:si>
  <x:si>
    <x:t xml:space="preserve">2026-09-03 22:30</x:t>
  </x:si>
  <x:si>
    <x:t xml:space="preserve">FC贝卡 vs 克拉约瓦大学</x:t>
  </x:si>
  <x:si>
    <x:t xml:space="preserve">1.07/-1.25/0.75</x:t>
  </x:si>
  <x:si>
    <x:t xml:space="preserve">克拉约瓦大学</x:t>
  </x:si>
  <x:si>
    <x:t xml:space="preserve">2026-09-03 23:55</x:t>
  </x:si>
  <x:si>
    <x:t xml:space="preserve">费哈 vs 拉斯永恒</x:t>
  </x:si>
  <x:si>
    <x:t xml:space="preserve">0.82/-0.25/1.06</x:t>
  </x:si>
  <x:si>
    <x:t xml:space="preserve">拉斯永恒</x:t>
  </x:si>
  <x:si>
    <x:t xml:space="preserve">2026-09-04 00:00</x:t>
  </x:si>
  <x:si>
    <x:t xml:space="preserve">保乙</x:t>
  </x:si>
  <x:si>
    <x:t xml:space="preserve">格纳火车头 vs 多布鲁察</x:t>
  </x:si>
  <x:si>
    <x:t xml:space="preserve">0.86/0.25/0.90</x:t>
  </x:si>
  <x:si>
    <x:t xml:space="preserve">格纳火车头</x:t>
  </x:si>
  <x:si>
    <x:t xml:space="preserve">巴勒莫 vs 曼托瓦</x:t>
  </x:si>
  <x:si>
    <x:t xml:space="preserve">0.82/0.75/1.07</x:t>
  </x:si>
  <x:si>
    <x:t xml:space="preserve">巴勒莫</x:t>
  </x:si>
  <x:si>
    <x:t xml:space="preserve">2026-09-04 00:30</x:t>
  </x:si>
  <x:si>
    <x:t xml:space="preserve">新未来城体育 vs 塞哈特海湾</x:t>
  </x:si>
  <x:si>
    <x:t xml:space="preserve">0.85/0.75/1.03</x:t>
  </x:si>
  <x:si>
    <x:t xml:space="preserve">新未来城体育</x:t>
  </x:si>
  <x:si>
    <x:t xml:space="preserve">2026-09-04 01:00</x:t>
  </x:si>
  <x:si>
    <x:t xml:space="preserve">瑞典超</x:t>
  </x:si>
  <x:si>
    <x:t xml:space="preserve">米亚尔比 vs 尤尔加登</x:t>
  </x:si>
  <x:si>
    <x:t xml:space="preserve">1.02/-0.75/0.87</x:t>
  </x:si>
  <x:si>
    <x:t xml:space="preserve">尤尔加登</x:t>
  </x:si>
  <x:si>
    <x:t xml:space="preserve">2026-09-04 02:00</x:t>
  </x:si>
  <x:si>
    <x:t xml:space="preserve">阿尔比恩 vs 普罗格雷索俱乐部</x:t>
  </x:si>
  <x:si>
    <x:t xml:space="preserve">0.96/0.25/0.80</x:t>
  </x:si>
  <x:si>
    <x:t xml:space="preserve">阿尔比恩</x:t>
  </x:si>
  <x:si>
    <x:t xml:space="preserve">迪雷禾 vs 卡达西亚</x:t>
  </x:si>
  <x:si>
    <x:t xml:space="preserve">1.08/-1/0.80</x:t>
  </x:si>
  <x:si>
    <x:t xml:space="preserve">卡达西亚</x:t>
  </x:si>
  <x:si>
    <x:t xml:space="preserve">2026-09-04 02:30</x:t>
  </x:si>
  <x:si>
    <x:t xml:space="preserve">比甲</x:t>
  </x:si>
  <x:si>
    <x:t xml:space="preserve">安德莱赫特 vs 科特赖克</x:t>
  </x:si>
  <x:si>
    <x:t xml:space="preserve">0.99/1.25/0.90</x:t>
  </x:si>
  <x:si>
    <x:t xml:space="preserve">安德莱赫特</x:t>
  </x:si>
  <x:si>
    <x:t xml:space="preserve">卢加诺 vs 塞尔维特</x:t>
  </x:si>
  <x:si>
    <x:t xml:space="preserve">卢加诺</x:t>
  </x:si>
  <x:si>
    <x:t xml:space="preserve">巴塞尔 vs 锡永</x:t>
  </x:si>
  <x:si>
    <x:t xml:space="preserve">1.09/0/0.80</x:t>
  </x:si>
  <x:si>
    <x:t xml:space="preserve">锡永</x:t>
  </x:si>
  <x:si>
    <x:t xml:space="preserve">2026-09-04 02:45</x:t>
  </x:si>
  <x:si>
    <x:t xml:space="preserve">法甲</x:t>
  </x:si>
  <x:si>
    <x:t xml:space="preserve">图卢兹 vs 里尔</x:t>
  </x:si>
  <x:si>
    <x:t xml:space="preserve">0.87/-0.5/1.02</x:t>
  </x:si>
  <x:si>
    <x:t xml:space="preserve">里尔</x:t>
  </x:si>
  <x:si>
    <x:t xml:space="preserve">2026-09-04 05:00</x:t>
  </x:si>
  <x:si>
    <x:t xml:space="preserve">卡利美洲 vs 阿利安萨</x:t>
  </x:si>
  <x:si>
    <x:t xml:space="preserve">0.82/1.25/1.06</x:t>
  </x:si>
  <x:si>
    <x:t xml:space="preserve">卡利美洲</x:t>
  </x:si>
  <x:si>
    <x:t xml:space="preserve">2026-09-04</x:t>
  </x:si>
  <x:si>
    <x:t xml:space="preserve">2026-09-04 22:00</x:t>
  </x:si>
  <x:si>
    <x:t xml:space="preserve">艾沙姆 vs 艾沙哈尼亚</x:t>
  </x:si>
  <x:si>
    <x:t xml:space="preserve">0.88/0.75/0.94</x:t>
  </x:si>
  <x:si>
    <x:t xml:space="preserve">平衡盘/等待临场确认</x:t>
  </x:si>
  <x:si>
    <x:t xml:space="preserve">艾沙姆</x:t>
  </x:si>
  <x:si>
    <x:t xml:space="preserve">已计算（同投注水位快照）</x:t>
  </x:si>
  <x:si>
    <x:t xml:space="preserve">2026-09-04 22:30</x:t>
  </x:si>
  <x:si>
    <x:t xml:space="preserve">非联杯</x:t>
  </x:si>
  <x:si>
    <x:t xml:space="preserve">ES扎兹斯 vs 迪雅宝罗斯</x:t>
  </x:si>
  <x:si>
    <x:t xml:space="preserve">0.92/1.25/0.84</x:t>
  </x:si>
  <x:si>
    <x:t xml:space="preserve">ES扎兹斯</x:t>
  </x:si>
  <x:si>
    <x:t xml:space="preserve">2026-09-05 00:00</x:t>
  </x:si>
  <x:si>
    <x:t xml:space="preserve">丹麦甲</x:t>
  </x:si>
  <x:si>
    <x:t xml:space="preserve">霍布罗 vs 哈维德夫</x:t>
  </x:si>
  <x:si>
    <x:t xml:space="preserve">1.05/0.25/0.84</x:t>
  </x:si>
  <x:si>
    <x:t xml:space="preserve">阻上/降温保护</x:t>
  </x:si>
  <x:si>
    <x:t xml:space="preserve">霍布罗</x:t>
  </x:si>
  <x:si>
    <x:t xml:space="preserve">1-3</x:t>
  </x:si>
  <x:si>
    <x:t xml:space="preserve">2026-09-05 00:15</x:t>
  </x:si>
  <x:si>
    <x:t xml:space="preserve">鲁赛尔城 vs 威柯拉</x:t>
  </x:si>
  <x:si>
    <x:t xml:space="preserve">1.07/-0.75/0.75</x:t>
  </x:si>
  <x:si>
    <x:t xml:space="preserve">威柯拉</x:t>
  </x:si>
  <x:si>
    <x:t xml:space="preserve">阿联酋超</x:t>
  </x:si>
  <x:si>
    <x:t xml:space="preserve">迪拜祈祷 vs 豪尔费坎</x:t>
  </x:si>
  <x:si>
    <x:t xml:space="preserve">0.84/1.5/1.04</x:t>
  </x:si>
  <x:si>
    <x:t xml:space="preserve">迪拜祈祷</x:t>
  </x:si>
  <x:si>
    <x:t xml:space="preserve">2026-09-05 00:30</x:t>
  </x:si>
  <x:si>
    <x:t xml:space="preserve">德乙</x:t>
  </x:si>
  <x:si>
    <x:t xml:space="preserve">汉诺威96 vs 卡尔斯鲁厄</x:t>
  </x:si>
  <x:si>
    <x:t xml:space="preserve">1.06/1.25/0.83</x:t>
  </x:si>
  <x:si>
    <x:t xml:space="preserve">汉诺威96</x:t>
  </x:si>
  <x:si>
    <x:t xml:space="preserve">2026-09-05 01:00</x:t>
  </x:si>
  <x:si>
    <x:t xml:space="preserve">丹麦乙</x:t>
  </x:si>
  <x:si>
    <x:t xml:space="preserve">B93哥本哈根 vs 纳斯特维德</x:t>
  </x:si>
  <x:si>
    <x:t xml:space="preserve">0.89/0.25/0.93</x:t>
  </x:si>
  <x:si>
    <x:t xml:space="preserve">B93哥本哈根</x:t>
  </x:si>
  <x:si>
    <x:t xml:space="preserve">靴尔科治 vs 希勒罗德</x:t>
  </x:si>
  <x:si>
    <x:t xml:space="preserve">0.95/0/0.94</x:t>
  </x:si>
  <x:si>
    <x:t xml:space="preserve">靴尔科治</x:t>
  </x:si>
  <x:si>
    <x:t xml:space="preserve">挪超</x:t>
  </x:si>
  <x:si>
    <x:t xml:space="preserve">腓特烈斯塔 vs 博德闪耀</x:t>
  </x:si>
  <x:si>
    <x:t xml:space="preserve">0.99/-1.5/0.90</x:t>
  </x:si>
  <x:si>
    <x:t xml:space="preserve">博德闪耀</x:t>
  </x:si>
  <x:si>
    <x:t xml:space="preserve">里昂 vs 欧塞尔</x:t>
  </x:si>
  <x:si>
    <x:t xml:space="preserve">0.90/1.25/0.99</x:t>
  </x:si>
  <x:si>
    <x:t xml:space="preserve">里昂</x:t>
  </x:si>
  <x:si>
    <x:t xml:space="preserve">瑞典甲</x:t>
  </x:si>
  <x:si>
    <x:t xml:space="preserve">北雪平 vs 卢恩斯基尔</x:t>
  </x:si>
  <x:si>
    <x:t xml:space="preserve">0.97/1.25/0.92</x:t>
  </x:si>
  <x:si>
    <x:t xml:space="preserve">北雪平</x:t>
  </x:si>
  <x:si>
    <x:t xml:space="preserve">2026-09-05 02:00</x:t>
  </x:si>
  <x:si>
    <x:t xml:space="preserve">比乙</x:t>
  </x:si>
  <x:si>
    <x:t xml:space="preserve">比斯查 vs 艾斯登</x:t>
  </x:si>
  <x:si>
    <x:t xml:space="preserve">0.85/0.75/1.01</x:t>
  </x:si>
  <x:si>
    <x:t xml:space="preserve">比斯查</x:t>
  </x:si>
  <x:si>
    <x:t xml:space="preserve">2026-09-05 02:30</x:t>
  </x:si>
  <x:si>
    <x:t xml:space="preserve">德甲</x:t>
  </x:si>
  <x:si>
    <x:t xml:space="preserve">斯图加特 vs 科隆</x:t>
  </x:si>
  <x:si>
    <x:t xml:space="preserve">0.94/1.25/0.95</x:t>
  </x:si>
  <x:si>
    <x:t xml:space="preserve">斯图加特</x:t>
  </x:si>
  <x:si>
    <x:t xml:space="preserve">2026-09-05 02:45</x:t>
  </x:si>
  <x:si>
    <x:t xml:space="preserve">意甲</x:t>
  </x:si>
  <x:si>
    <x:t xml:space="preserve">热那亚 vs 科莫</x:t>
  </x:si>
  <x:si>
    <x:t xml:space="preserve">0.87/-0.75/1.02</x:t>
  </x:si>
  <x:si>
    <x:t xml:space="preserve">科莫</x:t>
  </x:si>
  <x:si>
    <x:t xml:space="preserve">2026-09-05 03:00</x:t>
  </x:si>
  <x:si>
    <x:t xml:space="preserve">桑德菲杰 vs 维京</x:t>
  </x:si>
  <x:si>
    <x:t xml:space="preserve">维京</x:t>
  </x:si>
  <x:si>
    <x:t xml:space="preserve">英超</x:t>
  </x:si>
  <x:si>
    <x:t xml:space="preserve">伊普斯维奇 vs 利物浦</x:t>
  </x:si>
  <x:si>
    <x:t xml:space="preserve">0.82/-1.25/1.07</x:t>
  </x:si>
  <x:si>
    <x:t xml:space="preserve">利物浦</x:t>
  </x:si>
  <x:si>
    <x:t xml:space="preserve">西甲</x:t>
  </x:si>
  <x:si>
    <x:t xml:space="preserve">皇家贝蒂斯 vs 皇家马德里</x:t>
  </x:si>
  <x:si>
    <x:t xml:space="preserve">0.96/-1.25/0.93</x:t>
  </x:si>
  <x:si>
    <x:t xml:space="preserve">皇家马德里</x:t>
  </x:si>
  <x:si>
    <x:t xml:space="preserve">2026-09-05 03:05</x:t>
  </x:si>
  <x:si>
    <x:t xml:space="preserve">巴黎圣日耳曼 vs 摩纳哥</x:t>
  </x:si>
  <x:si>
    <x:t xml:space="preserve">0.90/1.5/0.99</x:t>
  </x:si>
  <x:si>
    <x:t xml:space="preserve">巴黎圣日耳曼</x:t>
  </x:si>
  <x:si>
    <x:t xml:space="preserve">2026-09-05 03:15</x:t>
  </x:si>
  <x:si>
    <x:t xml:space="preserve">葡超</x:t>
  </x:si>
  <x:si>
    <x:t xml:space="preserve">波尔图 vs 摩里伦斯</x:t>
  </x:si>
  <x:si>
    <x:t xml:space="preserve">1.06/2.25/0.83</x:t>
  </x:si>
  <x:si>
    <x:t xml:space="preserve">摩里伦斯</x:t>
  </x:si>
  <x:si>
    <x:t xml:space="preserve">2026-09-05</x:t>
  </x:si>
  <x:si>
    <x:t xml:space="preserve">2026-09-05 12:00</x:t>
  </x:si>
  <x:si>
    <x:t xml:space="preserve">澳维超</x:t>
  </x:si>
  <x:si>
    <x:t xml:space="preserve">艾云达尔 vs 普雷斯顿莱恩</x:t>
  </x:si>
  <x:si>
    <x:t xml:space="preserve">0.92/0/0.97</x:t>
  </x:si>
  <x:si>
    <x:t xml:space="preserve">艾云达尔</x:t>
  </x:si>
  <x:si>
    <x:t xml:space="preserve">https://github.com/simondongxiao/odds/blob/main/ledger/yesterday_official_settlement_2026-09-05.csv</x:t>
  </x:si>
  <x:si>
    <x:t xml:space="preserve">2026-09-05 15:00</x:t>
  </x:si>
  <x:si>
    <x:t xml:space="preserve">澳昆超</x:t>
  </x:si>
  <x:si>
    <x:t xml:space="preserve">潘尼苏拉 vs 摩顿城精英</x:t>
  </x:si>
  <x:si>
    <x:t xml:space="preserve">0.83/0.25/0.93</x:t>
  </x:si>
  <x:si>
    <x:t xml:space="preserve">潘尼苏拉</x:t>
  </x:si>
  <x:si>
    <x:t xml:space="preserve">2026-09-05 16:15</x:t>
  </x:si>
  <x:si>
    <x:t xml:space="preserve">波利斯拉夫B队 vs 索史尔扎普</x:t>
  </x:si>
  <x:si>
    <x:t xml:space="preserve">0.91/0/0.79</x:t>
  </x:si>
  <x:si>
    <x:t xml:space="preserve">索史尔扎普</x:t>
  </x:si>
  <x:si>
    <x:t xml:space="preserve">2-3</x:t>
  </x:si>
  <x:si>
    <x:t xml:space="preserve">https://www.aiscore.com/en/match-mlada-boleslav-b-sk-zapy/8lk2dirlw6paz73</x:t>
  </x:si>
  <x:si>
    <x:t xml:space="preserve">2026-09-05 17:00</x:t>
  </x:si>
  <x:si>
    <x:t xml:space="preserve">日职丙</x:t>
  </x:si>
  <x:si>
    <x:t xml:space="preserve">SC相模原 vs 长野琶扼搂</x:t>
  </x:si>
  <x:si>
    <x:t xml:space="preserve">0.86/0.75/0.84</x:t>
  </x:si>
  <x:si>
    <x:t xml:space="preserve">SC相模原</x:t>
  </x:si>
  <x:si>
    <x:t xml:space="preserve">https://vip.titan007.com/history/SearchSameGoal.aspx?g=0.5&amp;l=0&amp;n=10&amp;t=3</x:t>
  </x:si>
  <x:si>
    <x:t xml:space="preserve">赞岐 vs 瑞拉滋贺</x:t>
  </x:si>
  <x:si>
    <x:t xml:space="preserve">0.85/0/0.85</x:t>
  </x:si>
  <x:si>
    <x:t xml:space="preserve">赞岐</x:t>
  </x:si>
  <x:si>
    <x:t xml:space="preserve">0-3</x:t>
  </x:si>
  <x:si>
    <x:t xml:space="preserve">https://vip.titan007.com/history/SearchSameGoal.aspx?g=2.5&amp;l=0&amp;n=5&amp;t=5</x:t>
  </x:si>
  <x:si>
    <x:t xml:space="preserve">2026-09-05 18:00</x:t>
  </x:si>
  <x:si>
    <x:t xml:space="preserve">日职乙</x:t>
  </x:si>
  <x:si>
    <x:t xml:space="preserve">鸟栖沙岩 vs 宫崎棒牛鸟</x:t>
  </x:si>
  <x:si>
    <x:t xml:space="preserve">0.85/0/1.04</x:t>
  </x:si>
  <x:si>
    <x:t xml:space="preserve">韩K2联</x:t>
  </x:si>
  <x:si>
    <x:t xml:space="preserve">天安城 vs 华城FC</x:t>
  </x:si>
  <x:si>
    <x:t xml:space="preserve">0.98/-0.25/0.84</x:t>
  </x:si>
  <x:si>
    <x:t xml:space="preserve">华城FC</x:t>
  </x:si>
  <x:si>
    <x:t xml:space="preserve">金海 vs 全南天龙</x:t>
  </x:si>
  <x:si>
    <x:t xml:space="preserve">0.83/0/0.99</x:t>
  </x:si>
  <x:si>
    <x:t xml:space="preserve">全南天龙</x:t>
  </x:si>
  <x:si>
    <x:t xml:space="preserve">龙仁FC vs 水原FC</x:t>
  </x:si>
  <x:si>
    <x:t xml:space="preserve">1.00/-0.5/0.82</x:t>
  </x:si>
  <x:si>
    <x:t xml:space="preserve">水原FC</x:t>
  </x:si>
  <x:si>
    <x:t xml:space="preserve">韩K联</x:t>
  </x:si>
  <x:si>
    <x:t xml:space="preserve">富川FC vs 大田市民</x:t>
  </x:si>
  <x:si>
    <x:t xml:space="preserve">1.11/-0.5/0.79</x:t>
  </x:si>
  <x:si>
    <x:t xml:space="preserve">大田市民</x:t>
  </x:si>
  <x:si>
    <x:t xml:space="preserve">2026-09-05 19:00</x:t>
  </x:si>
  <x:si>
    <x:t xml:space="preserve">中甲</x:t>
  </x:si>
  <x:si>
    <x:t xml:space="preserve">无锡吴钩 vs 延边龙鼎</x:t>
  </x:si>
  <x:si>
    <x:t xml:space="preserve">1.02/-0.25/0.80</x:t>
  </x:si>
  <x:si>
    <x:t xml:space="preserve">延边龙鼎</x:t>
  </x:si>
  <x:si>
    <x:t xml:space="preserve">中超</x:t>
  </x:si>
  <x:si>
    <x:t xml:space="preserve">武汉三镇 vs 青岛西海岸</x:t>
  </x:si>
  <x:si>
    <x:t xml:space="preserve">1.06/0.25/0.80</x:t>
  </x:si>
  <x:si>
    <x:t xml:space="preserve">武汉三镇</x:t>
  </x:si>
  <x:si>
    <x:t xml:space="preserve">沃尔夫斯堡 vs 科特布斯</x:t>
  </x:si>
  <x:si>
    <x:t xml:space="preserve">0.82/1.25/1.07</x:t>
  </x:si>
  <x:si>
    <x:t xml:space="preserve">沃尔夫斯堡</x:t>
  </x:si>
  <x:si>
    <x:t xml:space="preserve">网页半仓可投</x:t>
  </x:si>
  <x:si>
    <x:t xml:space="preserve">4-4</x:t>
  </x:si>
  <x:si>
    <x:t xml:space="preserve">挪乙</x:t>
  </x:si>
  <x:si>
    <x:t xml:space="preserve">桑韦肯 vs EIK通斯堡</x:t>
  </x:si>
  <x:si>
    <x:t xml:space="preserve">0.84/0.75/0.86</x:t>
  </x:si>
  <x:si>
    <x:t xml:space="preserve">桑韦肯</x:t>
  </x:si>
  <x:si>
    <x:t xml:space="preserve">韦纳穆 vs 瓦尔贝里</x:t>
  </x:si>
  <x:si>
    <x:t xml:space="preserve">0.88/0/1.01</x:t>
  </x:si>
  <x:si>
    <x:t xml:space="preserve">瓦尔贝里</x:t>
  </x:si>
  <x:si>
    <x:t xml:space="preserve">2026-09-05 19:30</x:t>
  </x:si>
  <x:si>
    <x:t xml:space="preserve">佛山南狮 vs 大连鲲城</x:t>
  </x:si>
  <x:si>
    <x:t xml:space="preserve">1.00/-0.25/0.82</x:t>
  </x:si>
  <x:si>
    <x:t xml:space="preserve">大连鲲城</x:t>
  </x:si>
  <x:si>
    <x:t xml:space="preserve">斯托克城 vs 查尔顿</x:t>
  </x:si>
  <x:si>
    <x:t xml:space="preserve">普雷斯顿 vs 布莱克本</x:t>
  </x:si>
  <x:si>
    <x:t xml:space="preserve">1.12/0.25/0.77</x:t>
  </x:si>
  <x:si>
    <x:t xml:space="preserve">普雷斯顿</x:t>
  </x:si>
  <x:si>
    <x:t xml:space="preserve">林肯城 vs 南安普敦</x:t>
  </x:si>
  <x:si>
    <x:t xml:space="preserve">1.05/-0.5/0.83</x:t>
  </x:si>
  <x:si>
    <x:t xml:space="preserve">南安普敦</x:t>
  </x:si>
  <x:si>
    <x:t xml:space="preserve">维冈竞技 vs 斯托克港</x:t>
  </x:si>
  <x:si>
    <x:t xml:space="preserve">0.83/-0.5/1.05</x:t>
  </x:si>
  <x:si>
    <x:t xml:space="preserve">斯托克港</x:t>
  </x:si>
  <x:si>
    <x:t xml:space="preserve">0-4</x:t>
  </x:si>
  <x:si>
    <x:t xml:space="preserve">纽卡斯尔联 vs 伯恩茅斯</x:t>
  </x:si>
  <x:si>
    <x:t xml:space="preserve">0.83/0.25/1.06</x:t>
  </x:si>
  <x:si>
    <x:t xml:space="preserve">纽卡斯尔联</x:t>
  </x:si>
  <x:si>
    <x:t xml:space="preserve">2026-09-05 19:35</x:t>
  </x:si>
  <x:si>
    <x:t xml:space="preserve">大连英博 vs 青岛海牛</x:t>
  </x:si>
  <x:si>
    <x:t xml:space="preserve">1.00/1.5/0.86</x:t>
  </x:si>
  <x:si>
    <x:t xml:space="preserve">大连英博</x:t>
  </x:si>
  <x:si>
    <x:t xml:space="preserve">2026-09-05 20:00</x:t>
  </x:si>
  <x:si>
    <x:t xml:space="preserve">山东泰山 vs 深圳新鹏城</x:t>
  </x:si>
  <x:si>
    <x:t xml:space="preserve">0.82/1/1.04</x:t>
  </x:si>
  <x:si>
    <x:t xml:space="preserve">山东泰山</x:t>
  </x:si>
  <x:si>
    <x:t xml:space="preserve">AB格莱萨克瑟 vs 奥尔堡</x:t>
  </x:si>
  <x:si>
    <x:t xml:space="preserve">0.82/0.25/1.00</x:t>
  </x:si>
  <x:si>
    <x:t xml:space="preserve">AB格莱萨克瑟</x:t>
  </x:si>
  <x:si>
    <x:t xml:space="preserve">弗雷德里西亚 vs 埃斯比约</x:t>
  </x:si>
  <x:si>
    <x:t xml:space="preserve">0.84/1.25/1.05</x:t>
  </x:si>
  <x:si>
    <x:t xml:space="preserve">弗雷德里西亚</x:t>
  </x:si>
  <x:si>
    <x:t xml:space="preserve">哈萨克超</x:t>
  </x:si>
  <x:si>
    <x:t xml:space="preserve">卡斯比阿克套 vs 阿拉木图凯拉特</x:t>
  </x:si>
  <x:si>
    <x:t xml:space="preserve">0.80/-1.25/1.06</x:t>
  </x:si>
  <x:si>
    <x:t xml:space="preserve">阿拉木图凯拉特</x:t>
  </x:si>
  <x:si>
    <x:t xml:space="preserve">德丙</x:t>
  </x:si>
  <x:si>
    <x:t xml:space="preserve">普鲁士明斯特 vs 哈韦尔斯</x:t>
  </x:si>
  <x:si>
    <x:t xml:space="preserve">0.81/0.75/1.05</x:t>
  </x:si>
  <x:si>
    <x:t xml:space="preserve">普鲁士明斯特</x:t>
  </x:si>
  <x:si>
    <x:t xml:space="preserve">梅彭 vs 萨尔布吕肯</x:t>
  </x:si>
  <x:si>
    <x:t xml:space="preserve">0.83/0/1.03</x:t>
  </x:si>
  <x:si>
    <x:t xml:space="preserve">萨尔布吕肯</x:t>
  </x:si>
  <x:si>
    <x:t xml:space="preserve">1-6</x:t>
  </x:si>
  <x:si>
    <x:t xml:space="preserve">罗斯托克 vs 韦恩</x:t>
  </x:si>
  <x:si>
    <x:t xml:space="preserve">1.02/1/0.84</x:t>
  </x:si>
  <x:si>
    <x:t xml:space="preserve">罗斯托克</x:t>
  </x:si>
  <x:si>
    <x:t xml:space="preserve">雷根斯堡 vs 杜伊斯堡</x:t>
  </x:si>
  <x:si>
    <x:t xml:space="preserve">1.06/-0.5/0.80</x:t>
  </x:si>
  <x:si>
    <x:t xml:space="preserve">杜伊斯堡</x:t>
  </x:si>
  <x:si>
    <x:t xml:space="preserve">斯吉德 vs 卡积沙斯</x:t>
  </x:si>
  <x:si>
    <x:t xml:space="preserve">0.94/-0.75/0.76</x:t>
  </x:si>
  <x:si>
    <x:t xml:space="preserve">卡积沙斯</x:t>
  </x:si>
  <x:si>
    <x:t xml:space="preserve">法乙</x:t>
  </x:si>
  <x:si>
    <x:t xml:space="preserve">兰斯 vs 甘冈</x:t>
  </x:si>
  <x:si>
    <x:t xml:space="preserve">0.89/0.75/0.99</x:t>
  </x:si>
  <x:si>
    <x:t xml:space="preserve">甘冈</x:t>
  </x:si>
  <x:si>
    <x:t xml:space="preserve">梅斯 vs 罗德兹</x:t>
  </x:si>
  <x:si>
    <x:t xml:space="preserve">0.81/0.25/1.07</x:t>
  </x:si>
  <x:si>
    <x:t xml:space="preserve">梅斯</x:t>
  </x:si>
  <x:si>
    <x:t xml:space="preserve">2026-09-05 20:30</x:t>
  </x:si>
  <x:si>
    <x:t xml:space="preserve">乌克超</x:t>
  </x:si>
  <x:si>
    <x:t xml:space="preserve">梅塔利斯特1925 vs 奥博隆</x:t>
  </x:si>
  <x:si>
    <x:t xml:space="preserve">0.86/1.25/1.02</x:t>
  </x:si>
  <x:si>
    <x:t xml:space="preserve">梅塔利斯特1925</x:t>
  </x:si>
  <x:si>
    <x:t xml:space="preserve">奥地利杯</x:t>
  </x:si>
  <x:si>
    <x:t xml:space="preserve">拉夫尼茨 vs 奥地利卢斯特瑙</x:t>
  </x:si>
  <x:si>
    <x:t xml:space="preserve">0.92/-1.5/0.78</x:t>
  </x:si>
  <x:si>
    <x:t xml:space="preserve">奥地利卢斯特瑙</x:t>
  </x:si>
  <x:si>
    <x:t xml:space="preserve">2026-09-05 20:45</x:t>
  </x:si>
  <x:si>
    <x:t xml:space="preserve">法丙</x:t>
  </x:si>
  <x:si>
    <x:t xml:space="preserve">巴斯蒂亚 vs 亚眠</x:t>
  </x:si>
  <x:si>
    <x:t xml:space="preserve">0.81/0.25/1.01</x:t>
  </x:si>
  <x:si>
    <x:t xml:space="preserve">巴斯蒂亚</x:t>
  </x:si>
  <x:si>
    <x:t xml:space="preserve">2026-09-05 21:00</x:t>
  </x:si>
  <x:si>
    <x:t xml:space="preserve">乌兹超</x:t>
  </x:si>
  <x:si>
    <x:t xml:space="preserve">库鲁维奇科坎 vs 萨马尔罕迪纳摩</x:t>
  </x:si>
  <x:si>
    <x:t xml:space="preserve">1.04/0/0.82</x:t>
  </x:si>
  <x:si>
    <x:t xml:space="preserve">萨马尔罕迪纳摩</x:t>
  </x:si>
  <x:si>
    <x:t xml:space="preserve">南非超</x:t>
  </x:si>
  <x:si>
    <x:t xml:space="preserve">茨普帕 vs 米尔福德</x:t>
  </x:si>
  <x:si>
    <x:t xml:space="preserve">0.74/-0.25/1.08</x:t>
  </x:si>
  <x:si>
    <x:t xml:space="preserve">米尔福德</x:t>
  </x:si>
  <x:si>
    <x:t xml:space="preserve">班迪马士邦 vs 波卢斯堡</x:t>
  </x:si>
  <x:si>
    <x:t xml:space="preserve">0.81/1.5/1.01</x:t>
  </x:si>
  <x:si>
    <x:t xml:space="preserve">班迪马士邦</x:t>
  </x:si>
  <x:si>
    <x:t xml:space="preserve">6-0</x:t>
  </x:si>
  <x:si>
    <x:t xml:space="preserve">诺尔比 vs 兰斯科罗纳</x:t>
  </x:si>
  <x:si>
    <x:t xml:space="preserve">1.03/0/0.86</x:t>
  </x:si>
  <x:si>
    <x:t xml:space="preserve">诺尔比</x:t>
  </x:si>
  <x:si>
    <x:t xml:space="preserve">葡乙</x:t>
  </x:si>
  <x:si>
    <x:t xml:space="preserve">凡恩尼斯 vs 费雷拉</x:t>
  </x:si>
  <x:si>
    <x:t xml:space="preserve">0.76/0/0.94</x:t>
  </x:si>
  <x:si>
    <x:t xml:space="preserve">凡恩尼斯</x:t>
  </x:si>
  <x:si>
    <x:t xml:space="preserve">2026-09-05 21:30</x:t>
  </x:si>
  <x:si>
    <x:t xml:space="preserve">俄超</x:t>
  </x:si>
  <x:si>
    <x:t xml:space="preserve">圣彼得堡泽尼特 vs 莫斯科中央陆军</x:t>
  </x:si>
  <x:si>
    <x:t xml:space="preserve">0.98/1/0.91</x:t>
  </x:si>
  <x:si>
    <x:t xml:space="preserve">圣彼得堡泽尼特</x:t>
  </x:si>
  <x:si>
    <x:t xml:space="preserve">云达不莱梅 vs RB莱比锡</x:t>
  </x:si>
  <x:si>
    <x:t xml:space="preserve">0.94/-0.75/0.95</x:t>
  </x:si>
  <x:si>
    <x:t xml:space="preserve">云达不莱梅</x:t>
  </x:si>
  <x:si>
    <x:t xml:space="preserve">勒沃库森 vs 柏林联合</x:t>
  </x:si>
  <x:si>
    <x:t xml:space="preserve">勒沃库森</x:t>
  </x:si>
  <x:si>
    <x:t xml:space="preserve">帕德博恩 vs 弗赖堡</x:t>
  </x:si>
  <x:si>
    <x:t xml:space="preserve">0.95/-0.5/0.94</x:t>
  </x:si>
  <x:si>
    <x:t xml:space="preserve">帕德博恩</x:t>
  </x:si>
  <x:si>
    <x:t xml:space="preserve">门兴格拉德巴赫 vs 埃弗斯堡</x:t>
  </x:si>
  <x:si>
    <x:t xml:space="preserve">0.91/0.5/0.98</x:t>
  </x:si>
  <x:si>
    <x:t xml:space="preserve">门兴格拉德巴赫</x:t>
  </x:si>
  <x:si>
    <x:t xml:space="preserve">霍芬海姆 vs 多特蒙德</x:t>
  </x:si>
  <x:si>
    <x:t xml:space="preserve">0.99/0/0.90</x:t>
  </x:si>
  <x:si>
    <x:t xml:space="preserve">多特蒙德</x:t>
  </x:si>
  <x:si>
    <x:t xml:space="preserve">2026-09-05 21:45</x:t>
  </x:si>
  <x:si>
    <x:t xml:space="preserve">沙迦 vs 迪拜联合</x:t>
  </x:si>
  <x:si>
    <x:t xml:space="preserve">0.82/1/1.06</x:t>
  </x:si>
  <x:si>
    <x:t xml:space="preserve">沙迦</x:t>
  </x:si>
  <x:si>
    <x:t xml:space="preserve">2026-09-05 22:00</x:t>
  </x:si>
  <x:si>
    <x:t xml:space="preserve">俄甲</x:t>
  </x:si>
  <x:si>
    <x:t xml:space="preserve">索契 vs 下诺夫哥罗德</x:t>
  </x:si>
  <x:si>
    <x:t xml:space="preserve">0.82/0/1.04</x:t>
  </x:si>
  <x:si>
    <x:t xml:space="preserve">索契</x:t>
  </x:si>
  <x:si>
    <x:t xml:space="preserve">冰岛甲</x:t>
  </x:si>
  <x:si>
    <x:t xml:space="preserve">嘉德维克 vs 阿费查尔丁</x:t>
  </x:si>
  <x:si>
    <x:t xml:space="preserve">0.98/-0.25/0.78</x:t>
  </x:si>
  <x:si>
    <x:t xml:space="preserve">阿费查尔丁</x:t>
  </x:si>
  <x:si>
    <x:t xml:space="preserve">维斯特瑞 vs 特罗图尔</x:t>
  </x:si>
  <x:si>
    <x:t xml:space="preserve">0.99/-0.25/0.77</x:t>
  </x:si>
  <x:si>
    <x:t xml:space="preserve">特罗图尔</x:t>
  </x:si>
  <x:si>
    <x:t xml:space="preserve">艾格尔 vs 格林达维克</x:t>
  </x:si>
  <x:si>
    <x:t xml:space="preserve">0.92/-1.75/0.84</x:t>
  </x:si>
  <x:si>
    <x:t xml:space="preserve">格林达维克</x:t>
  </x:si>
  <x:si>
    <x:t xml:space="preserve">赖扬 vs 杜海勒</x:t>
  </x:si>
  <x:si>
    <x:t xml:space="preserve">赖扬</x:t>
  </x:si>
  <x:si>
    <x:t xml:space="preserve">克孜勒扎尔 vs 阿迪拿奥</x:t>
  </x:si>
  <x:si>
    <x:t xml:space="preserve">0.83/0.25/1.03</x:t>
  </x:si>
  <x:si>
    <x:t xml:space="preserve">克孜勒扎尔</x:t>
  </x:si>
  <x:si>
    <x:t xml:space="preserve">挪甲</x:t>
  </x:si>
  <x:si>
    <x:t xml:space="preserve">斯托曼 vs 布莱尼</x:t>
  </x:si>
  <x:si>
    <x:t xml:space="preserve">0.89/-0.5/0.95</x:t>
  </x:si>
  <x:si>
    <x:t xml:space="preserve">布莱尼</x:t>
  </x:si>
  <x:si>
    <x:t xml:space="preserve">海于格松 vs 松达尔</x:t>
  </x:si>
  <x:si>
    <x:t xml:space="preserve">0.97/1.75/0.87</x:t>
  </x:si>
  <x:si>
    <x:t xml:space="preserve">海于格松</x:t>
  </x:si>
  <x:si>
    <x:t xml:space="preserve">罗森博格 vs 汉坎</x:t>
  </x:si>
  <x:si>
    <x:t xml:space="preserve">0.83/1.5/1.06</x:t>
  </x:si>
  <x:si>
    <x:t xml:space="preserve">罗森博格</x:t>
  </x:si>
  <x:si>
    <x:t xml:space="preserve">沙勒罗瓦 vs 圣吉罗斯</x:t>
  </x:si>
  <x:si>
    <x:t xml:space="preserve">1.06/-0.25/0.83</x:t>
  </x:si>
  <x:si>
    <x:t xml:space="preserve">圣吉罗斯</x:t>
  </x:si>
  <x:si>
    <x:t xml:space="preserve">西布罗姆维奇 vs 沃特福德</x:t>
  </x:si>
  <x:si>
    <x:t xml:space="preserve">0.82/0.5/1.06</x:t>
  </x:si>
  <x:si>
    <x:t xml:space="preserve">西布罗姆维奇</x:t>
  </x:si>
  <x:si>
    <x:t xml:space="preserve">西汉姆联 vs 德比郡</x:t>
  </x:si>
  <x:si>
    <x:t xml:space="preserve">0.85/1.25/1.03</x:t>
  </x:si>
  <x:si>
    <x:t xml:space="preserve">德比郡</x:t>
  </x:si>
  <x:si>
    <x:t xml:space="preserve">卢顿 vs 莱顿东方</x:t>
  </x:si>
  <x:si>
    <x:t xml:space="preserve">1.00/1/0.88</x:t>
  </x:si>
  <x:si>
    <x:t xml:space="preserve">卢顿</x:t>
  </x:si>
  <x:si>
    <x:t xml:space="preserve">布拉德福德 vs 曼斯菲尔德</x:t>
  </x:si>
  <x:si>
    <x:t xml:space="preserve">0.85/0.5/1.03</x:t>
  </x:si>
  <x:si>
    <x:t xml:space="preserve">曼斯菲尔德</x:t>
  </x:si>
  <x:si>
    <x:t xml:space="preserve">富勒姆 vs 水晶宫</x:t>
  </x:si>
  <x:si>
    <x:t xml:space="preserve">0.85/0.25/1.04</x:t>
  </x:si>
  <x:si>
    <x:t xml:space="preserve">水晶宫</x:t>
  </x:si>
  <x:si>
    <x:t xml:space="preserve">曼彻斯特城 vs 考文垂</x:t>
  </x:si>
  <x:si>
    <x:t xml:space="preserve">曼彻斯特城</x:t>
  </x:si>
  <x:si>
    <x:t xml:space="preserve">诺丁汉森林 vs 托特纳姆热刺</x:t>
  </x:si>
  <x:si>
    <x:t xml:space="preserve">0.82/0/1.07</x:t>
  </x:si>
  <x:si>
    <x:t xml:space="preserve">诺丁汉森林</x:t>
  </x:si>
  <x:si>
    <x:t xml:space="preserve">2026-09-05 22:15</x:t>
  </x:si>
  <x:si>
    <x:t xml:space="preserve">西乙</x:t>
  </x:si>
  <x:si>
    <x:t xml:space="preserve">希洪竞技 vs 赫罗纳</x:t>
  </x:si>
  <x:si>
    <x:t xml:space="preserve">0.78/-0.25/1.12</x:t>
  </x:si>
  <x:si>
    <x:t xml:space="preserve">赫罗纳</x:t>
  </x:si>
  <x:si>
    <x:t xml:space="preserve">毕尔巴鄂竞技 vs 马德里竞技</x:t>
  </x:si>
  <x:si>
    <x:t xml:space="preserve">0.80/-0.25/1.09</x:t>
  </x:si>
  <x:si>
    <x:t xml:space="preserve">马德里竞技</x:t>
  </x:si>
  <x:si>
    <x:t xml:space="preserve">2026-09-05 22:30</x:t>
  </x:si>
  <x:si>
    <x:t xml:space="preserve">埃森 vs 科隆胜利</x:t>
  </x:si>
  <x:si>
    <x:t xml:space="preserve">0.84/0.5/1.02</x:t>
  </x:si>
  <x:si>
    <x:t xml:space="preserve">埃森</x:t>
  </x:si>
  <x:si>
    <x:t xml:space="preserve">阿马多拉 vs 法马利康</x:t>
  </x:si>
  <x:si>
    <x:t xml:space="preserve">1.07/0/0.82</x:t>
  </x:si>
  <x:si>
    <x:t xml:space="preserve">阿马多拉</x:t>
  </x:si>
  <x:si>
    <x:t xml:space="preserve">2026-09-05 23:00</x:t>
  </x:si>
  <x:si>
    <x:t xml:space="preserve">卡帕迪 vs 顿涅茨克矿工</x:t>
  </x:si>
  <x:si>
    <x:t xml:space="preserve">0.85/-0.75/1.03</x:t>
  </x:si>
  <x:si>
    <x:t xml:space="preserve">卡帕迪</x:t>
  </x:si>
  <x:si>
    <x:t xml:space="preserve">克亚甲</x:t>
  </x:si>
  <x:si>
    <x:t xml:space="preserve">萨格勒布迪纳摩 vs HNK哥里卡</x:t>
  </x:si>
  <x:si>
    <x:t xml:space="preserve">0.93/2.25/0.89</x:t>
  </x:si>
  <x:si>
    <x:t xml:space="preserve">萨格勒布迪纳摩</x:t>
  </x:si>
  <x:si>
    <x:t xml:space="preserve">SV莱塔普 vs WSG蒂罗尔</x:t>
  </x:si>
  <x:si>
    <x:t xml:space="preserve">0.91/-3/0.79</x:t>
  </x:si>
  <x:si>
    <x:t xml:space="preserve">WSG蒂罗尔</x:t>
  </x:si>
  <x:si>
    <x:t xml:space="preserve">布拉格 vs 松兹瓦尔</x:t>
  </x:si>
  <x:si>
    <x:t xml:space="preserve">0.99/1/0.90</x:t>
  </x:si>
  <x:si>
    <x:t xml:space="preserve">布拉格</x:t>
  </x:si>
  <x:si>
    <x:t xml:space="preserve">2026-09-05 23:15</x:t>
  </x:si>
  <x:si>
    <x:t xml:space="preserve">意乙</x:t>
  </x:si>
  <x:si>
    <x:t xml:space="preserve">阿斯科利 vs 贝内文托</x:t>
  </x:si>
  <x:si>
    <x:t xml:space="preserve">0.86/0/1.02</x:t>
  </x:si>
  <x:si>
    <x:t xml:space="preserve">阿斯科利</x:t>
  </x:si>
  <x:si>
    <x:t xml:space="preserve">朗斯 vs 洛里昂</x:t>
  </x:si>
  <x:si>
    <x:t xml:space="preserve">0.94/1/0.95</x:t>
  </x:si>
  <x:si>
    <x:t xml:space="preserve">朗斯</x:t>
  </x:si>
  <x:si>
    <x:t xml:space="preserve">2026-09-05 23:30</x:t>
  </x:si>
  <x:si>
    <x:t xml:space="preserve">特赖斯基兴 vs 奥地利维也纳</x:t>
  </x:si>
  <x:si>
    <x:t xml:space="preserve">0.88/-2.25/0.82</x:t>
  </x:si>
  <x:si>
    <x:t xml:space="preserve">奥地利维也纳</x:t>
  </x:si>
  <x:si>
    <x:t xml:space="preserve">0-6</x:t>
  </x:si>
  <x:si>
    <x:t xml:space="preserve">瓦斯特拉斯 vs 天狼星</x:t>
  </x:si>
  <x:si>
    <x:t xml:space="preserve">1.03/-0.5/0.86</x:t>
  </x:si>
  <x:si>
    <x:t xml:space="preserve">瓦斯特拉斯</x:t>
  </x:si>
  <x:si>
    <x:t xml:space="preserve">2026-09-05 23:35</x:t>
  </x:si>
  <x:si>
    <x:t xml:space="preserve">科威特联</x:t>
  </x:si>
  <x:si>
    <x:t xml:space="preserve">阿尔科威特 vs 杰拉</x:t>
  </x:si>
  <x:si>
    <x:t xml:space="preserve">0.94/2.5/0.82</x:t>
  </x:si>
  <x:si>
    <x:t xml:space="preserve">阿尔科威特</x:t>
  </x:si>
  <x:si>
    <x:t xml:space="preserve">2026-09-05 23:50</x:t>
  </x:si>
  <x:si>
    <x:t xml:space="preserve">费萨里哈曼 vs 哈森姆</x:t>
  </x:si>
  <x:si>
    <x:t xml:space="preserve">0.85/0.25/1.03</x:t>
  </x:si>
  <x:si>
    <x:t xml:space="preserve">费萨里哈曼</x:t>
  </x:si>
  <x:si>
    <x:t xml:space="preserve">2026-09-05 23:55</x:t>
  </x:si>
  <x:si>
    <x:t xml:space="preserve">布赖代合作 vs 哈萨征服</x:t>
  </x:si>
  <x:si>
    <x:t xml:space="preserve">0.84/0.5/1.04</x:t>
  </x:si>
  <x:si>
    <x:t xml:space="preserve">布赖代合作</x:t>
  </x:si>
  <x:si>
    <x:t xml:space="preserve">2026-09-06 00:00</x:t>
  </x:si>
  <x:si>
    <x:t xml:space="preserve">丹麦超</x:t>
  </x:si>
  <x:si>
    <x:t xml:space="preserve">奥胡斯 vs 锡尔克堡</x:t>
  </x:si>
  <x:si>
    <x:t xml:space="preserve">0.84/1/1.05</x:t>
  </x:si>
  <x:si>
    <x:t xml:space="preserve">奥胡斯</x:t>
  </x:si>
  <x:si>
    <x:t xml:space="preserve">意丙</x:t>
  </x:si>
  <x:si>
    <x:t xml:space="preserve">克罗托内 vs 巴勒塔</x:t>
  </x:si>
  <x:si>
    <x:t xml:space="preserve">0.75/0.25/1.01</x:t>
  </x:si>
  <x:si>
    <x:t xml:space="preserve">克罗托内</x:t>
  </x:si>
  <x:si>
    <x:t xml:space="preserve">坎伯巴索 vs 古比奥</x:t>
  </x:si>
  <x:si>
    <x:t xml:space="preserve">0.82/0.5/0.94</x:t>
  </x:si>
  <x:si>
    <x:t xml:space="preserve">坎伯巴索</x:t>
  </x:si>
  <x:si>
    <x:t xml:space="preserve">2-4</x:t>
  </x:si>
  <x:si>
    <x:t xml:space="preserve">国际米兰 vs 那不勒斯</x:t>
  </x:si>
  <x:si>
    <x:t xml:space="preserve">0.84/0.75/1.05</x:t>
  </x:si>
  <x:si>
    <x:t xml:space="preserve">国际米兰</x:t>
  </x:si>
  <x:si>
    <x:t xml:space="preserve">捷乙</x:t>
  </x:si>
  <x:si>
    <x:t xml:space="preserve">奥帕瓦 vs 杜库拉</x:t>
  </x:si>
  <x:si>
    <x:t xml:space="preserve">1.08/0/0.76</x:t>
  </x:si>
  <x:si>
    <x:t xml:space="preserve">杜库拉</x:t>
  </x:si>
  <x:si>
    <x:t xml:space="preserve">阿蒂斯布尔诺 vs 比尔森胜利</x:t>
  </x:si>
  <x:si>
    <x:t xml:space="preserve">1.06/-1/0.82</x:t>
  </x:si>
  <x:si>
    <x:t xml:space="preserve">阿蒂斯布尔诺</x:t>
  </x:si>
  <x:si>
    <x:t xml:space="preserve">年轻人 vs 卢塞恩</x:t>
  </x:si>
  <x:si>
    <x:t xml:space="preserve">0.93/1.25/0.96</x:t>
  </x:si>
  <x:si>
    <x:t xml:space="preserve">年轻人</x:t>
  </x:si>
  <x:si>
    <x:t xml:space="preserve">瓦杜兹 vs 洛桑</x:t>
  </x:si>
  <x:si>
    <x:t xml:space="preserve">0.96/0.25/0.93</x:t>
  </x:si>
  <x:si>
    <x:t xml:space="preserve">甘马雷斯B队 vs 泰罗芬斯</x:t>
  </x:si>
  <x:si>
    <x:t xml:space="preserve">0.72/0.5/0.98</x:t>
  </x:si>
  <x:si>
    <x:t xml:space="preserve">泰罗芬斯</x:t>
  </x:si>
  <x:si>
    <x:t xml:space="preserve">西协甲</x:t>
  </x:si>
  <x:si>
    <x:t xml:space="preserve">伊维萨 vs 瑞欧马加达宏达</x:t>
  </x:si>
  <x:si>
    <x:t xml:space="preserve">0.84/0.5/0.86</x:t>
  </x:si>
  <x:si>
    <x:t xml:space="preserve">伊维萨</x:t>
  </x:si>
  <x:si>
    <x:t xml:space="preserve">2026-09-06 00:30</x:t>
  </x:si>
  <x:si>
    <x:t xml:space="preserve">沙尔克04 vs 拜仁慕尼黑</x:t>
  </x:si>
  <x:si>
    <x:t xml:space="preserve">0.85/-2.5/1.04</x:t>
  </x:si>
  <x:si>
    <x:t xml:space="preserve">休达 vs 塞尔塔B队</x:t>
  </x:si>
  <x:si>
    <x:t xml:space="preserve">1.06/0.5/0.83</x:t>
  </x:si>
  <x:si>
    <x:t xml:space="preserve">休达</x:t>
  </x:si>
  <x:si>
    <x:t xml:space="preserve">巴列卡诺 vs 桑坦德竞技</x:t>
  </x:si>
  <x:si>
    <x:t xml:space="preserve">1.04/0.5/0.85</x:t>
  </x:si>
  <x:si>
    <x:t xml:space="preserve">巴列卡诺</x:t>
  </x:si>
  <x:si>
    <x:t xml:space="preserve">2026-09-06 00:45</x:t>
  </x:si>
  <x:si>
    <x:t xml:space="preserve">庞特贝德拉 vs 亚勒那斯</x:t>
  </x:si>
  <x:si>
    <x:t xml:space="preserve">0.79/0.5/0.91</x:t>
  </x:si>
  <x:si>
    <x:t xml:space="preserve">庞特贝德拉</x:t>
  </x:si>
  <x:si>
    <x:t xml:space="preserve">2026-09-06 01:00</x:t>
  </x:si>
  <x:si>
    <x:t xml:space="preserve">佩迪卡斯堡 vs 尤姆尼耶士邦</x:t>
  </x:si>
  <x:si>
    <x:t xml:space="preserve">尤姆尼耶士邦</x:t>
  </x:si>
  <x:si>
    <x:t xml:space="preserve">2026-09-06 02:00</x:t>
  </x:si>
  <x:si>
    <x:t xml:space="preserve">里耶卡 vs 奥斯杰克</x:t>
  </x:si>
  <x:si>
    <x:t xml:space="preserve">0.84/0.5/0.98</x:t>
  </x:si>
  <x:si>
    <x:t xml:space="preserve">里耶卡</x:t>
  </x:si>
  <x:si>
    <x:t xml:space="preserve">2026-09-06 02:30</x:t>
  </x:si>
  <x:si>
    <x:t xml:space="preserve">奥地利克拉根福 vs 维也纳快速</x:t>
  </x:si>
  <x:si>
    <x:t xml:space="preserve">0.72/-2.75/0.98</x:t>
  </x:si>
  <x:si>
    <x:t xml:space="preserve">维也纳快速</x:t>
  </x:si>
  <x:si>
    <x:t xml:space="preserve">2026-09-06 02:45</x:t>
  </x:si>
  <x:si>
    <x:t xml:space="preserve">罗马 vs 亚特兰大</x:t>
  </x:si>
  <x:si>
    <x:t xml:space="preserve">0.90/0.75/0.99</x:t>
  </x:si>
  <x:si>
    <x:t xml:space="preserve">亚特兰大</x:t>
  </x:si>
  <x:si>
    <x:t xml:space="preserve">标准列日 vs 安特卫普</x:t>
  </x:si>
  <x:si>
    <x:t xml:space="preserve">0.84/0.25/1.05</x:t>
  </x:si>
  <x:si>
    <x:t xml:space="preserve">标准列日</x:t>
  </x:si>
  <x:si>
    <x:t xml:space="preserve">2026-09-06 03:00</x:t>
  </x:si>
  <x:si>
    <x:t xml:space="preserve">巴里 vs 卡萨拉诺</x:t>
  </x:si>
  <x:si>
    <x:t xml:space="preserve">0.81/0.25/0.95</x:t>
  </x:si>
  <x:si>
    <x:t xml:space="preserve">埃登斯 vs 马洛卡</x:t>
  </x:si>
  <x:si>
    <x:t xml:space="preserve">0.94/-0.5/0.95</x:t>
  </x:si>
  <x:si>
    <x:t xml:space="preserve">埃登斯</x:t>
  </x:si>
  <x:si>
    <x:t xml:space="preserve">比利亚雷亚尔 vs 拉科鲁尼亚</x:t>
  </x:si>
  <x:si>
    <x:t xml:space="preserve">0.81/1/1.08</x:t>
  </x:si>
  <x:si>
    <x:t xml:space="preserve">比利亚雷亚尔</x:t>
  </x:si>
  <x:si>
    <x:t xml:space="preserve">2026-09-06 03:30</x:t>
  </x:si>
  <x:si>
    <x:t xml:space="preserve">葡萄牙体育 vs 葡萄牙国民</x:t>
  </x:si>
  <x:si>
    <x:t xml:space="preserve">0.99/2.25/0.90</x:t>
  </x:si>
  <x:si>
    <x:t xml:space="preserve">葡萄牙体育</x:t>
  </x:si>
  <x:si>
    <x:t xml:space="preserve">2026-09-06</x:t>
  </x:si>
  <x:si>
    <x:t xml:space="preserve">2026-09-06 10:30</x:t>
  </x:si>
  <x:si>
    <x:t xml:space="preserve">拉斯维加斯之光 vs 新墨西哥联</x:t>
  </x:si>
  <x:si>
    <x:t xml:space="preserve">新墨西哥联</x:t>
  </x:si>
  <x:si>
    <x:t xml:space="preserve">2026-09-06 10:40</x:t>
  </x:si>
  <x:si>
    <x:t xml:space="preserve">美职业</x:t>
  </x:si>
  <x:si>
    <x:t xml:space="preserve">波特兰伐木者 vs 明尼苏达联</x:t>
  </x:si>
  <x:si>
    <x:t xml:space="preserve">0.86/0/1.03</x:t>
  </x:si>
  <x:si>
    <x:t xml:space="preserve">波特兰伐木者</x:t>
  </x:si>
  <x:si>
    <x:t xml:space="preserve">5-4</x:t>
  </x:si>
  <x:si>
    <x:t xml:space="preserve">2026-09-06 17:00</x:t>
  </x:si>
  <x:si>
    <x:t xml:space="preserve">千叶市原 vs 大阪钢巴</x:t>
  </x:si>
  <x:si>
    <x:t xml:space="preserve">1.07/-0.25/0.82</x:t>
  </x:si>
  <x:si>
    <x:t xml:space="preserve">大阪钢巴</x:t>
  </x:si>
  <x:si>
    <x:t xml:space="preserve">冻结投注水位有记录，但冻结欧赔快照未保存</x:t>
  </x:si>
  <x:si>
    <x:t xml:space="preserve">鹿岛鹿角 vs 浦和红钻</x:t>
  </x:si>
  <x:si>
    <x:t xml:space="preserve">0.83/0.5/1.06</x:t>
  </x:si>
  <x:si>
    <x:t xml:space="preserve">鹿岛鹿角</x:t>
  </x:si>
  <x:si>
    <x:t xml:space="preserve">2026-09-06 18:00</x:t>
  </x:si>
  <x:si>
    <x:t xml:space="preserve">磐田喜悦 vs 富山胜利</x:t>
  </x:si>
  <x:si>
    <x:t xml:space="preserve">磐田喜悦</x:t>
  </x:si>
  <x:si>
    <x:t xml:space="preserve">拉科鲁尼亚B队 vs 卡些连奴</x:t>
  </x:si>
  <x:si>
    <x:t xml:space="preserve">0.75/0/0.95</x:t>
  </x:si>
  <x:si>
    <x:t xml:space="preserve">拉科鲁尼亚B队</x:t>
  </x:si>
  <x:si>
    <x:t xml:space="preserve">2026-09-06 18:30</x:t>
  </x:si>
  <x:si>
    <x:t xml:space="preserve">FC东京 vs 京都不死鸟</x:t>
  </x:si>
  <x:si>
    <x:t xml:space="preserve">1.07/1/0.82</x:t>
  </x:si>
  <x:si>
    <x:t xml:space="preserve">FC东京</x:t>
  </x:si>
  <x:si>
    <x:t xml:space="preserve">2026-09-06 21:00</x:t>
  </x:si>
  <x:si>
    <x:t xml:space="preserve">萨勒尼塔纳 vs 卡维塞</x:t>
  </x:si>
  <x:si>
    <x:t xml:space="preserve">1.11/0.5/0.60</x:t>
  </x:si>
  <x:si>
    <x:t xml:space="preserve">萨勒尼塔纳</x:t>
  </x:si>
  <x:si>
    <x:t xml:space="preserve">史泰比亚 vs 比萨</x:t>
  </x:si>
  <x:si>
    <x:t xml:space="preserve">1.28/0/0.66</x:t>
  </x:si>
  <x:si>
    <x:t xml:space="preserve">比萨</x:t>
  </x:si>
  <x:si>
    <x:t xml:space="preserve">恩特拉 vs 维琴察</x:t>
  </x:si>
  <x:si>
    <x:t xml:space="preserve">0.86/0.25/1.02</x:t>
  </x:si>
  <x:si>
    <x:t xml:space="preserve">恩特拉</x:t>
  </x:si>
  <x:si>
    <x:t xml:space="preserve">帕尔马 vs 蒙扎</x:t>
  </x:si>
  <x:si>
    <x:t xml:space="preserve">0.90/0/0.99</x:t>
  </x:si>
  <x:si>
    <x:t xml:space="preserve">埃弗顿 vs 曼彻斯特联</x:t>
  </x:si>
  <x:si>
    <x:t xml:space="preserve">曼彻斯特联</x:t>
  </x:si>
  <x:si>
    <x:t xml:space="preserve">2026-09-06 21:30</x:t>
  </x:si>
  <x:si>
    <x:t xml:space="preserve">汉堡 vs 美因茨</x:t>
  </x:si>
  <x:si>
    <x:t xml:space="preserve">美因茨</x:t>
  </x:si>
  <x:si>
    <x:t xml:space="preserve">2026-09-06 22:00</x:t>
  </x:si>
  <x:si>
    <x:t xml:space="preserve">隆迪那 vs 欧帕尔利奥</x:t>
  </x:si>
  <x:si>
    <x:t xml:space="preserve">隆迪那</x:t>
  </x:si>
  <x:si>
    <x:t xml:space="preserve">2026-09-06 22:15</x:t>
  </x:si>
  <x:si>
    <x:t xml:space="preserve">巴伦西亚 vs 巴塞罗那</x:t>
  </x:si>
  <x:si>
    <x:t xml:space="preserve">0.98/-1.75/0.91</x:t>
  </x:si>
  <x:si>
    <x:t xml:space="preserve">巴伦西亚</x:t>
  </x:si>
  <x:si>
    <x:t xml:space="preserve">2026-09-06 23:30</x:t>
  </x:si>
  <x:si>
    <x:t xml:space="preserve">塞雷那 vs 奴伯伦斯</x:t>
  </x:si>
  <x:si>
    <x:t xml:space="preserve">塞雷那</x:t>
  </x:si>
  <x:si>
    <x:t xml:space="preserve">2026-09-07 00:00</x:t>
  </x:si>
  <x:si>
    <x:t xml:space="preserve">阿乙曼特秋</x:t>
  </x:si>
  <x:si>
    <x:t xml:space="preserve">卡米尼罗斯 vs 基尔梅斯阿根廷</x:t>
  </x:si>
  <x:si>
    <x:t xml:space="preserve">卡米尼罗斯</x:t>
  </x:si>
  <x:si>
    <x:t xml:space="preserve">2026-09-07 00:15</x:t>
  </x:si>
  <x:si>
    <x:t xml:space="preserve">毕尔巴鄂竞技B队 vs 皇家阿维勒斯</x:t>
  </x:si>
  <x:si>
    <x:t xml:space="preserve">0.76/0.25/0.94</x:t>
  </x:si>
  <x:si>
    <x:t xml:space="preserve">毕尔巴鄂竞技B队</x:t>
  </x:si>
  <x:si>
    <x:t xml:space="preserve">艾斯马度华 vs 费罗尔竞技</x:t>
  </x:si>
  <x:si>
    <x:t xml:space="preserve">0.73/0.25/0.97</x:t>
  </x:si>
  <x:si>
    <x:t xml:space="preserve">艾斯马度华</x:t>
  </x:si>
  <x:si>
    <x:t xml:space="preserve">2026-09-07 01:45</x:t>
  </x:si>
  <x:si>
    <x:t xml:space="preserve">阿甲</x:t>
  </x:si>
  <x:si>
    <x:t xml:space="preserve">罗萨里奥中央 vs 纽维尔老男孩</x:t>
  </x:si>
  <x:si>
    <x:t xml:space="preserve">纽维尔老男孩</x:t>
  </x:si>
  <x:si>
    <x:t xml:space="preserve">2026-09-07 01:50</x:t>
  </x:si>
  <x:si>
    <x:t xml:space="preserve">艾沙比KUW vs 卡斯马</x:t>
  </x:si>
  <x:si>
    <x:t xml:space="preserve">0.96/-0.75/0.80</x:t>
  </x:si>
  <x:si>
    <x:t xml:space="preserve">卡斯马</x:t>
  </x:si>
  <x:si>
    <x:t xml:space="preserve">2026-09-07 02:00</x:t>
  </x:si>
  <x:si>
    <x:t xml:space="preserve">乌尔基萨大学 vs 梅洛小阿根廷</x:t>
  </x:si>
  <x:si>
    <x:t xml:space="preserve">梅洛小阿根廷</x:t>
  </x:si>
  <x:si>
    <x:t xml:space="preserve">利涅尔斯 vs 拉费雷尔</x:t>
  </x:si>
  <x:si>
    <x:t xml:space="preserve">0.81/0/0.89</x:t>
  </x:si>
  <x:si>
    <x:t xml:space="preserve">利涅尔斯</x:t>
  </x:si>
  <x:si>
    <x:t xml:space="preserve">维拉圣卡罗斯 vs 布朗安德奎</x:t>
  </x:si>
  <x:si>
    <x:t xml:space="preserve">0.92/0.25/0.78</x:t>
  </x:si>
  <x:si>
    <x:t xml:space="preserve">维拉圣卡罗斯</x:t>
  </x:si>
  <x:si>
    <x:t xml:space="preserve">2026-09-07 02:30</x:t>
  </x:si>
  <x:si>
    <x:t xml:space="preserve">阿乙</x:t>
  </x:si>
  <x:si>
    <x:t xml:space="preserve">阿马格罗 vs 祖祖尔甘拿斯亚</x:t>
  </x:si>
  <x:si>
    <x:t xml:space="preserve">0.98/0/0.84</x:t>
  </x:si>
  <x:si>
    <x:t xml:space="preserve">祖祖尔甘拿斯亚</x:t>
  </x:si>
  <x:si>
    <x:t xml:space="preserve">2026-09-07 02:45</x:t>
  </x:si>
  <x:si>
    <x:t xml:space="preserve">尤文图斯 vs AC米兰</x:t>
  </x:si>
  <x:si>
    <x:t xml:space="preserve">尤文图斯</x:t>
  </x:si>
  <x:si>
    <x:t xml:space="preserve">马赛 vs 巴黎FC</x:t>
  </x:si>
  <x:si>
    <x:t xml:space="preserve">0.92/0.5/0.97</x:t>
  </x:si>
  <x:si>
    <x:t xml:space="preserve">马赛</x:t>
  </x:si>
  <x:si>
    <x:t xml:space="preserve">2026-09-07 03:00</x:t>
  </x:si>
  <x:si>
    <x:t xml:space="preserve">瑞模贝雷 vs 弗拉门戈</x:t>
  </x:si>
  <x:si>
    <x:t xml:space="preserve">弗拉门戈</x:t>
  </x:si>
  <x:si>
    <x:t xml:space="preserve">卡塞塔纳 vs 斯卡法塔森</x:t>
  </x:si>
  <x:si>
    <x:t xml:space="preserve">0.83/0.5/0.87</x:t>
  </x:si>
  <x:si>
    <x:t xml:space="preserve">卡塞塔纳</x:t>
  </x:si>
  <x:si>
    <x:t xml:space="preserve">2026-09-07 04:00</x:t>
  </x:si>
  <x:si>
    <x:t xml:space="preserve">北索尔塔中央 vs 阿尔米兰提布朗</x:t>
  </x:si>
  <x:si>
    <x:t xml:space="preserve">0.78/0.25/1.04</x:t>
  </x:si>
  <x:si>
    <x:t xml:space="preserve">北索尔塔中央</x:t>
  </x:si>
  <x:si>
    <x:t xml:space="preserve">科尔多瓦中央SDE vs 阿根廷独立</x:t>
  </x:si>
  <x:si>
    <x:t xml:space="preserve">0.85/-0.25/1.04</x:t>
  </x:si>
  <x:si>
    <x:t xml:space="preserve">阿根廷独立</x:t>
  </x:si>
  <x:si>
    <x:t xml:space="preserve">2026-09-07 05:00</x:t>
  </x:si>
  <x:si>
    <x:t xml:space="preserve">德芬 vs 基多天主大学</x:t>
  </x:si>
  <x:si>
    <x:t xml:space="preserve">基多天主大学</x:t>
  </x:si>
  <x:si>
    <x:t xml:space="preserve">波哥大国际 vs 阿古拉斯多拉达斯</x:t>
  </x:si>
  <x:si>
    <x:t xml:space="preserve">0.94/0.5/0.88</x:t>
  </x:si>
  <x:si>
    <x:t xml:space="preserve">波哥大国际</x:t>
  </x:si>
  <x:si>
    <x:t xml:space="preserve">2026-09-07 05:30</x:t>
  </x:si>
  <x:si>
    <x:t xml:space="preserve">卢捷诺体育会 vs 艾美利亚诺体育</x:t>
  </x:si>
  <x:si>
    <x:t xml:space="preserve">艾美利亚诺体育</x:t>
  </x:si>
  <x:si>
    <x:t xml:space="preserve">2026-09-07 06:00</x:t>
  </x:si>
  <x:si>
    <x:t xml:space="preserve">玻利甲</x:t>
  </x:si>
  <x:si>
    <x:t xml:space="preserve">最强者 vs 皇家托马亚波</x:t>
  </x:si>
  <x:si>
    <x:t xml:space="preserve">0.95/2/0.75</x:t>
  </x:si>
  <x:si>
    <x:t xml:space="preserve">最强者</x:t>
  </x:si>
  <x:si>
    <x:t xml:space="preserve">https://www.soccerpunter.com/h2h/Real-Tomayapo-vs-The-Strongest/251693/10024/</x:t>
  </x:si>
  <x:si>
    <x:t xml:space="preserve">2026-09-07 06:30</x:t>
  </x:si>
  <x:si>
    <x:t xml:space="preserve">帕莱斯蒂诺 vs 康塞普西翁大学</x:t>
  </x:si>
  <x:si>
    <x:t xml:space="preserve">0.92/0.75/0.97</x:t>
  </x:si>
  <x:si>
    <x:t xml:space="preserve">帕莱斯蒂诺</x:t>
  </x:si>
  <x:si>
    <x:t xml:space="preserve">https://www.cooperativa.cl/noticias/deportes/futbol/liga-de-primera/palestino-se-repuso-a-dos-penales-fallados-y-remonto-ante-u-de/2026-09-06/214818.html</x:t>
  </x:si>
  <x:si>
    <x:t xml:space="preserve">2026-09-07 07:10</x:t>
  </x:si>
  <x:si>
    <x:t xml:space="preserve">佩雷拉 vs 百万富翁</x:t>
  </x:si>
  <x:si>
    <x:t xml:space="preserve">0.95/-1/0.87</x:t>
  </x:si>
  <x:si>
    <x:t xml:space="preserve">百万富翁</x:t>
  </x:si>
  <x:si>
    <x:t xml:space="preserve">https://www.noticiasrcn.com/deportes/millonarios-pereira-empate-debut-alberto-gamero-1058228</x:t>
  </x:si>
  <x:si>
    <x:t xml:space="preserve">2026-09-07 08:00</x:t>
  </x:si>
  <x:si>
    <x:t xml:space="preserve">库恩卡 vs 利伯塔德洛哈</x:t>
  </x:si>
  <x:si>
    <x:t xml:space="preserve">0.97/0.75/0.91</x:t>
  </x:si>
  <x:si>
    <x:t xml:space="preserve">https://www.totalcorner.com/fr/league/view/101?copy=yes</x:t>
  </x:si>
  <x:si>
    <x:t xml:space="preserve">国民波托斯 vs 布鲁明</x:t>
  </x:si>
  <x:si>
    <x:t xml:space="preserve">0.75/1.25/0.95</x:t>
  </x:si>
  <x:si>
    <x:t xml:space="preserve">国民波托斯</x:t>
  </x:si>
  <x:si>
    <x:t xml:space="preserve">https://www.soccerpunter.com/h2h/Blooming-vs-Nacional-Potosi/7019/8384/</x:t>
  </x:si>
  <x:si>
    <x:t xml:space="preserve">2026-09-07 08:30</x:t>
  </x:si>
  <x:si>
    <x:t xml:space="preserve">竞技俱乐部 vs 图库曼竞技</x:t>
  </x:si>
  <x:si>
    <x:t xml:space="preserve">0.94/0.5/0.95</x:t>
  </x:si>
  <x:si>
    <x:t xml:space="preserve">竞技俱乐部</x:t>
  </x:si>
  <x:si>
    <x:t xml:space="preserve">https://www.mundoascenso.com.ar/resumen-liga-profesional/1493116-racing-vs-atletico-tucuman-06-09-2026</x:t>
  </x:si>
  <x:si>
    <x:t xml:space="preserve">2026-09-07</x:t>
  </x:si>
  <x:si>
    <x:t xml:space="preserve">2026-09-08 00:30</x:t>
  </x:si>
  <x:si>
    <x:t xml:space="preserve">卡利亚里 vs 莱切</x:t>
  </x:si>
  <x:si>
    <x:t xml:space="preserve">1.00/0.5/0.88</x:t>
  </x:si>
  <x:si>
    <x:t xml:space="preserve">卡利亚里</x:t>
  </x:si>
  <x:si>
    <x:t xml:space="preserve">2026-09-08 01:00</x:t>
  </x:si>
  <x:si>
    <x:t xml:space="preserve">赫塔菲 vs 塞尔塔</x:t>
  </x:si>
  <x:si>
    <x:t xml:space="preserve">赫塔菲</x:t>
  </x:si>
  <x:si>
    <x:t xml:space="preserve">2026-09-08 02:00</x:t>
  </x:si>
  <x:si>
    <x:t xml:space="preserve">利雅得新月 vs 新未来城体育</x:t>
  </x:si>
  <x:si>
    <x:t xml:space="preserve">0.85/1.75/0.97</x:t>
  </x:si>
  <x:si>
    <x:t xml:space="preserve">利雅得新月</x:t>
  </x:si>
  <x:si>
    <x:t xml:space="preserve">2026-09-08 07:00</x:t>
  </x:si>
  <x:si>
    <x:t xml:space="preserve">维多利亚 vs 格雷米奥</x:t>
  </x:si>
  <x:si>
    <x:t xml:space="preserve">维多利亚</x:t>
  </x:si>
  <x:si>
    <x:t xml:space="preserve">2026-09-08</x:t>
  </x:si>
  <x:si>
    <x:t xml:space="preserve">2026-09-08 18:30</x:t>
  </x:si>
  <x:si>
    <x:t xml:space="preserve">蔚山HD vs FC首尔</x:t>
  </x:si>
  <x:si>
    <x:t xml:space="preserve">1.04/-0.25/0.84</x:t>
  </x:si>
  <x:si>
    <x:t xml:space="preserve">蔚山HD</x:t>
  </x:si>
  <x:si>
    <x:t xml:space="preserve">2026-09-08 23:30</x:t>
  </x:si>
  <x:si>
    <x:t xml:space="preserve">斯尼杯</x:t>
  </x:si>
  <x:si>
    <x:t xml:space="preserve">伊左拉 vs 塔博塞扎纳</x:t>
  </x:si>
  <x:si>
    <x:t xml:space="preserve">0.90/-1/0.80</x:t>
  </x:si>
  <x:si>
    <x:t xml:space="preserve">塔博塞扎纳</x:t>
  </x:si>
  <x:si>
    <x:t xml:space="preserve">2026-09-09 02:45</x:t>
  </x:si>
  <x:si>
    <x:t xml:space="preserve">卡迪夫城 vs 斯托克城</x:t>
  </x:si>
  <x:si>
    <x:t xml:space="preserve">1.02/0.5/0.86</x:t>
  </x:si>
  <x:si>
    <x:t xml:space="preserve">卡迪夫城</x:t>
  </x:si>
  <x:si>
    <x:t xml:space="preserve">沃特福德 vs 普雷斯顿</x:t>
  </x:si>
  <x:si>
    <x:t xml:space="preserve">英联杯</x:t>
  </x:si>
  <x:si>
    <x:t xml:space="preserve">伯恩茅斯 vs 林肯城</x:t>
  </x:si>
  <x:si>
    <x:t xml:space="preserve">0.84/1.5/0.98</x:t>
  </x:si>
  <x:si>
    <x:t xml:space="preserve">伯恩茅斯</x:t>
  </x:si>
  <x:si>
    <x:t xml:space="preserve">英足总杯</x:t>
  </x:si>
  <x:si>
    <x:t xml:space="preserve">基特宁 vs 威灵保罗夫</x:t>
  </x:si>
  <x:si>
    <x:t xml:space="preserve">1.13/0.75/0.64</x:t>
  </x:si>
  <x:si>
    <x:t xml:space="preserve">基特宁</x:t>
  </x:si>
  <x:si>
    <x:t xml:space="preserve">希治 vs 比格尔斯威德</x:t>
  </x:si>
  <x:si>
    <x:t xml:space="preserve">1.03/0.75/0.73</x:t>
  </x:si>
  <x:si>
    <x:t xml:space="preserve">希治</x:t>
  </x:si>
  <x:si>
    <x:t xml:space="preserve">2026-09-09 03:00</x:t>
  </x:si>
  <x:si>
    <x:t xml:space="preserve">欧冠独立赛事</x:t>
  </x:si>
  <x:si>
    <x:t xml:space="preserve">欧冠杯</x:t>
  </x:si>
  <x:si>
    <x:t xml:space="preserve">波尔图 vs 曼彻斯特城</x:t>
  </x:si>
  <x:si>
    <x:t xml:space="preserve">1.06/-0.75/0.83</x:t>
  </x:si>
  <x:si>
    <x:t xml:space="preserve">博尔顿 vs 西汉姆联</x:t>
  </x:si>
  <x:si>
    <x:t xml:space="preserve">0.83/-1/1.05</x:t>
  </x:si>
  <x:si>
    <x:t xml:space="preserve">2026-09-09 06:00</x:t>
  </x:si>
  <x:si>
    <x:t xml:space="preserve">解放者杯</x:t>
  </x:si>
  <x:si>
    <x:t xml:space="preserve">弗鲁米嫩塞 vs 普拉腾斯</x:t>
  </x:si>
  <x:si>
    <x:t xml:space="preserve">弗鲁米嫩塞</x:t>
  </x:si>
  <x:si>
    <x:t xml:space="preserve">https://m.qiumiwu.com/news/2001164899540</x:t>
  </x:si>
  <x:si>
    <x:t xml:space="preserve">2026-09-09 07:30</x:t>
  </x:si>
  <x:si>
    <x:t xml:space="preserve">智利乙</x:t>
  </x:si>
  <x:si>
    <x:t xml:space="preserve">库里科 vs 西班牙联合</x:t>
  </x:si>
  <x:si>
    <x:t xml:space="preserve">库里科</x:t>
  </x:si>
  <x:si>
    <x:t xml:space="preserve">https://www.sofascore.com/football/match/curico-unido-union-espanola/dnbsVwn</x:t>
  </x:si>
  <x:si>
    <x:t xml:space="preserve">2026-09-09</x:t>
  </x:si>
  <x:si>
    <x:t xml:space="preserve">2026-09-09 17:30</x:t>
  </x:si>
  <x:si>
    <x:t xml:space="preserve">澳足总</x:t>
  </x:si>
  <x:si>
    <x:t xml:space="preserve">悉尼FC vs 墨尔本胜利</x:t>
  </x:si>
  <x:si>
    <x:t xml:space="preserve">1.03/0.25/0.85</x:t>
  </x:si>
  <x:si>
    <x:t xml:space="preserve">悉尼FC</x:t>
  </x:si>
  <x:si>
    <x:t xml:space="preserve">2026-09-09 18:00</x:t>
  </x:si>
  <x:si>
    <x:t xml:space="preserve">松本山雅 vs 湘南海洋</x:t>
  </x:si>
  <x:si>
    <x:t xml:space="preserve">0.70/0/1.13</x:t>
  </x:si>
  <x:si>
    <x:t xml:space="preserve">湘南海洋</x:t>
  </x:si>
  <x:si>
    <x:t xml:space="preserve">福岛FC vs 仙台维加泰</x:t>
  </x:si>
  <x:si>
    <x:t xml:space="preserve">0.85/-1.25/0.97</x:t>
  </x:si>
  <x:si>
    <x:t xml:space="preserve">仙台维加泰</x:t>
  </x:si>
  <x:si>
    <x:t xml:space="preserve">赞岐 vs 千叶市原</x:t>
  </x:si>
  <x:si>
    <x:t xml:space="preserve">0.88/-0.5/0.94</x:t>
  </x:si>
  <x:si>
    <x:t xml:space="preserve">千叶市原</x:t>
  </x:si>
  <x:si>
    <x:t xml:space="preserve">高知联合 vs 长崎成功丸</x:t>
  </x:si>
  <x:si>
    <x:t xml:space="preserve">0.96/-0.75/0.86</x:t>
  </x:si>
  <x:si>
    <x:t xml:space="preserve">2026-09-09 18:30</x:t>
  </x:si>
  <x:si>
    <x:t xml:space="preserve">大田市民 vs FC安养</x:t>
  </x:si>
  <x:si>
    <x:t xml:space="preserve">0.87/1/1.02</x:t>
  </x:si>
  <x:si>
    <x:t xml:space="preserve">FC安养</x:t>
  </x:si>
  <x:si>
    <x:t xml:space="preserve">浦项制铁 vs 金泉尚武</x:t>
  </x:si>
  <x:si>
    <x:t xml:space="preserve">1.05/0/0.84</x:t>
  </x:si>
  <x:si>
    <x:t xml:space="preserve">浦项制铁</x:t>
  </x:si>
  <x:si>
    <x:t xml:space="preserve">2026-09-09 22:30</x:t>
  </x:si>
  <x:si>
    <x:t xml:space="preserve">NK道布 vs NK斯沃博达卢布尔雅那</x:t>
  </x:si>
  <x:si>
    <x:t xml:space="preserve">0.54/-0.75/1.28</x:t>
  </x:si>
  <x:si>
    <x:t xml:space="preserve">NK斯沃博达卢布尔雅那</x:t>
  </x:si>
  <x:si>
    <x:t xml:space="preserve">2026-09-09 23:00</x:t>
  </x:si>
  <x:si>
    <x:t xml:space="preserve">纳萨夫 vs 本尤德科</x:t>
  </x:si>
  <x:si>
    <x:t xml:space="preserve">1.00/1.25/0.86</x:t>
  </x:si>
  <x:si>
    <x:t xml:space="preserve">纳萨夫</x:t>
  </x:si>
  <x:si>
    <x:t xml:space="preserve">2026-09-10 00:45</x:t>
  </x:si>
  <x:si>
    <x:t xml:space="preserve">巴塞罗那 vs 费耶诺德</x:t>
  </x:si>
  <x:si>
    <x:t xml:space="preserve">0.81/3/1.08</x:t>
  </x:si>
  <x:si>
    <x:t xml:space="preserve">巴塞罗那</x:t>
  </x:si>
  <x:si>
    <x:t xml:space="preserve">5-1</x:t>
  </x:si>
  <x:si>
    <x:t xml:space="preserve">斯图加特 vs 维京</x:t>
  </x:si>
  <x:si>
    <x:t xml:space="preserve">1.04/2/0.85</x:t>
  </x:si>
  <x:si>
    <x:t xml:space="preserve">2026-09-10 01:00</x:t>
  </x:si>
  <x:si>
    <x:t xml:space="preserve">西联杯</x:t>
  </x:si>
  <x:si>
    <x:t xml:space="preserve">圣塔玛塔 vs 维米诺</x:t>
  </x:si>
  <x:si>
    <x:t xml:space="preserve">0.84/0.25/0.98</x:t>
  </x:si>
  <x:si>
    <x:t xml:space="preserve">圣塔玛塔</x:t>
  </x:si>
  <x:si>
    <x:t xml:space="preserve">甘普斯特拉 vs CD迪里奥</x:t>
  </x:si>
  <x:si>
    <x:t xml:space="preserve">0.94/0.75/0.88</x:t>
  </x:si>
  <x:si>
    <x:t xml:space="preserve">甘普斯特拉</x:t>
  </x:si>
  <x:si>
    <x:t xml:space="preserve">2026-09-10 02:00</x:t>
  </x:si>
  <x:si>
    <x:t xml:space="preserve">利雅得胜利 vs 艾卜哈</x:t>
  </x:si>
  <x:si>
    <x:t xml:space="preserve">0.86/2.25/1.02</x:t>
  </x:si>
  <x:si>
    <x:t xml:space="preserve">利雅得胜利</x:t>
  </x:si>
  <x:si>
    <x:t xml:space="preserve">托伦CF vs 萨古蒂诺</x:t>
  </x:si>
  <x:si>
    <x:t xml:space="preserve">托伦CF</x:t>
  </x:si>
  <x:si>
    <x:t xml:space="preserve">科米利亚斯 vs 豪斯彼得利特</x:t>
  </x:si>
  <x:si>
    <x:t xml:space="preserve">0.98/-0.75/0.84</x:t>
  </x:si>
  <x:si>
    <x:t xml:space="preserve">豪斯彼得利特</x:t>
  </x:si>
  <x:si>
    <x:t xml:space="preserve">2026-09-10 02:30</x:t>
  </x:si>
  <x:si>
    <x:t xml:space="preserve">皇后杯</x:t>
  </x:si>
  <x:si>
    <x:t xml:space="preserve">埃斯特雷马杜拉女足 vs 卡些连奴女足</x:t>
  </x:si>
  <x:si>
    <x:t xml:space="preserve">0.68/-0.25/1.16</x:t>
  </x:si>
  <x:si>
    <x:t xml:space="preserve">卡些连奴女足</x:t>
  </x:si>
  <x:si>
    <x:t xml:space="preserve">2026-09-10 02:45</x:t>
  </x:si>
  <x:si>
    <x:t xml:space="preserve">德比郡 vs 西布罗姆维奇</x:t>
  </x:si>
  <x:si>
    <x:t xml:space="preserve">1.08/-0.25/0.80</x:t>
  </x:si>
  <x:si>
    <x:t xml:space="preserve">2026-09-10 03:00</x:t>
  </x:si>
  <x:si>
    <x:t xml:space="preserve">葡萄牙体育 vs 加拉塔萨雷</x:t>
  </x:si>
  <x:si>
    <x:t xml:space="preserve">0.83/0.75/1.06</x:t>
  </x:si>
  <x:si>
    <x:t xml:space="preserve">那不勒斯 vs 阿森纳</x:t>
  </x:si>
  <x:si>
    <x:t xml:space="preserve">0.85/-1/1.04</x:t>
  </x:si>
  <x:si>
    <x:t xml:space="preserve">阿森纳</x:t>
  </x:si>
  <x:si>
    <x:t xml:space="preserve">查尔顿 vs 女王公园巡游者</x:t>
  </x:si>
  <x:si>
    <x:t xml:space="preserve">女王公园巡游者</x:t>
  </x:si>
  <x:si>
    <x:t xml:space="preserve">塔拉维亚 vs 纳华尔卡内罗</x:t>
  </x:si>
  <x:si>
    <x:t xml:space="preserve">1.00/0.5/0.82</x:t>
  </x:si>
  <x:si>
    <x:t xml:space="preserve">塔拉维亚</x:t>
  </x:si>
  <x:si>
    <x:t xml:space="preserve">2026-09-10 04:00</x:t>
  </x:si>
  <x:si>
    <x:t xml:space="preserve">委内杯</x:t>
  </x:si>
  <x:si>
    <x:t xml:space="preserve">乌勒纳 vs 祖利亚诺</x:t>
  </x:si>
  <x:si>
    <x:t xml:space="preserve">0.75/-0.25/0.95</x:t>
  </x:si>
  <x:si>
    <x:t xml:space="preserve">祖利亚诺</x:t>
  </x:si>
  <x:si>
    <x:t xml:space="preserve">安索阿特吉 vs 米兰达</x:t>
  </x:si>
  <x:si>
    <x:t xml:space="preserve">安索阿特吉</x:t>
  </x:si>
  <x:si>
    <x:t xml:space="preserve">2026-09-10 04:30</x:t>
  </x:si>
  <x:si>
    <x:t xml:space="preserve">哥伦乙秋</x:t>
  </x:si>
  <x:si>
    <x:t xml:space="preserve">尤姆博独立 vs 奎迪奥</x:t>
  </x:si>
  <x:si>
    <x:t xml:space="preserve">1.00/0.25/0.82</x:t>
  </x:si>
  <x:si>
    <x:t xml:space="preserve">尤姆博独立</x:t>
  </x:si>
  <x:si>
    <x:t xml:space="preserve">2026-09-10 05:00</x:t>
  </x:si>
  <x:si>
    <x:t xml:space="preserve">雷科莱塔体育 vs 圣马洛科斯</x:t>
  </x:si>
  <x:si>
    <x:t xml:space="preserve">0.97/0/0.73</x:t>
  </x:si>
  <x:si>
    <x:t xml:space="preserve">雷科莱塔体育</x:t>
  </x:si>
  <x:si>
    <x:t xml:space="preserve">2026-09-10 06:00</x:t>
  </x:si>
  <x:si>
    <x:t xml:space="preserve">南美杯</x:t>
  </x:si>
  <x:si>
    <x:t xml:space="preserve">桑托斯 vs 米内罗竞技</x:t>
  </x:si>
  <x:si>
    <x:t xml:space="preserve">0.81/0.25/1.08</x:t>
  </x:si>
  <x:si>
    <x:t xml:space="preserve">桑托斯</x:t>
  </x:si>
  <x:si>
    <x:t xml:space="preserve">https://www.santosfc.com.br/pelas-quartas-de-final-da-conmebol-sudamericana-santos-fc-faz-2-a-0-na-vila-belmiro/</x:t>
  </x:si>
  <x:si>
    <x:t xml:space="preserve">帕尔梅拉斯 vs 基多体育大学</x:t>
  </x:si>
  <x:si>
    <x:t xml:space="preserve">0.87/1.25/1.02</x:t>
  </x:si>
  <x:si>
    <x:t xml:space="preserve">帕尔梅拉斯</x:t>
  </x:si>
  <x:si>
    <x:t xml:space="preserve">https://gol.conmebol.com/libertadores/es/news/palmeiras-festejo-pero-definira-su-suerte-ante-liga-de-quito-en-ecuador</x:t>
  </x:si>
  <x:si>
    <x:t xml:space="preserve">阿根廷杯</x:t>
  </x:si>
  <x:si>
    <x:t xml:space="preserve">利斯特雷(中) vs 班菲尔德</x:t>
  </x:si>
  <x:si>
    <x:t xml:space="preserve">利斯特雷(中)</x:t>
  </x:si>
  <x:si>
    <x:t xml:space="preserve">https://www.lanacion.com.ar/deportes/futbol/banfield-elimino-a-riestra-por-penales-y-se-clasifico-a-las-semifinales-de-la-copa-argentina-nid09092026/</x:t>
  </x:si>
  <x:si>
    <x:t xml:space="preserve">2026-09-10 07:00</x:t>
  </x:si>
  <x:si>
    <x:t xml:space="preserve">哥伦杯</x:t>
  </x:si>
  <x:si>
    <x:t xml:space="preserve">索阿查 vs 波哥大国际</x:t>
  </x:si>
  <x:si>
    <x:t xml:space="preserve">0.82/-0.25/1.00</x:t>
  </x:si>
  <x:si>
    <x:t xml:space="preserve">https://goaltyso.com/en/</x:t>
  </x:si>
  <x:si>
    <x:t xml:space="preserve">2026-09-10 07:30</x:t>
  </x:si>
  <x:si>
    <x:t xml:space="preserve">科比亚波 vs 马加拉内斯</x:t>
  </x:si>
  <x:si>
    <x:t xml:space="preserve">科比亚波</x:t>
  </x:si>
  <x:si>
    <x:t xml:space="preserve">https://www.gotructiep.live/en/</x:t>
  </x:si>
  <x:si>
    <x:t xml:space="preserve">CF蒙特利尔 vs 夏洛特FC</x:t>
  </x:si>
  <x:si>
    <x:t xml:space="preserve">0.83/0/1.06</x:t>
  </x:si>
  <x:si>
    <x:t xml:space="preserve">CF蒙特利尔</x:t>
  </x:si>
  <x:si>
    <x:t xml:space="preserve">https://ckpgtoday.ca/2026/09/09/cf-montreal-falls-2-1-to-charlotte-fc-after-late-winner-from-idan-toklomati/</x:t>
  </x:si>
  <x:si>
    <x:t xml:space="preserve">多伦多FC vs 纳什威尔SC</x:t>
  </x:si>
  <x:si>
    <x:t xml:space="preserve">纳什威尔SC</x:t>
  </x:si>
  <x:si>
    <x:t xml:space="preserve">https://www.tfcrepublic.ca/september-9-toronto-fc-nashville-sc/</x:t>
  </x:si>
  <x:si>
    <x:t xml:space="preserve">费城联合 vs 辛辛那提</x:t>
  </x:si>
  <x:si>
    <x:t xml:space="preserve">0.85/0.75/1.04</x:t>
  </x:si>
  <x:si>
    <x:t xml:space="preserve">辛辛那提</x:t>
  </x:si>
  <x:si>
    <x:t xml:space="preserve">https://fieldlevelmedia.com/mls/bruno-damianis-hat-trick-carries-sizzling-union-past-fc-cincinnati/</x:t>
  </x:si>
  <x:si>
    <x:t xml:space="preserve">2026-09-10 08:00</x:t>
  </x:si>
  <x:si>
    <x:t xml:space="preserve">云斯卡尔达斯 vs 阿利安萨</x:t>
  </x:si>
  <x:si>
    <x:t xml:space="preserve">0.91/1/0.91</x:t>
  </x:si>
  <x:si>
    <x:t xml:space="preserve">云斯卡尔达斯</x:t>
  </x:si>
  <x:si>
    <x:t xml:space="preserve">https://www.ceroacero.es/partido/2026-09-10-once-caldas-alianza-fc/12634093</x:t>
  </x:si>
  <x:si>
    <x:t xml:space="preserve">纽约城 vs 新英格兰革命</x:t>
  </x:si>
  <x:si>
    <x:t xml:space="preserve">纽约城</x:t>
  </x:si>
  <x:si>
    <x:t xml:space="preserve">https://www.sfgate.com/sports/article/d-niel-gazdag-scores-in-stoppage-time-to-rally-22424936.php</x:t>
  </x:si>
  <x:si>
    <x:t xml:space="preserve">2026-09-10 08:30</x:t>
  </x:si>
  <x:si>
    <x:t xml:space="preserve">玻利杯</x:t>
  </x:si>
  <x:si>
    <x:t xml:space="preserve">布鲁明 vs 圣荷西德奥罗</x:t>
  </x:si>
  <x:si>
    <x:t xml:space="preserve">0.91/1.25/0.79</x:t>
  </x:si>
  <x:si>
    <x:t xml:space="preserve">布鲁明</x:t>
  </x:si>
  <x:si>
    <x:t xml:space="preserve">https://m.aiscore.com/es/team-blooming/69759i3j59hnk23/matches</x:t>
  </x:si>
  <x:si>
    <x:t xml:space="preserve">休斯敦迪纳摩 vs 皇家盐湖城</x:t>
  </x:si>
  <x:si>
    <x:t xml:space="preserve">休斯敦迪纳摩</x:t>
  </x:si>
  <x:si>
    <x:t xml:space="preserve">https://m.titan007.com/analy/Analysis/2908766.htm</x:t>
  </x:si>
  <x:si>
    <x:t xml:space="preserve">2026-09-10 09:10</x:t>
  </x:si>
  <x:si>
    <x:t xml:space="preserve">帕斯托 vs 麦德林独立</x:t>
  </x:si>
  <x:si>
    <x:t xml:space="preserve">麦德林独立</x:t>
  </x:si>
  <x:si>
    <x:t xml:space="preserve">https://m.titan007.com/analy/Analysis/3058268.htm</x:t>
  </x:si>
  <x:si>
    <x:t xml:space="preserve">2026-09-10</x:t>
  </x:si>
  <x:si>
    <x:t xml:space="preserve">2026-09-10 10:30</x:t>
  </x:si>
  <x:si>
    <x:t xml:space="preserve">波特兰伐木者 vs 圣路易斯城</x:t>
  </x:si>
  <x:si>
    <x:t xml:space="preserve">0.91/0/0.98</x:t>
  </x:si>
  <x:si>
    <x:t xml:space="preserve">https://m.titan007.com/analy/Analysis/2908769.htm</x:t>
  </x:si>
  <x:si>
    <x:t xml:space="preserve">https://simondongxiao.github.io/odds/v3-legacy/?v=ae799be</x:t>
  </x:si>
  <x:si>
    <x:t xml:space="preserve">2026-09-10 21:40</x:t>
  </x:si>
  <x:si>
    <x:t xml:space="preserve">阿曼联</x:t>
  </x:si>
  <x:si>
    <x:t xml:space="preserve">伊卜里 vs 萨汉姆</x:t>
  </x:si>
  <x:si>
    <x:t xml:space="preserve">0.84/0/1.00</x:t>
  </x:si>
  <x:si>
    <x:t xml:space="preserve">萨汉姆</x:t>
  </x:si>
  <x:si>
    <x:t xml:space="preserve">https://m.titan007.com/analy/Analysis/3072472.htm</x:t>
  </x:si>
  <x:si>
    <x:t xml:space="preserve">2026-09-10 22:55</x:t>
  </x:si>
  <x:si>
    <x:t xml:space="preserve">拿达 vs 锡卜</x:t>
  </x:si>
  <x:si>
    <x:t xml:space="preserve">1.00/-0.25/0.84</x:t>
  </x:si>
  <x:si>
    <x:t xml:space="preserve">锡卜</x:t>
  </x:si>
  <x:si>
    <x:t xml:space="preserve">https://m.titan007.com/analy/Analysis/3086034.htm</x:t>
  </x:si>
  <x:si>
    <x:t xml:space="preserve">2026-09-10 23:00</x:t>
  </x:si>
  <x:si>
    <x:t xml:space="preserve">花刺子模乌尔根奇 vs 索格迪纳吉扎克</x:t>
  </x:si>
  <x:si>
    <x:t xml:space="preserve">索格迪纳吉扎克</x:t>
  </x:si>
  <x:si>
    <x:t xml:space="preserve">https://m.titan007.com/analy/Analysis/2933145.htm</x:t>
  </x:si>
  <x:si>
    <x:t xml:space="preserve">2026-09-11 00:00</x:t>
  </x:si>
  <x:si>
    <x:t xml:space="preserve">丹麦杯</x:t>
  </x:si>
  <x:si>
    <x:t xml:space="preserve">桑比 vs 中日德兰</x:t>
  </x:si>
  <x:si>
    <x:t xml:space="preserve">0.98/-2.75/0.84</x:t>
  </x:si>
  <x:si>
    <x:t xml:space="preserve">中日德兰</x:t>
  </x:si>
  <x:si>
    <x:t xml:space="preserve">0-7</x:t>
  </x:si>
  <x:si>
    <x:t xml:space="preserve">https://m.titan007.com/analy/Analysis/3084437.htm</x:t>
  </x:si>
  <x:si>
    <x:t xml:space="preserve">拉脱超</x:t>
  </x:si>
  <x:si>
    <x:t xml:space="preserve">超级星 vs 图库姆斯</x:t>
  </x:si>
  <x:si>
    <x:t xml:space="preserve">0.82/0.25/1.04</x:t>
  </x:si>
  <x:si>
    <x:t xml:space="preserve">超级星</x:t>
  </x:si>
  <x:si>
    <x:t xml:space="preserve">https://m.titan007.com/analy/Analysis/2940746.htm</x:t>
  </x:si>
  <x:si>
    <x:t xml:space="preserve">2026-09-11 00:15</x:t>
  </x:si>
  <x:si>
    <x:t xml:space="preserve">艾因 vs 迪拜祈祷</x:t>
  </x:si>
  <x:si>
    <x:t xml:space="preserve">艾因</x:t>
  </x:si>
  <x:si>
    <x:t xml:space="preserve">https://m.titan007.com/analy/Analysis/3072756.htm</x:t>
  </x:si>
  <x:si>
    <x:t xml:space="preserve">2026-09-11 00:45</x:t>
  </x:si>
  <x:si>
    <x:t xml:space="preserve">费内巴切 vs 罗马</x:t>
  </x:si>
  <x:si>
    <x:t xml:space="preserve">1.08/-0.25/0.81</x:t>
  </x:si>
  <x:si>
    <x:t xml:space="preserve">罗马</x:t>
  </x:si>
  <x:si>
    <x:t xml:space="preserve">https://m.titan007.com/analy/Analysis/3073166.htm</x:t>
  </x:si>
  <x:si>
    <x:t xml:space="preserve">2026-09-11 01:00</x:t>
  </x:si>
  <x:si>
    <x:t xml:space="preserve">奥斯特桑斯 vs 布拉格</x:t>
  </x:si>
  <x:si>
    <x:t xml:space="preserve">0.97/0.5/0.92</x:t>
  </x:si>
  <x:si>
    <x:t xml:space="preserve">https://m.titan007.com/analy/Analysis/2914691.htm</x:t>
  </x:si>
  <x:si>
    <x:t xml:space="preserve">2026-09-11 03:00</x:t>
  </x:si>
  <x:si>
    <x:t xml:space="preserve">塞路 vs 切里托</x:t>
  </x:si>
  <x:si>
    <x:t xml:space="preserve">塞路</x:t>
  </x:si>
  <x:si>
    <x:t xml:space="preserve">https://m.titan007.com/analy/Analysis/3071643.htm</x:t>
  </x:si>
  <x:si>
    <x:t xml:space="preserve">拜仁慕尼黑 vs 博德闪耀</x:t>
  </x:si>
  <x:si>
    <x:t xml:space="preserve">0.85/3/1.04</x:t>
  </x:si>
  <x:si>
    <x:t xml:space="preserve">https://m.titan007.com/analy/Analysis/3073130.htm</x:t>
  </x:si>
  <x:si>
    <x:t xml:space="preserve">曼彻斯特联 vs 萨巴赫</x:t>
  </x:si>
  <x:si>
    <x:t xml:space="preserve">0.84/2.75/1.05</x:t>
  </x:si>
  <x:si>
    <x:t xml:space="preserve">https://m.titan007.com/analy/Analysis/3073169.htm</x:t>
  </x:si>
  <x:si>
    <x:t xml:space="preserve">2026-09-11 06:00</x:t>
  </x:si>
  <x:si>
    <x:t xml:space="preserve">奥尔索马尔索 vs 锡帕基拉老虎</x:t>
  </x:si>
  <x:si>
    <x:t xml:space="preserve">0.77/0.5/0.99</x:t>
  </x:si>
  <x:si>
    <x:t xml:space="preserve">奥尔索马尔索</x:t>
  </x:si>
  <x:si>
    <x:t xml:space="preserve">https://m.titan007.com/analy/Analysis/3012138.htm</x:t>
  </x:si>
  <x:si>
    <x:t xml:space="preserve">帕特里奥坦斯 vs 巴瑞库拉</x:t>
  </x:si>
  <x:si>
    <x:t xml:space="preserve">0.99/1/0.77</x:t>
  </x:si>
  <x:si>
    <x:t xml:space="preserve">帕特里奥坦斯</x:t>
  </x:si>
  <x:si>
    <x:t xml:space="preserve">https://m.titan007.com/analy/Analysis/3012142.htm</x:t>
  </x:si>
  <x:si>
    <x:t xml:space="preserve">2026-09-11 06:30</x:t>
  </x:si>
  <x:si>
    <x:t xml:space="preserve">圣贝纳多 vs 隆迪那</x:t>
  </x:si>
  <x:si>
    <x:t xml:space="preserve">1.01/0.75/0.87</x:t>
  </x:si>
  <x:si>
    <x:t xml:space="preserve">圣贝纳多</x:t>
  </x:si>
  <x:si>
    <x:t xml:space="preserve">https://m.titan007.com/analy/Analysis/2940172.htm</x:t>
  </x:si>
  <x:si>
    <x:t xml:space="preserve">2026-09-11 07:00</x:t>
  </x:si>
  <x:si>
    <x:t xml:space="preserve">萨尔塞多 vs 锡瓦奥</x:t>
  </x:si>
  <x:si>
    <x:t xml:space="preserve">0.84/0/0.86</x:t>
  </x:si>
  <x:si>
    <x:t xml:space="preserve">萨尔塞多</x:t>
  </x:si>
  <x:si>
    <x:t xml:space="preserve">https://m.titan007.com/analy/Analysis/3049968.htm</x:t>
  </x:si>
  <x:si>
    <x:t xml:space="preserve">拉腊体育 vs 图积兰奴斯</x:t>
  </x:si>
  <x:si>
    <x:t xml:space="preserve">拉腊体育</x:t>
  </x:si>
  <x:si>
    <x:t xml:space="preserve">https://m.titan007.com/analy/Analysis/3006378.htm</x:t>
  </x:si>
  <x:si>
    <x:t xml:space="preserve">安托法加斯塔 vs 科布雷洛</x:t>
  </x:si>
  <x:si>
    <x:t xml:space="preserve">0.82/0.5/0.88</x:t>
  </x:si>
  <x:si>
    <x:t xml:space="preserve">安托法加斯塔</x:t>
  </x:si>
  <x:si>
    <x:t xml:space="preserve">https://m.titan007.com/analy/Analysis/2926314.htm</x:t>
  </x:si>
  <x:si>
    <x:t xml:space="preserve">2026-09-11 08:30</x:t>
  </x:si>
  <x:si>
    <x:t xml:space="preserve">西恩夏诺 vs 图尔克</x:t>
  </x:si>
  <x:si>
    <x:t xml:space="preserve">1.05/1/0.84</x:t>
  </x:si>
  <x:si>
    <x:t xml:space="preserve">西恩夏诺</x:t>
  </x:si>
  <x:si>
    <x:t xml:space="preserve">https://m.titan007.com/analy/Analysis/3072982.htm</x:t>
  </x:si>
  <x:si>
    <x:t xml:space="preserve">玻利瓦尔 vs 石油独立</x:t>
  </x:si>
  <x:si>
    <x:t xml:space="preserve">0.92/2.25/0.84</x:t>
  </x:si>
  <x:si>
    <x:t xml:space="preserve">玻利瓦尔</x:t>
  </x:si>
  <x:si>
    <x:t xml:space="preserve">https://m.titan007.com/analy/Analysis/3061645.htm</x:t>
  </x:si>
  <x:si>
    <x:t xml:space="preserve">山谷独立 vs 弗拉门戈</x:t>
  </x:si>
  <x:si>
    <x:t xml:space="preserve">https://m.titan007.com/analy/Analysis/3073017.htm</x:t>
  </x:si>
  <x:si>
    <x:t xml:space="preserve">2026-09-11</x:t>
  </x:si>
  <x:si>
    <x:t xml:space="preserve">2026-09-11 11:05</x:t>
  </x:si>
  <x:si>
    <x:t xml:space="preserve">中美俱杯</x:t>
  </x:si>
  <x:si>
    <x:t xml:space="preserve">路斯天使 vs CD奥林匹亚</x:t>
  </x:si>
  <x:si>
    <x:t xml:space="preserve">0.90/-0.25/0.80</x:t>
  </x:si>
  <x:si>
    <x:t xml:space="preserve">CD奥林匹亚</x:t>
  </x:si>
  <x:si>
    <x:t xml:space="preserve">https://m.titan007.com/analy/Analysis/3085189.htm</x:t>
  </x:si>
  <x:si>
    <x:t xml:space="preserve">2026-09-11 17:30</x:t>
  </x:si>
  <x:si>
    <x:t xml:space="preserve">欧克莱卡诺 vs 南墨尔本</x:t>
  </x:si>
  <x:si>
    <x:t xml:space="preserve">欧克莱卡诺</x:t>
  </x:si>
  <x:si>
    <x:t xml:space="preserve">https://m.titan007.com/analy/Analysis/3087653.htm</x:t>
  </x:si>
  <x:si>
    <x:t xml:space="preserve">2026-09-11 20:00</x:t>
  </x:si>
  <x:si>
    <x:t xml:space="preserve">卡斯比阿克套B队 vs FK阿雷斯</x:t>
  </x:si>
  <x:si>
    <x:t xml:space="preserve">卡斯比阿克套B队</x:t>
  </x:si>
  <x:si>
    <x:t xml:space="preserve">https://m.titan007.com/analy/Analysis/2965031.htm</x:t>
  </x:si>
  <x:si>
    <x:t xml:space="preserve">2026-09-11 21:40</x:t>
  </x:si>
  <x:si>
    <x:t xml:space="preserve">豪尔费坎 vs 般尼亚斯</x:t>
  </x:si>
  <x:si>
    <x:t xml:space="preserve">般尼亚斯</x:t>
  </x:si>
  <x:si>
    <x:t xml:space="preserve">https://m.titan007.com/analy/Analysis/3072758.htm</x:t>
  </x:si>
  <x:si>
    <x:t xml:space="preserve">2026-09-12 00:15</x:t>
  </x:si>
  <x:si>
    <x:t xml:space="preserve">阿布扎比统一 vs 沙迦</x:t>
  </x:si>
  <x:si>
    <x:t xml:space="preserve">阿布扎比统一</x:t>
  </x:si>
  <x:si>
    <x:t xml:space="preserve">https://m.titan007.com/analy/Analysis/3072760.htm</x:t>
  </x:si>
  <x:si>
    <x:t xml:space="preserve">阿治曼 vs 伊蒂哈德卡尔巴</x:t>
  </x:si>
  <x:si>
    <x:t xml:space="preserve">0.88/0.25/0.94</x:t>
  </x:si>
  <x:si>
    <x:t xml:space="preserve">阿治曼</x:t>
  </x:si>
  <x:si>
    <x:t xml:space="preserve">https://m.titan007.com/analy/Analysis/3072759.htm</x:t>
  </x:si>
  <x:si>
    <x:t xml:space="preserve">2026-09-12 01:30</x:t>
  </x:si>
  <x:si>
    <x:t xml:space="preserve">斯泰伦博斯(中) vs 瑟库库内联</x:t>
  </x:si>
  <x:si>
    <x:t xml:space="preserve">斯泰伦博斯(中)</x:t>
  </x:si>
  <x:si>
    <x:t xml:space="preserve">https://m.titan007.com/analy/Analysis/3041173.htm</x:t>
  </x:si>
  <x:si>
    <x:t xml:space="preserve">2026-09-12 02:00</x:t>
  </x:si>
  <x:si>
    <x:t xml:space="preserve">第戎 vs 拉瓦勒</x:t>
  </x:si>
  <x:si>
    <x:t xml:space="preserve">第戎</x:t>
  </x:si>
  <x:si>
    <x:t xml:space="preserve">https://m.titan007.com/analy/Analysis/2997718.htm</x:t>
  </x:si>
  <x:si>
    <x:t xml:space="preserve">荷乙</x:t>
  </x:si>
  <x:si>
    <x:t xml:space="preserve">芬洛 vs 奥斯</x:t>
  </x:si>
  <x:si>
    <x:t xml:space="preserve">芬洛</x:t>
  </x:si>
  <x:si>
    <x:t xml:space="preserve">https://m.titan007.com/analy/Analysis/2996461.htm</x:t>
  </x:si>
  <x:si>
    <x:t xml:space="preserve">荷甲</x:t>
  </x:si>
  <x:si>
    <x:t xml:space="preserve">阿尔克马尔 vs 威廉二世</x:t>
  </x:si>
  <x:si>
    <x:t xml:space="preserve">0.83/2.25/1.06</x:t>
  </x:si>
  <x:si>
    <x:t xml:space="preserve">阿尔克马尔</x:t>
  </x:si>
  <x:si>
    <x:t xml:space="preserve">https://m.titan007.com/analy/Analysis/2996143.htm</x:t>
  </x:si>
  <x:si>
    <x:t xml:space="preserve">2026-09-12 02:45</x:t>
  </x:si>
  <x:si>
    <x:t xml:space="preserve">威尼斯 vs 佛罗伦萨</x:t>
  </x:si>
  <x:si>
    <x:t xml:space="preserve">佛罗伦萨</x:t>
  </x:si>
  <x:si>
    <x:t xml:space="preserve">https://m.titan007.com/analy/Analysis/2993794.htm</x:t>
  </x:si>
  <x:si>
    <x:t xml:space="preserve">苏联杯</x:t>
  </x:si>
  <x:si>
    <x:t xml:space="preserve">斯坦豪斯摩尔 vs 哈茨</x:t>
  </x:si>
  <x:si>
    <x:t xml:space="preserve">0.98/-1.5/0.84</x:t>
  </x:si>
  <x:si>
    <x:t xml:space="preserve">哈茨</x:t>
  </x:si>
  <x:si>
    <x:t xml:space="preserve">https://m.titan007.com/analy/Analysis/3084557.htm</x:t>
  </x:si>
  <x:si>
    <x:t xml:space="preserve">2026-09-12 03:00</x:t>
  </x:si>
  <x:si>
    <x:t xml:space="preserve">艾美利亚诺体育 vs 圣罗伦素体育会</x:t>
  </x:si>
  <x:si>
    <x:t xml:space="preserve">0.78/0.75/1.04</x:t>
  </x:si>
  <x:si>
    <x:t xml:space="preserve">https://m.titan007.com/analy/Analysis/3074176.htm</x:t>
  </x:si>
  <x:si>
    <x:t xml:space="preserve">比萨 vs 恩特拉</x:t>
  </x:si>
  <x:si>
    <x:t xml:space="preserve">0.80/0.5/1.08</x:t>
  </x:si>
  <x:si>
    <x:t xml:space="preserve">https://m.titan007.com/analy/Analysis/3040743.htm</x:t>
  </x:si>
  <x:si>
    <x:t xml:space="preserve">2026-09-12 06:00</x:t>
  </x:si>
  <x:si>
    <x:t xml:space="preserve">圣安东尼奥布鲁布鲁 vs 欧若拉</x:t>
  </x:si>
  <x:si>
    <x:t xml:space="preserve">1.00/0/0.76</x:t>
  </x:si>
  <x:si>
    <x:t xml:space="preserve">圣安东尼奥布鲁布鲁</x:t>
  </x:si>
  <x:si>
    <x:t xml:space="preserve">https://m.titan007.com/analy/Analysis/3059128.htm</x:t>
  </x:si>
  <x:si>
    <x:t xml:space="preserve">意杜萨高 vs BsAs交流会</x:t>
  </x:si>
  <x:si>
    <x:t xml:space="preserve">0.88/-0.75/0.82</x:t>
  </x:si>
  <x:si>
    <x:t xml:space="preserve">BsAs交流会</x:t>
  </x:si>
  <x:si>
    <x:t xml:space="preserve">https://m.titan007.com/analy/Analysis/2934802.htm</x:t>
  </x:si>
  <x:si>
    <x:t xml:space="preserve">2026-09-12 07:00</x:t>
  </x:si>
  <x:si>
    <x:t xml:space="preserve">诺克斯维尔部队 vs 那不勒斯FC</x:t>
  </x:si>
  <x:si>
    <x:t xml:space="preserve">0.80/0.75/0.90</x:t>
  </x:si>
  <x:si>
    <x:t xml:space="preserve">那不勒斯FC</x:t>
  </x:si>
  <x:si>
    <x:t xml:space="preserve">https://m.titan007.com/analy/Analysis/2955364.htm</x:t>
  </x:si>
  <x:si>
    <x:t xml:space="preserve">2026-09-12</x:t>
  </x:si>
  <x:si>
    <x:t xml:space="preserve">2026-09-12 15:30</x:t>
  </x:si>
  <x:si>
    <x:t xml:space="preserve">大邱FC vs 龙仁FC</x:t>
  </x:si>
  <x:si>
    <x:t xml:space="preserve">0.79/1/0.97</x:t>
  </x:si>
  <x:si>
    <x:t xml:space="preserve">大邱FC</x:t>
  </x:si>
  <x:si>
    <x:t xml:space="preserve">https://m.titan007.com/analy/Analysis/2925334.htm</x:t>
  </x:si>
  <x:si>
    <x:t xml:space="preserve">全北现代 vs FC首尔</x:t>
  </x:si>
  <x:si>
    <x:t xml:space="preserve">1.07/0/0.81</x:t>
  </x:si>
  <x:si>
    <x:t xml:space="preserve">FC首尔</x:t>
  </x:si>
  <x:si>
    <x:t xml:space="preserve">https://m.titan007.com/analy/Analysis/2929724.htm</x:t>
  </x:si>
  <x:si>
    <x:t xml:space="preserve">2026-09-12 16:15</x:t>
  </x:si>
  <x:si>
    <x:t xml:space="preserve">内拉托维斯 vs FK莫斯特</x:t>
  </x:si>
  <x:si>
    <x:t xml:space="preserve">FK莫斯特</x:t>
  </x:si>
  <x:si>
    <x:t xml:space="preserve">https://m.titan007.com/analy/Analysis/3009491.htm</x:t>
  </x:si>
  <x:si>
    <x:t xml:space="preserve">毕那索 vs 卡拉路夫</x:t>
  </x:si>
  <x:si>
    <x:t xml:space="preserve">0.82/0/0.88</x:t>
  </x:si>
  <x:si>
    <x:t xml:space="preserve">毕那索</x:t>
  </x:si>
  <x:si>
    <x:t xml:space="preserve">https://m.titan007.com/analy/Analysis/3009367.htm</x:t>
  </x:si>
  <x:si>
    <x:t xml:space="preserve">波夫塔维 vs 洛科维塔维恩</x:t>
  </x:si>
  <x:si>
    <x:t xml:space="preserve">洛科维塔维恩</x:t>
  </x:si>
  <x:si>
    <x:t xml:space="preserve">https://m.titan007.com/analy/Analysis/3009371.htm</x:t>
  </x:si>
  <x:si>
    <x:t xml:space="preserve">2026-09-12 19:00</x:t>
  </x:si>
  <x:si>
    <x:t xml:space="preserve">宁波职业足球俱乐部 vs 陕西联合月亮泊队</x:t>
  </x:si>
  <x:si>
    <x:t xml:space="preserve">陕西联合月亮泊队</x:t>
  </x:si>
  <x:si>
    <x:t xml:space="preserve">https://m.titan007.com/analy/Analysis/2951645.htm</x:t>
  </x:si>
  <x:si>
    <x:t xml:space="preserve">苏州东吴 vs 佛山南狮</x:t>
  </x:si>
  <x:si>
    <x:t xml:space="preserve">苏州东吴</x:t>
  </x:si>
  <x:si>
    <x:t xml:space="preserve">https://m.titan007.com/analy/Analysis/2951646.htm</x:t>
  </x:si>
  <x:si>
    <x:t xml:space="preserve">长春亚泰 vs 定南赣联</x:t>
  </x:si>
  <x:si>
    <x:t xml:space="preserve">0.79/0.75/1.03</x:t>
  </x:si>
  <x:si>
    <x:t xml:space="preserve">长春亚泰</x:t>
  </x:si>
  <x:si>
    <x:t xml:space="preserve">https://m.titan007.com/analy/Analysis/2951647.htm</x:t>
  </x:si>
  <x:si>
    <x:t xml:space="preserve">天津津门虎 vs 辽宁铁人</x:t>
  </x:si>
  <x:si>
    <x:t xml:space="preserve">天津津门虎</x:t>
  </x:si>
  <x:si>
    <x:t xml:space="preserve">https://m.titan007.com/analy/Analysis/2944749.htm</x:t>
  </x:si>
  <x:si>
    <x:t xml:space="preserve">亚古拉斯 vs 皇家马德里B队</x:t>
  </x:si>
  <x:si>
    <x:t xml:space="preserve">0.89/-0.25/0.81</x:t>
  </x:si>
  <x:si>
    <x:t xml:space="preserve">皇家马德里B队</x:t>
  </x:si>
  <x:si>
    <x:t xml:space="preserve">https://m.titan007.com/analy/Analysis/3014884.htm</x:t>
  </x:si>
  <x:si>
    <x:t xml:space="preserve">2026-09-12 19:15</x:t>
  </x:si>
  <x:si>
    <x:t xml:space="preserve">布伦瑞克 vs 德累斯顿</x:t>
  </x:si>
  <x:si>
    <x:t xml:space="preserve">1.06/0/0.82</x:t>
  </x:si>
  <x:si>
    <x:t xml:space="preserve">德累斯顿</x:t>
  </x:si>
  <x:si>
    <x:t xml:space="preserve">https://m.titan007.com/analy/Analysis/3019129.htm</x:t>
  </x:si>
  <x:si>
    <x:t xml:space="preserve">2026-09-12 19:30</x:t>
  </x:si>
  <x:si>
    <x:t xml:space="preserve">德比郡 vs 伯明翰</x:t>
  </x:si>
  <x:si>
    <x:t xml:space="preserve">0.81/-0.5/1.07</x:t>
  </x:si>
  <x:si>
    <x:t xml:space="preserve">https://m.titan007.com/analy/Analysis/3008226.htm</x:t>
  </x:si>
  <x:si>
    <x:t xml:space="preserve">莱顿东方 vs 韦康比流浪者</x:t>
  </x:si>
  <x:si>
    <x:t xml:space="preserve">1.03/0.25/0.79</x:t>
  </x:si>
  <x:si>
    <x:t xml:space="preserve">莱顿东方</x:t>
  </x:si>
  <x:si>
    <x:t xml:space="preserve">https://m.titan007.com/analy/Analysis/3007094.htm</x:t>
  </x:si>
  <x:si>
    <x:t xml:space="preserve">2026-09-12 19:35</x:t>
  </x:si>
  <x:si>
    <x:t xml:space="preserve">武汉三镇 vs 河南队</x:t>
  </x:si>
  <x:si>
    <x:t xml:space="preserve">0.99/0/0.77</x:t>
  </x:si>
  <x:si>
    <x:t xml:space="preserve">河南队</x:t>
  </x:si>
  <x:si>
    <x:t xml:space="preserve">https://m.titan007.com/analy/Analysis/2944744.htm</x:t>
  </x:si>
  <x:si>
    <x:t xml:space="preserve">2026-09-12 20:00</x:t>
  </x:si>
  <x:si>
    <x:t xml:space="preserve">索特拉 vs 桑韦肯</x:t>
  </x:si>
  <x:si>
    <x:t xml:space="preserve">0.80/1.5/0.90</x:t>
  </x:si>
  <x:si>
    <x:t xml:space="preserve">索特拉</x:t>
  </x:si>
  <x:si>
    <x:t xml:space="preserve">https://m.titan007.com/analy/Analysis/2913340.htm</x:t>
  </x:si>
  <x:si>
    <x:t xml:space="preserve">甘冈 vs 阿纳西</x:t>
  </x:si>
  <x:si>
    <x:t xml:space="preserve">0.80/0.25/0.96</x:t>
  </x:si>
  <x:si>
    <x:t xml:space="preserve">https://m.titan007.com/analy/Analysis/2997720.htm</x:t>
  </x:si>
  <x:si>
    <x:t xml:space="preserve">桑坦德竞技 vs 阿拉维斯</x:t>
  </x:si>
  <x:si>
    <x:t xml:space="preserve">0.83/0/1.05</x:t>
  </x:si>
  <x:si>
    <x:t xml:space="preserve">桑坦德竞技</x:t>
  </x:si>
  <x:si>
    <x:t xml:space="preserve">https://m.titan007.com/analy/Analysis/3013687.htm</x:t>
  </x:si>
  <x:si>
    <x:t xml:space="preserve">2026-09-12 20:45</x:t>
  </x:si>
  <x:si>
    <x:t xml:space="preserve">卡昂 vs 巴黎13区竞技</x:t>
  </x:si>
  <x:si>
    <x:t xml:space="preserve">0.80/0.75/0.96</x:t>
  </x:si>
  <x:si>
    <x:t xml:space="preserve">卡昂</x:t>
  </x:si>
  <x:si>
    <x:t xml:space="preserve">https://m.titan007.com/analy/Analysis/3019992.htm</x:t>
  </x:si>
  <x:si>
    <x:t xml:space="preserve">奥兰斯 vs 维尔赛斯</x:t>
  </x:si>
  <x:si>
    <x:t xml:space="preserve">0.94/0/0.82</x:t>
  </x:si>
  <x:si>
    <x:t xml:space="preserve">维尔赛斯</x:t>
  </x:si>
  <x:si>
    <x:t xml:space="preserve">https://m.titan007.com/analy/Analysis/3019994.htm</x:t>
  </x:si>
  <x:si>
    <x:t xml:space="preserve">普瑞兰斯 vs 巴斯蒂亚</x:t>
  </x:si>
  <x:si>
    <x:t xml:space="preserve">0.96/-0.25/0.80</x:t>
  </x:si>
  <x:si>
    <x:t xml:space="preserve">https://m.titan007.com/analy/Analysis/3019991.htm</x:t>
  </x:si>
  <x:si>
    <x:t xml:space="preserve">蒂翁维尔 vs 鲁昂</x:t>
  </x:si>
  <x:si>
    <x:t xml:space="preserve">鲁昂</x:t>
  </x:si>
  <x:si>
    <x:t xml:space="preserve">https://m.titan007.com/analy/Analysis/3019996.htm</x:t>
  </x:si>
  <x:si>
    <x:t xml:space="preserve">2026-09-12 21:00</x:t>
  </x:si>
  <x:si>
    <x:t xml:space="preserve">瓦多 vs 坎伯巴索</x:t>
  </x:si>
  <x:si>
    <x:t xml:space="preserve">0.90/0/0.80</x:t>
  </x:si>
  <x:si>
    <x:t xml:space="preserve">https://m.titan007.com/analy/Analysis/3050920.htm</x:t>
  </x:si>
  <x:si>
    <x:t xml:space="preserve">热那亚 vs 弗洛西诺尼</x:t>
  </x:si>
  <x:si>
    <x:t xml:space="preserve">热那亚</x:t>
  </x:si>
  <x:si>
    <x:t xml:space="preserve">https://m.titan007.com/analy/Analysis/2993787.htm</x:t>
  </x:si>
  <x:si>
    <x:t xml:space="preserve">波希米亚1905 vs 斯洛瓦科</x:t>
  </x:si>
  <x:si>
    <x:t xml:space="preserve">波希米亚1905</x:t>
  </x:si>
  <x:si>
    <x:t xml:space="preserve">https://m.titan007.com/analy/Analysis/3039882.htm</x:t>
  </x:si>
  <x:si>
    <x:t xml:space="preserve">2026-09-12 21:30</x:t>
  </x:si>
  <x:si>
    <x:t xml:space="preserve">多特蒙德 vs 帕德博恩</x:t>
  </x:si>
  <x:si>
    <x:t xml:space="preserve">1.01/2/0.87</x:t>
  </x:si>
  <x:si>
    <x:t xml:space="preserve">https://m.titan007.com/analy/Analysis/3018805.htm</x:t>
  </x:si>
  <x:si>
    <x:t xml:space="preserve">霍芬海姆 vs 斯图加特</x:t>
  </x:si>
  <x:si>
    <x:t xml:space="preserve">1.06/0.25/0.82</x:t>
  </x:si>
  <x:si>
    <x:t xml:space="preserve">霍芬海姆</x:t>
  </x:si>
  <x:si>
    <x:t xml:space="preserve">https://m.titan007.com/analy/Analysis/3018809.htm</x:t>
  </x:si>
  <x:si>
    <x:t xml:space="preserve">2026-09-12 22:00</x:t>
  </x:si>
  <x:si>
    <x:t xml:space="preserve">安德莱赫特B队 vs 洛克伦</x:t>
  </x:si>
  <x:si>
    <x:t xml:space="preserve">0.93/-0.25/0.83</x:t>
  </x:si>
  <x:si>
    <x:t xml:space="preserve">洛克伦</x:t>
  </x:si>
  <x:si>
    <x:t xml:space="preserve">https://m.titan007.com/analy/Analysis/3005387.htm</x:t>
  </x:si>
  <x:si>
    <x:t xml:space="preserve">南安普敦 vs 布里斯托城</x:t>
  </x:si>
  <x:si>
    <x:t xml:space="preserve">布里斯托城</x:t>
  </x:si>
  <x:si>
    <x:t xml:space="preserve">https://m.titan007.com/analy/Analysis/3008230.htm</x:t>
  </x:si>
  <x:si>
    <x:t xml:space="preserve">布莱克本 vs 米尔沃尔</x:t>
  </x:si>
  <x:si>
    <x:t xml:space="preserve">米尔沃尔</x:t>
  </x:si>
  <x:si>
    <x:t xml:space="preserve">https://m.titan007.com/analy/Analysis/3008224.htm</x:t>
  </x:si>
  <x:si>
    <x:t xml:space="preserve">斯旺西 vs 伯恩利</x:t>
  </x:si>
  <x:si>
    <x:t xml:space="preserve">1.04/0.5/0.84</x:t>
  </x:si>
  <x:si>
    <x:t xml:space="preserve">斯旺西</x:t>
  </x:si>
  <x:si>
    <x:t xml:space="preserve">https://m.titan007.com/analy/Analysis/3008234.htm</x:t>
  </x:si>
  <x:si>
    <x:t xml:space="preserve">米德尔斯堡 vs 诺维奇</x:t>
  </x:si>
  <x:si>
    <x:t xml:space="preserve">https://m.titan007.com/analy/Analysis/3008227.htm</x:t>
  </x:si>
  <x:si>
    <x:t xml:space="preserve">剑桥联 vs 雷丁</x:t>
  </x:si>
  <x:si>
    <x:t xml:space="preserve">0.84/0/0.98</x:t>
  </x:si>
  <x:si>
    <x:t xml:space="preserve">剑桥联</x:t>
  </x:si>
  <x:si>
    <x:t xml:space="preserve">https://m.titan007.com/analy/Analysis/3007093.htm</x:t>
  </x:si>
  <x:si>
    <x:t xml:space="preserve">普利茅斯 vs 巴恩斯利</x:t>
  </x:si>
  <x:si>
    <x:t xml:space="preserve">普利茅斯</x:t>
  </x:si>
  <x:si>
    <x:t xml:space="preserve">https://m.titan007.com/analy/Analysis/3007099.htm</x:t>
  </x:si>
  <x:si>
    <x:t xml:space="preserve">谢周三 vs 维冈竞技</x:t>
  </x:si>
  <x:si>
    <x:t xml:space="preserve">https://m.titan007.com/analy/Analysis/3007100.htm</x:t>
  </x:si>
  <x:si>
    <x:t xml:space="preserve">切尔西 vs 赫尔城</x:t>
  </x:si>
  <x:si>
    <x:t xml:space="preserve">1.04/2/0.84</x:t>
  </x:si>
  <x:si>
    <x:t xml:space="preserve">切尔西</x:t>
  </x:si>
  <x:si>
    <x:t xml:space="preserve">https://m.titan007.com/analy/Analysis/3003881.htm</x:t>
  </x:si>
  <x:si>
    <x:t xml:space="preserve">阿斯顿维拉 vs 诺丁汉森林</x:t>
  </x:si>
  <x:si>
    <x:t xml:space="preserve">0.97/0.25/0.91</x:t>
  </x:si>
  <x:si>
    <x:t xml:space="preserve">阿斯顿维拉</x:t>
  </x:si>
  <x:si>
    <x:t xml:space="preserve">https://m.titan007.com/analy/Analysis/3003880.htm</x:t>
  </x:si>
  <x:si>
    <x:t xml:space="preserve">2026-09-12 22:15</x:t>
  </x:si>
  <x:si>
    <x:t xml:space="preserve">奥萨苏纳 vs 西班牙人</x:t>
  </x:si>
  <x:si>
    <x:t xml:space="preserve">0.92/0.25/0.96</x:t>
  </x:si>
  <x:si>
    <x:t xml:space="preserve">奥萨苏纳</x:t>
  </x:si>
  <x:si>
    <x:t xml:space="preserve">https://m.titan007.com/analy/Analysis/3013686.htm</x:t>
  </x:si>
  <x:si>
    <x:t xml:space="preserve">2026-09-12 23:00</x:t>
  </x:si>
  <x:si>
    <x:t xml:space="preserve">维勒斯 vs 库德里夫卡</x:t>
  </x:si>
  <x:si>
    <x:t xml:space="preserve">0.83/0.25/0.99</x:t>
  </x:si>
  <x:si>
    <x:t xml:space="preserve">维勒斯</x:t>
  </x:si>
  <x:si>
    <x:t xml:space="preserve">推迟</x:t>
  </x:si>
  <x:si>
    <x:t xml:space="preserve">未结算</x:t>
  </x:si>
  <x:si>
    <x:t xml:space="preserve">https://m.titan007.com/analy/Analysis/3012514.htm</x:t>
  </x:si>
  <x:si>
    <x:t xml:space="preserve">奥斯杰克 vs 萨格勒布迪纳摩</x:t>
  </x:si>
  <x:si>
    <x:t xml:space="preserve">0.86/-1.25/0.84</x:t>
  </x:si>
  <x:si>
    <x:t xml:space="preserve">https://m.titan007.com/analy/Analysis/2997526.htm</x:t>
  </x:si>
  <x:si>
    <x:t xml:space="preserve">路勒坦诺 vs 桑塔雷</x:t>
  </x:si>
  <x:si>
    <x:t xml:space="preserve">0.80/0.25/0.90</x:t>
  </x:si>
  <x:si>
    <x:t xml:space="preserve">路勒坦诺</x:t>
  </x:si>
  <x:si>
    <x:t xml:space="preserve">https://m.titan007.com/analy/Analysis/3086846.htm</x:t>
  </x:si>
  <x:si>
    <x:t xml:space="preserve">2026-09-12 23:15</x:t>
  </x:si>
  <x:si>
    <x:t xml:space="preserve">斯特拉斯堡 vs 摩纳哥</x:t>
  </x:si>
  <x:si>
    <x:t xml:space="preserve">1.02/-0.25/0.86</x:t>
  </x:si>
  <x:si>
    <x:t xml:space="preserve">斯特拉斯堡</x:t>
  </x:si>
  <x:si>
    <x:t xml:space="preserve">https://m.titan007.com/analy/Analysis/2995343.htm</x:t>
  </x:si>
  <x:si>
    <x:t xml:space="preserve">2026-09-13 00:00</x:t>
  </x:si>
  <x:si>
    <x:t xml:space="preserve">斯佩齐亚 vs 利沃诺</x:t>
  </x:si>
  <x:si>
    <x:t xml:space="preserve">斯佩齐亚</x:t>
  </x:si>
  <x:si>
    <x:t xml:space="preserve">https://m.titan007.com/analy/Analysis/3050918.htm</x:t>
  </x:si>
  <x:si>
    <x:t xml:space="preserve">瑞士甲</x:t>
  </x:si>
  <x:si>
    <x:t xml:space="preserve">阿劳 vs 克里恩斯</x:t>
  </x:si>
  <x:si>
    <x:t xml:space="preserve">阿劳</x:t>
  </x:si>
  <x:si>
    <x:t xml:space="preserve">https://m.titan007.com/analy/Analysis/3000944.htm</x:t>
  </x:si>
  <x:si>
    <x:t xml:space="preserve">2026-09-13 00:30</x:t>
  </x:si>
  <x:si>
    <x:t xml:space="preserve">科灵 vs 弗雷德里西亚</x:t>
  </x:si>
  <x:si>
    <x:t xml:space="preserve">0.98/-0.5/0.90</x:t>
  </x:si>
  <x:si>
    <x:t xml:space="preserve">科灵</x:t>
  </x:si>
  <x:si>
    <x:t xml:space="preserve">https://m.titan007.com/analy/Analysis/2998114.htm</x:t>
  </x:si>
  <x:si>
    <x:t xml:space="preserve">格拉纳达 vs 阿尔巴塞特</x:t>
  </x:si>
  <x:si>
    <x:t xml:space="preserve">0.84/0.25/1.04</x:t>
  </x:si>
  <x:si>
    <x:t xml:space="preserve">格拉纳达</x:t>
  </x:si>
  <x:si>
    <x:t xml:space="preserve">https://m.titan007.com/analy/Analysis/3014071.htm</x:t>
  </x:si>
  <x:si>
    <x:t xml:space="preserve">2026-09-13 00:45</x:t>
  </x:si>
  <x:si>
    <x:t xml:space="preserve">皇家阿维勒斯 vs 尤尼恩斯塔斯</x:t>
  </x:si>
  <x:si>
    <x:t xml:space="preserve">0.84/0.25/0.86</x:t>
  </x:si>
  <x:si>
    <x:t xml:space="preserve">皇家阿维勒斯</x:t>
  </x:si>
  <x:si>
    <x:t xml:space="preserve">https://m.titan007.com/analy/Analysis/3014513.htm</x:t>
  </x:si>
  <x:si>
    <x:t xml:space="preserve">2026-09-13 01:00</x:t>
  </x:si>
  <x:si>
    <x:t xml:space="preserve">波德鲁姆士邦 vs 贝特曼</x:t>
  </x:si>
  <x:si>
    <x:t xml:space="preserve">0.84/0/0.92</x:t>
  </x:si>
  <x:si>
    <x:t xml:space="preserve">波德鲁姆士邦</x:t>
  </x:si>
  <x:si>
    <x:t xml:space="preserve">https://m.titan007.com/analy/Analysis/3030145.htm</x:t>
  </x:si>
  <x:si>
    <x:t xml:space="preserve">卡萨比亚 vs 波尔图</x:t>
  </x:si>
  <x:si>
    <x:t xml:space="preserve">1.04/-1.5/0.84</x:t>
  </x:si>
  <x:si>
    <x:t xml:space="preserve">波尔图</x:t>
  </x:si>
  <x:si>
    <x:t xml:space="preserve">https://m.titan007.com/analy/Analysis/3023480.htm</x:t>
  </x:si>
  <x:si>
    <x:t xml:space="preserve">2026-09-13 02:00</x:t>
  </x:si>
  <x:si>
    <x:t xml:space="preserve">萨格勒布火车头 vs 里耶卡</x:t>
  </x:si>
  <x:si>
    <x:t xml:space="preserve">0.79/-1/1.03</x:t>
  </x:si>
  <x:si>
    <x:t xml:space="preserve">https://m.titan007.com/analy/Analysis/2997525.htm</x:t>
  </x:si>
  <x:si>
    <x:t xml:space="preserve">2026-09-13 02:45</x:t>
  </x:si>
  <x:si>
    <x:t xml:space="preserve">勒阿弗尔 vs 昂热</x:t>
  </x:si>
  <x:si>
    <x:t xml:space="preserve">真实示弱/阻下</x:t>
  </x:si>
  <x:si>
    <x:t xml:space="preserve">勒阿弗尔</x:t>
  </x:si>
  <x:si>
    <x:t xml:space="preserve">https://m.titan007.com/analy/Analysis/2995337.htm</x:t>
  </x:si>
  <x:si>
    <x:t xml:space="preserve">洛里昂 vs 图卢兹</x:t>
  </x:si>
  <x:si>
    <x:t xml:space="preserve">1.06/0.25/0.83</x:t>
  </x:si>
  <x:si>
    <x:t xml:space="preserve">洛里昂</x:t>
  </x:si>
  <x:si>
    <x:t xml:space="preserve">https://m.titan007.com/analy/Analysis/2995340.htm</x:t>
  </x:si>
  <x:si>
    <x:t xml:space="preserve">2026-09-13 03:00</x:t>
  </x:si>
  <x:si>
    <x:t xml:space="preserve">皮阿尼斯 vs 格罗瑟托</x:t>
  </x:si>
  <x:si>
    <x:t xml:space="preserve">皮阿尼斯</x:t>
  </x:si>
  <x:si>
    <x:t xml:space="preserve">https://m.titan007.com/analy/Analysis/3050915.htm</x:t>
  </x:si>
  <x:si>
    <x:t xml:space="preserve">桑德兰 vs 阿森纳</x:t>
  </x:si>
  <x:si>
    <x:t xml:space="preserve">0.84/-1/1.05</x:t>
  </x:si>
  <x:si>
    <x:t xml:space="preserve">https://m.titan007.com/analy/Analysis/3003887.htm</x:t>
  </x:si>
  <x:si>
    <x:t xml:space="preserve">2026-09-13 08:40</x:t>
  </x:si>
  <x:si>
    <x:t xml:space="preserve">圣路易斯城 vs 明尼苏达联</x:t>
  </x:si>
  <x:si>
    <x:t xml:space="preserve">1.05/0.5/0.83</x:t>
  </x:si>
  <x:si>
    <x:t xml:space="preserve">圣路易斯城</x:t>
  </x:si>
  <x:si>
    <x:t xml:space="preserve">https://m.titan007.com/analy/Analysis/2908780.htm</x:t>
  </x:si>
  <x:si>
    <x:t xml:space="preserve">2026-09-13</x:t>
  </x:si>
  <x:si>
    <x:t xml:space="preserve">2026-09-13 10:30</x:t>
  </x:si>
  <x:si>
    <x:t xml:space="preserve">圣何塞地震 vs 休斯敦迪纳摩</x:t>
  </x:si>
  <x:si>
    <x:t xml:space="preserve">1.09/0.25/0.80</x:t>
  </x:si>
  <x:si>
    <x:t xml:space="preserve">圣何塞地震</x:t>
  </x:si>
  <x:si>
    <x:t xml:space="preserve">https://m.titan007.com/analy/Analysis/2908784.htm</x:t>
  </x:si>
  <x:si>
    <x:t xml:space="preserve">2026-09-13 16:15</x:t>
  </x:si>
  <x:si>
    <x:t xml:space="preserve">哈维瓦 vs 荷路比纳</x:t>
  </x:si>
  <x:si>
    <x:t xml:space="preserve">0.90/-0.5/0.80</x:t>
  </x:si>
  <x:si>
    <x:t xml:space="preserve">荷路比纳</x:t>
  </x:si>
  <x:si>
    <x:t xml:space="preserve">https://m.titan007.com/analy/Analysis/3043201.htm</x:t>
  </x:si>
  <x:si>
    <x:t xml:space="preserve">布拉格斯巴达B队 vs 布咸美恩斯1905B队</x:t>
  </x:si>
  <x:si>
    <x:t xml:space="preserve">0.83/1.5/0.87</x:t>
  </x:si>
  <x:si>
    <x:t xml:space="preserve">布拉格斯巴达B队</x:t>
  </x:si>
  <x:si>
    <x:t xml:space="preserve">https://m.titan007.com/analy/Analysis/3009372.htm</x:t>
  </x:si>
  <x:si>
    <x:t xml:space="preserve">布拉格斯拉维亚B队 vs 济斯科夫</x:t>
  </x:si>
  <x:si>
    <x:t xml:space="preserve">0.87/0.25/0.89</x:t>
  </x:si>
  <x:si>
    <x:t xml:space="preserve">济斯科夫</x:t>
  </x:si>
  <x:si>
    <x:t xml:space="preserve">https://m.titan007.com/analy/Analysis/3040123.htm</x:t>
  </x:si>
  <x:si>
    <x:t xml:space="preserve">2026-09-13 17:00</x:t>
  </x:si>
  <x:si>
    <x:t xml:space="preserve">女日联杯</x:t>
  </x:si>
  <x:si>
    <x:t xml:space="preserve">大阪樱花女足 vs 伊分埼玉女足</x:t>
  </x:si>
  <x:si>
    <x:t xml:space="preserve">大阪樱花女足</x:t>
  </x:si>
  <x:si>
    <x:t xml:space="preserve">https://m.titan007.com/analy/Analysis/3086961.htm</x:t>
  </x:si>
  <x:si>
    <x:t xml:space="preserve">FC琉球 vs 赞岐</x:t>
  </x:si>
  <x:si>
    <x:t xml:space="preserve">FC琉球</x:t>
  </x:si>
  <x:si>
    <x:t xml:space="preserve">https://m.titan007.com/analy/Analysis/3001179.htm</x:t>
  </x:si>
  <x:si>
    <x:t xml:space="preserve">仙台维加泰 vs 札幌冈萨多</x:t>
  </x:si>
  <x:si>
    <x:t xml:space="preserve">https://m.titan007.com/analy/Analysis/3000072.htm</x:t>
  </x:si>
  <x:si>
    <x:t xml:space="preserve">2026-09-13 18:00</x:t>
  </x:si>
  <x:si>
    <x:t xml:space="preserve">长野琶扼搂 vs 枥木SC</x:t>
  </x:si>
  <x:si>
    <x:t xml:space="preserve">0.92/-0.25/0.84</x:t>
  </x:si>
  <x:si>
    <x:t xml:space="preserve">枥木SC</x:t>
  </x:si>
  <x:si>
    <x:t xml:space="preserve">https://m.titan007.com/analy/Analysis/3001174.htm</x:t>
  </x:si>
  <x:si>
    <x:t xml:space="preserve">釜山偶像 vs 金海</x:t>
  </x:si>
  <x:si>
    <x:t xml:space="preserve">釜山偶像</x:t>
  </x:si>
  <x:si>
    <x:t xml:space="preserve">https://m.titan007.com/analy/Analysis/2925340.htm</x:t>
  </x:si>
  <x:si>
    <x:t xml:space="preserve">光州FC vs FC安养</x:t>
  </x:si>
  <x:si>
    <x:t xml:space="preserve">https://m.titan007.com/analy/Analysis/2929728.htm</x:t>
  </x:si>
  <x:si>
    <x:t xml:space="preserve">2026-09-13 19:00</x:t>
  </x:si>
  <x:si>
    <x:t xml:space="preserve">谢菲尔德联队 vs 狼队</x:t>
  </x:si>
  <x:si>
    <x:t xml:space="preserve">狼队</x:t>
  </x:si>
  <x:si>
    <x:t xml:space="preserve">https://m.titan007.com/analy/Analysis/3008229.htm</x:t>
  </x:si>
  <x:si>
    <x:t xml:space="preserve">2026-09-13 19:30</x:t>
  </x:si>
  <x:si>
    <x:t xml:space="preserve">格罗兹尼特里克 vs 马哈奇卡拉</x:t>
  </x:si>
  <x:si>
    <x:t xml:space="preserve">马哈奇卡拉</x:t>
  </x:si>
  <x:si>
    <x:t xml:space="preserve">https://m.titan007.com/analy/Analysis/3012291.htm</x:t>
  </x:si>
  <x:si>
    <x:t xml:space="preserve">奥斯纳布鲁克 vs 柏林赫塔</x:t>
  </x:si>
  <x:si>
    <x:t xml:space="preserve">1.05/-0.25/0.83</x:t>
  </x:si>
  <x:si>
    <x:t xml:space="preserve">柏林赫塔</x:t>
  </x:si>
  <x:si>
    <x:t xml:space="preserve">https://m.titan007.com/analy/Analysis/3019136.htm</x:t>
  </x:si>
  <x:si>
    <x:t xml:space="preserve">海登海姆 vs 荷尔斯泰因</x:t>
  </x:si>
  <x:si>
    <x:t xml:space="preserve">0.94/0.25/0.94</x:t>
  </x:si>
  <x:si>
    <x:t xml:space="preserve">海登海姆</x:t>
  </x:si>
  <x:si>
    <x:t xml:space="preserve">https://m.titan007.com/analy/Analysis/3019131.htm</x:t>
  </x:si>
  <x:si>
    <x:t xml:space="preserve">2026-09-13 20:00</x:t>
  </x:si>
  <x:si>
    <x:t xml:space="preserve">锡尔克堡 vs 维堡</x:t>
  </x:si>
  <x:si>
    <x:t xml:space="preserve">0.92/-0.5/0.96</x:t>
  </x:si>
  <x:si>
    <x:t xml:space="preserve">锡尔克堡</x:t>
  </x:si>
  <x:si>
    <x:t xml:space="preserve">https://m.titan007.com/analy/Analysis/2998247.htm</x:t>
  </x:si>
  <x:si>
    <x:t xml:space="preserve">乌法 vs 乌里扬诺夫斯克伏尔加</x:t>
  </x:si>
  <x:si>
    <x:t xml:space="preserve">0.80/0/0.96</x:t>
  </x:si>
  <x:si>
    <x:t xml:space="preserve">乌法</x:t>
  </x:si>
  <x:si>
    <x:t xml:space="preserve">https://m.titan007.com/analy/Analysis/3021985.htm</x:t>
  </x:si>
  <x:si>
    <x:t xml:space="preserve">埃尔夫斯堡 vs 卡尔马</x:t>
  </x:si>
  <x:si>
    <x:t xml:space="preserve">埃尔夫斯堡</x:t>
  </x:si>
  <x:si>
    <x:t xml:space="preserve">https://m.titan007.com/analy/Analysis/2912269.htm</x:t>
  </x:si>
  <x:si>
    <x:t xml:space="preserve">2026-09-13 21:00</x:t>
  </x:si>
  <x:si>
    <x:t xml:space="preserve">西维勒 vs 金箭</x:t>
  </x:si>
  <x:si>
    <x:t xml:space="preserve">0.80/0/0.90</x:t>
  </x:si>
  <x:si>
    <x:t xml:space="preserve">西维勒</x:t>
  </x:si>
  <x:si>
    <x:t xml:space="preserve">https://m.titan007.com/analy/Analysis/3041178.htm</x:t>
  </x:si>
  <x:si>
    <x:t xml:space="preserve">多洛米蒂贝卢诺 vs 阿尔比诺勒菲</x:t>
  </x:si>
  <x:si>
    <x:t xml:space="preserve">多洛米蒂贝卢诺</x:t>
  </x:si>
  <x:si>
    <x:t xml:space="preserve">https://m.titan007.com/analy/Analysis/3050533.htm</x:t>
  </x:si>
  <x:si>
    <x:t xml:space="preserve">莱切 vs 蒙扎</x:t>
  </x:si>
  <x:si>
    <x:t xml:space="preserve">莱切</x:t>
  </x:si>
  <x:si>
    <x:t xml:space="preserve">https://m.titan007.com/analy/Analysis/2993790.htm</x:t>
  </x:si>
  <x:si>
    <x:t xml:space="preserve">考文垂 vs 布莱顿</x:t>
  </x:si>
  <x:si>
    <x:t xml:space="preserve">0.95/-0.5/0.93</x:t>
  </x:si>
  <x:si>
    <x:t xml:space="preserve">布莱顿</x:t>
  </x:si>
  <x:si>
    <x:t xml:space="preserve">https://m.titan007.com/analy/Analysis/3003882.htm</x:t>
  </x:si>
  <x:si>
    <x:t xml:space="preserve">葡甲</x:t>
  </x:si>
  <x:si>
    <x:t xml:space="preserve">查维斯 vs 费伦斯</x:t>
  </x:si>
  <x:si>
    <x:t xml:space="preserve">查维斯</x:t>
  </x:si>
  <x:si>
    <x:t xml:space="preserve">https://m.titan007.com/analy/Analysis/3023785.htm</x:t>
  </x:si>
  <x:si>
    <x:t xml:space="preserve">2026-09-13 22:00</x:t>
  </x:si>
  <x:si>
    <x:t xml:space="preserve">兰讷斯 vs 欧登塞</x:t>
  </x:si>
  <x:si>
    <x:t xml:space="preserve">兰讷斯</x:t>
  </x:si>
  <x:si>
    <x:t xml:space="preserve">https://m.titan007.com/analy/Analysis/2998246.htm</x:t>
  </x:si>
  <x:si>
    <x:t xml:space="preserve">莫斯科斯巴达 vs 罗斯托夫</x:t>
  </x:si>
  <x:si>
    <x:t xml:space="preserve">莫斯科斯巴达</x:t>
  </x:si>
  <x:si>
    <x:t xml:space="preserve">https://m.titan007.com/analy/Analysis/3012297.htm</x:t>
  </x:si>
  <x:si>
    <x:t xml:space="preserve">RFC列日 vs 布鲁日B队</x:t>
  </x:si>
  <x:si>
    <x:t xml:space="preserve">RFC列日</x:t>
  </x:si>
  <x:si>
    <x:t xml:space="preserve">https://m.titan007.com/analy/Analysis/3005390.htm</x:t>
  </x:si>
  <x:si>
    <x:t xml:space="preserve">2026-09-13 22:15</x:t>
  </x:si>
  <x:si>
    <x:t xml:space="preserve">莱万特 vs 巴塞罗那</x:t>
  </x:si>
  <x:si>
    <x:t xml:space="preserve">1.03/-2.25/0.85</x:t>
  </x:si>
  <x:si>
    <x:t xml:space="preserve">https://m.titan007.com/analy/Analysis/3013685.htm</x:t>
  </x:si>
  <x:si>
    <x:t xml:space="preserve">2026-09-13 22:30</x:t>
  </x:si>
  <x:si>
    <x:t xml:space="preserve">韦恩 vs 曼海姆</x:t>
  </x:si>
  <x:si>
    <x:t xml:space="preserve">0.79/0/0.97</x:t>
  </x:si>
  <x:si>
    <x:t xml:space="preserve">韦恩</x:t>
  </x:si>
  <x:si>
    <x:t xml:space="preserve">https://m.titan007.com/analy/Analysis/3026044.htm</x:t>
  </x:si>
  <x:si>
    <x:t xml:space="preserve">2026-09-13 23:00</x:t>
  </x:si>
  <x:si>
    <x:t xml:space="preserve">诺霍斯 vs 奥德</x:t>
  </x:si>
  <x:si>
    <x:t xml:space="preserve">0.94/-1/0.82</x:t>
  </x:si>
  <x:si>
    <x:t xml:space="preserve">奥德</x:t>
  </x:si>
  <x:si>
    <x:t xml:space="preserve">https://m.titan007.com/analy/Analysis/2913143.htm</x:t>
  </x:si>
  <x:si>
    <x:t xml:space="preserve">2026-09-13 23:15</x:t>
  </x:si>
  <x:si>
    <x:t xml:space="preserve">曼托瓦 vs 桑普多利亚</x:t>
  </x:si>
  <x:si>
    <x:t xml:space="preserve">曼托瓦</x:t>
  </x:si>
  <x:si>
    <x:t xml:space="preserve">https://m.titan007.com/analy/Analysis/3040741.htm</x:t>
  </x:si>
  <x:si>
    <x:t xml:space="preserve">2026-09-13 23:30</x:t>
  </x:si>
  <x:si>
    <x:t xml:space="preserve">TS银河 vs 克鲁格联</x:t>
  </x:si>
  <x:si>
    <x:t xml:space="preserve">TS银河</x:t>
  </x:si>
  <x:si>
    <x:t xml:space="preserve">https://m.titan007.com/analy/Analysis/3041179.htm</x:t>
  </x:si>
  <x:si>
    <x:t xml:space="preserve">埃弗斯堡 vs 拜仁慕尼黑</x:t>
  </x:si>
  <x:si>
    <x:t xml:space="preserve">0.88/-2.5/1.00</x:t>
  </x:si>
  <x:si>
    <x:t xml:space="preserve">https://m.titan007.com/analy/Analysis/3018806.htm</x:t>
  </x:si>
  <x:si>
    <x:t xml:space="preserve">2026-09-14 00:00</x:t>
  </x:si>
  <x:si>
    <x:t xml:space="preserve">北西兰 vs 奥胡斯</x:t>
  </x:si>
  <x:si>
    <x:t xml:space="preserve">北西兰</x:t>
  </x:si>
  <x:si>
    <x:t xml:space="preserve">https://m.titan007.com/analy/Analysis/2998245.htm</x:t>
  </x:si>
  <x:si>
    <x:t xml:space="preserve">US弗格尔 vs 阿尔希欧蕾</x:t>
  </x:si>
  <x:si>
    <x:t xml:space="preserve">US弗格尔</x:t>
  </x:si>
  <x:si>
    <x:t xml:space="preserve">https://m.titan007.com/analy/Analysis/3050534.htm</x:t>
  </x:si>
  <x:si>
    <x:t xml:space="preserve">2026-09-14 01:00</x:t>
  </x:si>
  <x:si>
    <x:t xml:space="preserve">土超</x:t>
  </x:si>
  <x:si>
    <x:t xml:space="preserve">加拉塔萨雷 vs 科贾埃利体育</x:t>
  </x:si>
  <x:si>
    <x:t xml:space="preserve">0.93/1.5/0.95</x:t>
  </x:si>
  <x:si>
    <x:t xml:space="preserve">科贾埃利体育</x:t>
  </x:si>
  <x:si>
    <x:t xml:space="preserve">https://m.titan007.com/analy/Analysis/3026728.htm</x:t>
  </x:si>
  <x:si>
    <x:t xml:space="preserve">2026-09-14 01:15</x:t>
  </x:si>
  <x:si>
    <x:t xml:space="preserve">腓特烈斯塔 vs 萨普斯堡</x:t>
  </x:si>
  <x:si>
    <x:t xml:space="preserve">腓特烈斯塔</x:t>
  </x:si>
  <x:si>
    <x:t xml:space="preserve">https://m.titan007.com/analy/Analysis/2912891.htm</x:t>
  </x:si>
  <x:si>
    <x:t xml:space="preserve">2026-09-14 01:30</x:t>
  </x:si>
  <x:si>
    <x:t xml:space="preserve">霍芬海姆业馀队 vs 幸运科隆</x:t>
  </x:si>
  <x:si>
    <x:t xml:space="preserve">霍芬海姆业馀队</x:t>
  </x:si>
  <x:si>
    <x:t xml:space="preserve">https://m.titan007.com/analy/Analysis/3026037.htm</x:t>
  </x:si>
  <x:si>
    <x:t xml:space="preserve">2026-09-14 02:45</x:t>
  </x:si>
  <x:si>
    <x:t xml:space="preserve">萨索洛 vs 尤文图斯</x:t>
  </x:si>
  <x:si>
    <x:t xml:space="preserve">1.02/-0.75/0.86</x:t>
  </x:si>
  <x:si>
    <x:t xml:space="preserve">https://m.titan007.com/analy/Analysis/2993792.htm</x:t>
  </x:si>
  <x:si>
    <x:t xml:space="preserve">2026-09-14 03:00</x:t>
  </x:si>
  <x:si>
    <x:t xml:space="preserve">特伦托 vs 布雷西亚</x:t>
  </x:si>
  <x:si>
    <x:t xml:space="preserve">0.92/-0.25/0.78</x:t>
  </x:si>
  <x:si>
    <x:t xml:space="preserve">https://m.titan007.com/analy/Analysis/3050539.htm</x:t>
  </x:si>
  <x:si>
    <x:t xml:space="preserve">2026-09-14</x:t>
  </x:si>
  <x:si>
    <x:t xml:space="preserve">2026-09-14 23:30</x:t>
  </x:si>
  <x:si>
    <x:t xml:space="preserve">辛历克 vs 乌拉尔</x:t>
  </x:si>
  <x:si>
    <x:t xml:space="preserve">辛历克</x:t>
  </x:si>
  <x:si>
    <x:t xml:space="preserve">网页可投（最新版冻结）</x:t>
  </x:si>
  <x:si>
    <x:t xml:space="preserve">https://m.titan007.com/analy/Analysis/3022064.htm</x:t>
  </x:si>
  <x:si>
    <x:t xml:space="preserve">https://simondongxiao.github.io/odds/v3-legacy/</x:t>
  </x:si>
  <x:si>
    <x:t xml:space="preserve">2026-09-15 00:00</x:t>
  </x:si>
  <x:si>
    <x:t xml:space="preserve">HNK哥里卡 vs 瓦拉日丁</x:t>
  </x:si>
  <x:si>
    <x:t xml:space="preserve">瓦拉日丁</x:t>
  </x:si>
  <x:si>
    <x:t xml:space="preserve">https://m.titan007.com/analy/Analysis/2997522.htm</x:t>
  </x:si>
  <x:si>
    <x:t xml:space="preserve">2026-09-15 00:30</x:t>
  </x:si>
  <x:si>
    <x:t xml:space="preserve">韦莱斯 vs 索契</x:t>
  </x:si>
  <x:si>
    <x:t xml:space="preserve">韦莱斯</x:t>
  </x:si>
  <x:si>
    <x:t xml:space="preserve">https://m.titan007.com/analy/Analysis/3021987.htm</x:t>
  </x:si>
  <x:si>
    <x:t xml:space="preserve">科莫 vs 帕尔马</x:t>
  </x:si>
  <x:si>
    <x:t xml:space="preserve">0.84/1.75/1.05</x:t>
  </x:si>
  <x:si>
    <x:t xml:space="preserve">https://m.titan007.com/analy/Analysis/2993786.htm</x:t>
  </x:si>
  <x:si>
    <x:t xml:space="preserve">都灵 vs 罗马</x:t>
  </x:si>
  <x:si>
    <x:t xml:space="preserve">1.03/-1/0.86</x:t>
  </x:si>
  <x:si>
    <x:t xml:space="preserve">https://m.titan007.com/analy/Analysis/2993793.htm</x:t>
  </x:si>
  <x:si>
    <x:t xml:space="preserve">2026-09-15 01:05</x:t>
  </x:si>
  <x:si>
    <x:t xml:space="preserve">奥斯特桑斯 vs 赫尔辛堡</x:t>
  </x:si>
  <x:si>
    <x:t xml:space="preserve">0.84/0.5/1.05</x:t>
  </x:si>
  <x:si>
    <x:t xml:space="preserve">奥斯特桑斯</x:t>
  </x:si>
  <x:si>
    <x:t xml:space="preserve">https://m.titan007.com/analy/Analysis/2914701.htm</x:t>
  </x:si>
  <x:si>
    <x:t xml:space="preserve">2026-09-15 02:45</x:t>
  </x:si>
  <x:si>
    <x:t xml:space="preserve">红星 vs 梅斯</x:t>
  </x:si>
  <x:si>
    <x:t xml:space="preserve">红星</x:t>
  </x:si>
  <x:si>
    <x:t xml:space="preserve">https://m.titan007.com/analy/Analysis/2997723.htm</x:t>
  </x:si>
  <x:si>
    <x:t xml:space="preserve">2026-09-15</x:t>
  </x:si>
  <x:si>
    <x:t xml:space="preserve">2026-09-16 00:00</x:t>
  </x:si>
  <x:si>
    <x:t xml:space="preserve">卢多戈雷茨B队 vs 弗拉特里亚</x:t>
  </x:si>
  <x:si>
    <x:t xml:space="preserve">0.99/-0.5/0.77</x:t>
  </x:si>
  <x:si>
    <x:t xml:space="preserve">弗拉特里亚</x:t>
  </x:si>
  <x:si>
    <x:t xml:space="preserve">https://oddslot.com/football/match/second-league/ludogorets-ii/fratria/15-sep-2026/</x:t>
  </x:si>
  <x:si>
    <x:t xml:space="preserve">热那亚 vs 南蒂罗尔</x:t>
  </x:si>
  <x:si>
    <x:t xml:space="preserve">1.01/1/0.88</x:t>
  </x:si>
  <x:si>
    <x:t xml:space="preserve">https://sport.sky.it/calcio/coppa-italia/2026/09/15/coppa-italia-risultati-oggi-trentaduesimi</x:t>
  </x:si>
  <x:si>
    <x:t xml:space="preserve">2026-09-16 01:00</x:t>
  </x:si>
  <x:si>
    <x:t xml:space="preserve">海勒鲁普 vs 埃斯比约</x:t>
  </x:si>
  <x:si>
    <x:t xml:space="preserve">0.96/-1/0.80</x:t>
  </x:si>
  <x:si>
    <x:t xml:space="preserve">埃斯比约</x:t>
  </x:si>
  <x:si>
    <x:t xml:space="preserve">https://arsiv.mackolik.com/Takim/309/Esbjerg</x:t>
  </x:si>
  <x:si>
    <x:t xml:space="preserve">巴列卡诺 vs 西班牙人</x:t>
  </x:si>
  <x:si>
    <x:t xml:space="preserve">https://mexico.as.com/resultados/</x:t>
  </x:si>
  <x:si>
    <x:t xml:space="preserve">2026-09-16 02:00</x:t>
  </x:si>
  <x:si>
    <x:t xml:space="preserve">阿贾克斯 vs 威廉二世</x:t>
  </x:si>
  <x:si>
    <x:t xml:space="preserve">0.85/2.5/1.04</x:t>
  </x:si>
  <x:si>
    <x:t xml:space="preserve">阿贾克斯</x:t>
  </x:si>
  <x:si>
    <x:t xml:space="preserve">https://www.vi.nl/wedstrijden/2026-09-15/ajax-vs-willem-ii</x:t>
  </x:si>
  <x:si>
    <x:t xml:space="preserve">2026-09-16 02:45</x:t>
  </x:si>
  <x:si>
    <x:t xml:space="preserve">布里斯托城 vs 林肯城</x:t>
  </x:si>
  <x:si>
    <x:t xml:space="preserve">0.83/0.5/1.03</x:t>
  </x:si>
  <x:si>
    <x:t xml:space="preserve">https://www.footballwebpages.co.uk/20260915</x:t>
  </x:si>
  <x:si>
    <x:t xml:space="preserve">米德尔斯堡 vs 米尔沃尔</x:t>
  </x:si>
  <x:si>
    <x:t xml:space="preserve">1.01/1.25/0.85</x:t>
  </x:si>
  <x:si>
    <x:t xml:space="preserve">2026-09-16 03:00</x:t>
  </x:si>
  <x:si>
    <x:t xml:space="preserve">巴勒塔 vs 萨勒尼塔纳</x:t>
  </x:si>
  <x:si>
    <x:t xml:space="preserve">0.63/-0.25/1.14</x:t>
  </x:si>
  <x:si>
    <x:t xml:space="preserve">https://www.calciosalernitana.it/2026/09/15/barletta-salernitana-1-1-pari-e-rimpianti-celiento-riacciuffa-i-pugliesi/</x:t>
  </x:si>
  <x:si>
    <x:t xml:space="preserve">斯卡法塔森 vs 摩诺波利</x:t>
  </x:si>
  <x:si>
    <x:t xml:space="preserve">0.96/0/0.80</x:t>
  </x:si>
  <x:si>
    <x:t xml:space="preserve">摩诺波利</x:t>
  </x:si>
  <x:si>
    <x:t xml:space="preserve">https://www.scafatesecalcio.it/2026/09/15/pari-a-reti-inviolate-tra-scafatese-e-monopoli-termina-0-0-al-guariglia/</x:t>
  </x:si>
  <x:si>
    <x:t xml:space="preserve">佛罗伦萨 vs 比萨</x:t>
  </x:si>
  <x:si>
    <x:t xml:space="preserve">https://www.rainews.it/tgr/toscana/articoli/2026/09/la-fiorentina-batte-il-pisa-e-conquista-gli-ottavi-efba44a8-29ac-4071-9859-219218265282.html</x:t>
  </x:si>
  <x:si>
    <x:t xml:space="preserve">伊普斯维奇 vs 阿森纳</x:t>
  </x:si>
  <x:si>
    <x:t xml:space="preserve">1.09/-1.5/0.79</x:t>
  </x:si>
  <x:si>
    <x:t xml:space="preserve">利物浦 vs 托特纳姆热刺</x:t>
  </x:si>
  <x:si>
    <x:t xml:space="preserve">1.02/1/0.86</x:t>
  </x:si>
  <x:si>
    <x:t xml:space="preserve">2026-09-16 03:30</x:t>
  </x:si>
  <x:si>
    <x:t xml:space="preserve">埃尔切 vs 皇家马德里</x:t>
  </x:si>
  <x:si>
    <x:t xml:space="preserve">1.04/-2/0.85</x:t>
  </x:si>
  <x:si>
    <x:t xml:space="preserve">2026-09-16 07:00</x:t>
  </x:si>
  <x:si>
    <x:t xml:space="preserve">印地十一 vs 布鲁克林</x:t>
  </x:si>
  <x:si>
    <x:t xml:space="preserve">1.03/1/0.79</x:t>
  </x:si>
  <x:si>
    <x:t xml:space="preserve">印地十一</x:t>
  </x:si>
  <x:si>
    <x:t xml:space="preserve">https://www.brooklynfootballclub.com/news/2026/09/15/brooklyn-fc-falls-4-0-to-indy-eleven-on-the-road/</x:t>
  </x:si>
  <x:si>
    <x:t xml:space="preserve">2026-09-16</x:t>
  </x:si>
  <x:si>
    <x:t xml:space="preserve">2026-09-16 21:45</x:t>
  </x:si>
  <x:si>
    <x:t xml:space="preserve">阿里斯 vs 马尔科</x:t>
  </x:si>
  <x:si>
    <x:t xml:space="preserve">马尔科</x:t>
  </x:si>
  <x:si>
    <x:t xml:space="preserve">2026-09-16 23:00</x:t>
  </x:si>
  <x:si>
    <x:t xml:space="preserve">索科尔布洛赞尼 vs 帕尔杜比斯B队</x:t>
  </x:si>
  <x:si>
    <x:t xml:space="preserve">帕尔杜比斯B队</x:t>
  </x:si>
  <x:si>
    <x:t xml:space="preserve">2026-09-16 23:30</x:t>
  </x:si>
  <x:si>
    <x:t xml:space="preserve">罗迪纳莫斯科 vs 喀山红宝石</x:t>
  </x:si>
  <x:si>
    <x:t xml:space="preserve">喀山红宝石</x:t>
  </x:si>
  <x:si>
    <x:t xml:space="preserve">莫斯科斯巴达 vs 沃罗涅日火炬</x:t>
  </x:si>
  <x:si>
    <x:t xml:space="preserve">沃罗涅日火炬</x:t>
  </x:si>
  <x:si>
    <x:t xml:space="preserve">2026-09-17 00:00</x:t>
  </x:si>
  <x:si>
    <x:t xml:space="preserve">AB格莱萨克瑟 vs 桑德捷斯基</x:t>
  </x:si>
  <x:si>
    <x:t xml:space="preserve">0.90/-0.75/0.80</x:t>
  </x:si>
  <x:si>
    <x:t xml:space="preserve">桑德捷斯基</x:t>
  </x:si>
  <x:si>
    <x:t xml:space="preserve">2026-09-17 00:30</x:t>
  </x:si>
  <x:si>
    <x:t xml:space="preserve">AS奥斯提亚马尔 vs 拉维纳</x:t>
  </x:si>
  <x:si>
    <x:t xml:space="preserve">0.99/-0.75/0.83</x:t>
  </x:si>
  <x:si>
    <x:t xml:space="preserve">拉维纳</x:t>
  </x:si>
  <x:si>
    <x:t xml:space="preserve">拉蒂那 vs 圭多尼亚</x:t>
  </x:si>
  <x:si>
    <x:t xml:space="preserve">拉蒂那</x:t>
  </x:si>
  <x:si>
    <x:t xml:space="preserve">皮内托 vs 福尔利</x:t>
  </x:si>
  <x:si>
    <x:t xml:space="preserve">皮内托</x:t>
  </x:si>
  <x:si>
    <x:t xml:space="preserve">2026-09-17 01:00</x:t>
  </x:si>
  <x:si>
    <x:t xml:space="preserve">普鲁士明斯特 vs 萨尔布吕肯</x:t>
  </x:si>
  <x:si>
    <x:t xml:space="preserve">1.05/0/0.81</x:t>
  </x:si>
  <x:si>
    <x:t xml:space="preserve">拉科鲁尼亚 vs 塞维利亚</x:t>
  </x:si>
  <x:si>
    <x:t xml:space="preserve">0.84/0/1.05</x:t>
  </x:si>
  <x:si>
    <x:t xml:space="preserve">拉科鲁尼亚</x:t>
  </x:si>
  <x:si>
    <x:t xml:space="preserve">马德里竞技 vs 奥萨苏纳</x:t>
  </x:si>
  <x:si>
    <x:t xml:space="preserve">1.06/1.5/0.83</x:t>
  </x:si>
  <x:si>
    <x:t xml:space="preserve">2026-09-17 02:00</x:t>
  </x:si>
  <x:si>
    <x:t xml:space="preserve">科尼尔CF vs 赫尔曼斯</x:t>
  </x:si>
  <x:si>
    <x:t xml:space="preserve">赫尔曼斯</x:t>
  </x:si>
  <x:si>
    <x:t xml:space="preserve">2026-09-17 02:45</x:t>
  </x:si>
  <x:si>
    <x:t xml:space="preserve">埃弗顿 vs 狼队</x:t>
  </x:si>
  <x:si>
    <x:t xml:space="preserve">1.01/1.25/0.87</x:t>
  </x:si>
  <x:si>
    <x:t xml:space="preserve">埃弗顿</x:t>
  </x:si>
  <x:si>
    <x:t xml:space="preserve">弗利特伍德 vs 谢菲尔德联队</x:t>
  </x:si>
  <x:si>
    <x:t xml:space="preserve">1.06/-0.75/0.82</x:t>
  </x:si>
  <x:si>
    <x:t xml:space="preserve">2026-09-17 03:00</x:t>
  </x:si>
  <x:si>
    <x:t xml:space="preserve">比沙奴 vs 雷吉亚纳</x:t>
  </x:si>
  <x:si>
    <x:t xml:space="preserve">0.88/-0.5/0.82</x:t>
  </x:si>
  <x:si>
    <x:t xml:space="preserve">雷吉亚纳</x:t>
  </x:si>
  <x:si>
    <x:t xml:space="preserve">欧联独立赛事</x:t>
  </x:si>
  <x:si>
    <x:t xml:space="preserve">欧罗巴杯</x:t>
  </x:si>
  <x:si>
    <x:t xml:space="preserve">奥林匹亚科斯 vs 比亚韦斯托克雅盖隆</x:t>
  </x:si>
  <x:si>
    <x:t xml:space="preserve">0.80/1.5/1.09</x:t>
  </x:si>
  <x:si>
    <x:t xml:space="preserve">奥林匹亚科斯</x:t>
  </x:si>
  <x:si>
    <x:t xml:space="preserve">桑德兰 vs 阿尔克马尔</x:t>
  </x:si>
  <x:si>
    <x:t xml:space="preserve">1.09/1.25/0.80</x:t>
  </x:si>
  <x:si>
    <x:t xml:space="preserve">桑德兰</x:t>
  </x:si>
  <x:si>
    <x:t xml:space="preserve">考文垂 vs 阿斯顿维拉</x:t>
  </x:si>
  <x:si>
    <x:t xml:space="preserve">0.88/-0.5/1.00</x:t>
  </x:si>
  <x:si>
    <x:t xml:space="preserve">2026-09-17 03:30</x:t>
  </x:si>
  <x:si>
    <x:t xml:space="preserve">莱万特 vs 毕尔巴鄂竞技</x:t>
  </x:si>
  <x:si>
    <x:t xml:space="preserve">莱万特</x:t>
  </x:si>
  <x:si>
    <x:t xml:space="preserve">2026-09-17</x:t>
  </x:si>
  <x:si>
    <x:t xml:space="preserve">2026-09-17 21:15</x:t>
  </x:si>
  <x:si>
    <x:t xml:space="preserve">奥伦堡加索维克 vs 克拉斯诺达尔</x:t>
  </x:si>
  <x:si>
    <x:t xml:space="preserve">克拉斯诺达尔</x:t>
  </x:si>
  <x:si>
    <x:t xml:space="preserve">https://ofstats.com/matches/view/orenburg-krasnodar-2026-09-17</x:t>
  </x:si>
  <x:si>
    <x:t xml:space="preserve">2026-09-17 21:30</x:t>
  </x:si>
  <x:si>
    <x:t xml:space="preserve">卡拉玛达 vs 拉里萨</x:t>
  </x:si>
  <x:si>
    <x:t xml:space="preserve">0.87/0.5/0.95</x:t>
  </x:si>
  <x:si>
    <x:t xml:space="preserve">拉里萨</x:t>
  </x:si>
  <x:si>
    <x:t xml:space="preserve">https://footballfirst.com/football-live-centre/match-detail/kalamata-vs-ae-larissa/569611/info</x:t>
  </x:si>
  <x:si>
    <x:t xml:space="preserve">2026-09-17 23:30</x:t>
  </x:si>
  <x:si>
    <x:t xml:space="preserve">罗斯托夫 vs 莫斯科迪纳摩</x:t>
  </x:si>
  <x:si>
    <x:t xml:space="preserve">莫斯科迪纳摩</x:t>
  </x:si>
  <x:si>
    <x:t xml:space="preserve">https://es.fcdynamo.ru/fixtures/detail/2026-2027-rossiiskaia-premer-liga-6750/</x:t>
  </x:si>
  <x:si>
    <x:t xml:space="preserve">2026-09-18 00:30</x:t>
  </x:si>
  <x:si>
    <x:t xml:space="preserve">帕格特斯 vs US弗格尔</x:t>
  </x:si>
  <x:si>
    <x:t xml:space="preserve">帕格特斯</x:t>
  </x:si>
  <x:si>
    <x:t xml:space="preserve">https://www.flashscore.com/match/football/italy/serie-c/</x:t>
  </x:si>
  <x:si>
    <x:t xml:space="preserve">2026-09-18 00:45</x:t>
  </x:si>
  <x:si>
    <x:t xml:space="preserve">OFI克里特 vs 霍芬海姆</x:t>
  </x:si>
  <x:si>
    <x:t xml:space="preserve">1.03/-1.5/0.86</x:t>
  </x:si>
  <x:si>
    <x:t xml:space="preserve">https://www.bundesliga.com/en/bundesliga/news/ofi-crete-hoffenheim-live-europa-league-blog-preview-report-asllani-kramaric-39120</x:t>
  </x:si>
  <x:si>
    <x:t xml:space="preserve">索非亚列夫斯基 vs 萨尔茨堡</x:t>
  </x:si>
  <x:si>
    <x:t xml:space="preserve">萨尔茨堡</x:t>
  </x:si>
  <x:si>
    <x:t xml:space="preserve">https://www.sofascore.com/news/rb-salzburg-beat-levski-sofia-1-0-in-europa-league</x:t>
  </x:si>
  <x:si>
    <x:t xml:space="preserve">2026-09-18 01:30</x:t>
  </x:si>
  <x:si>
    <x:t xml:space="preserve">奥兰多海盗 vs 德班城</x:t>
  </x:si>
  <x:si>
    <x:t xml:space="preserve">0.79/1.25/0.97</x:t>
  </x:si>
  <x:si>
    <x:t xml:space="preserve">奥兰多海盗</x:t>
  </x:si>
  <x:si>
    <x:t xml:space="preserve">https://www.orlandopiratesfc.com/news/football-news/pirates-power-past-durban-city/</x:t>
  </x:si>
  <x:si>
    <x:t xml:space="preserve">2026-09-18 02:30</x:t>
  </x:si>
  <x:si>
    <x:t xml:space="preserve">曼彻斯特城 vs 诺维奇</x:t>
  </x:si>
  <x:si>
    <x:t xml:space="preserve">1.02/2.75/0.86</x:t>
  </x:si>
  <x:si>
    <x:t xml:space="preserve">https://www.skysports.com/football/manchester-city-vs-norwich-city/report/577580</x:t>
  </x:si>
  <x:si>
    <x:t xml:space="preserve">2026-09-18 02:45</x:t>
  </x:si>
  <x:si>
    <x:t xml:space="preserve">巴斯蒂亚 vs 戛纳</x:t>
  </x:si>
  <x:si>
    <x:t xml:space="preserve">戛纳</x:t>
  </x:si>
  <x:si>
    <x:t xml:space="preserve">https://www.football365.fr/direct-foot/359211/359461/bastia-cannes.html</x:t>
  </x:si>
  <x:si>
    <x:t xml:space="preserve">2026-09-18 03:00</x:t>
  </x:si>
  <x:si>
    <x:t xml:space="preserve">AC雷纳特 vs 多洛米蒂贝卢诺</x:t>
  </x:si>
  <x:si>
    <x:t xml:space="preserve">0.78/0.25/0.98</x:t>
  </x:si>
  <x:si>
    <x:t xml:space="preserve">AC雷纳特</x:t>
  </x:si>
  <x:si>
    <x:t xml:space="preserve">https://www.betstudy.com/soccer-stats/result/renate-dolomiti-bellunesi-19786799/</x:t>
  </x:si>
  <x:si>
    <x:t xml:space="preserve">利勒斯特罗姆 vs 杜连斯</x:t>
  </x:si>
  <x:si>
    <x:t xml:space="preserve">0.80/0.75/1.09</x:t>
  </x:si>
  <x:si>
    <x:t xml:space="preserve">杜连斯</x:t>
  </x:si>
  <x:si>
    <x:t xml:space="preserve">https://www.lequipe.fr/Football/match-direct/ligue-europa/2026-2027/lillestrom-sk-torreense-live/702176</x:t>
  </x:si>
  <x:si>
    <x:t xml:space="preserve">尤文图斯 vs 奈梅亨</x:t>
  </x:si>
  <x:si>
    <x:t xml:space="preserve">1.04/2.25/0.85</x:t>
  </x:si>
  <x:si>
    <x:t xml:space="preserve">https://www.juventus.com/en/news/articles/bianconeri-put-five-past-nec-in-the-europa-league</x:t>
  </x:si>
  <x:si>
    <x:t xml:space="preserve">比尔森胜利 vs 圣吉罗斯</x:t>
  </x:si>
  <x:si>
    <x:t xml:space="preserve">0.81/0/1.08</x:t>
  </x:si>
  <x:si>
    <x:t xml:space="preserve">比尔森胜利</x:t>
  </x:si>
  <x:si>
    <x:t xml:space="preserve">https://sport.sky.it/calcio/europa-league/partite/2026/giornata-1/viktoria-plzen-union-saint-gilloise/risultato-gol</x:t>
  </x:si>
  <x:si>
    <x:t xml:space="preserve">皇家社会 vs 伯恩茅斯</x:t>
  </x:si>
  <x:si>
    <x:t xml:space="preserve">0.89/-0.25/1.00</x:t>
  </x:si>
  <x:si>
    <x:t xml:space="preserve">https://www.skysports.com/football/sociedad-vs-bmouth/report/577757</x:t>
  </x:si>
  <x:si>
    <x:t xml:space="preserve">2026-09-18 08:30</x:t>
  </x:si>
  <x:si>
    <x:t xml:space="preserve">阿拉胡埃伦斯 vs CD马拉松</x:t>
  </x:si>
  <x:si>
    <x:t xml:space="preserve">阿拉胡埃伦斯</x:t>
  </x:si>
  <x:si>
    <x:t xml:space="preserve">https://www.elpais.hn/adios-marathon-alajuelense-avanza-y-celebra-en-el-morera-soto/</x:t>
  </x:si>
  <x:si>
    <x:t xml:space="preserve">2026-09-18 10:00</x:t>
  </x:si>
  <x:si>
    <x:t xml:space="preserve">首相杯</x:t>
  </x:si>
  <x:si>
    <x:t xml:space="preserve">巴布亚新几内亚 vs 瓦努阿图</x:t>
  </x:si>
  <x:si>
    <x:t xml:space="preserve">巴布亚新几内亚</x:t>
  </x:si>
  <x:si>
    <x:t xml:space="preserve">https://www.sportschau.de/live-und-ergebnisse/fussball/fifa-freundschaft/ma12572896/papua-neuguinea_vanuatu/info</x:t>
  </x:si>
  <x:si>
    <x:t xml:space="preserve">2026-09-18</x:t>
  </x:si>
  <x:si>
    <x:t xml:space="preserve">2026-09-18 19:30</x:t>
  </x:si>
  <x:si>
    <x:t xml:space="preserve">南通支云 vs 广西恒宸</x:t>
  </x:si>
  <x:si>
    <x:t xml:space="preserve">0.81/0.5/1.01</x:t>
  </x:si>
  <x:si>
    <x:t xml:space="preserve">南通支云</x:t>
  </x:si>
  <x:si>
    <x:t xml:space="preserve">https://m.titan007.com/analy/Analysis/2951655.htm</x:t>
  </x:si>
  <x:si>
    <x:t xml:space="preserve">按相同盘水欧赔时点计算</x:t>
  </x:si>
  <x:si>
    <x:t xml:space="preserve">2026-09-18 19:35</x:t>
  </x:si>
  <x:si>
    <x:t xml:space="preserve">浙江俱乐部绿城 vs 武汉三镇</x:t>
  </x:si>
  <x:si>
    <x:t xml:space="preserve">0.85/0.5/1.01</x:t>
  </x:si>
  <x:si>
    <x:t xml:space="preserve">https://m.titan007.com/analy/Analysis/2944778.htm</x:t>
  </x:si>
  <x:si>
    <x:t xml:space="preserve">2026-09-18 22:00</x:t>
  </x:si>
  <x:si>
    <x:t xml:space="preserve">切里宾斯克 vs 乌法</x:t>
  </x:si>
  <x:si>
    <x:t xml:space="preserve">0.81/0.25/1.05</x:t>
  </x:si>
  <x:si>
    <x:t xml:space="preserve">切里宾斯克</x:t>
  </x:si>
  <x:si>
    <x:t xml:space="preserve">https://m.titan007.com/analy/Analysis/3021988.htm</x:t>
  </x:si>
  <x:si>
    <x:t xml:space="preserve">2026-09-19 00:30</x:t>
  </x:si>
  <x:si>
    <x:t xml:space="preserve">沃尔夫斯堡 vs 达姆施塔特</x:t>
  </x:si>
  <x:si>
    <x:t xml:space="preserve">0.82/1/1.07</x:t>
  </x:si>
  <x:si>
    <x:t xml:space="preserve">https://m.titan007.com/analy/Analysis/3019145.htm</x:t>
  </x:si>
  <x:si>
    <x:t xml:space="preserve">菲尔特 vs 马格德堡</x:t>
  </x:si>
  <x:si>
    <x:t xml:space="preserve">0.87/-0.25/1.02</x:t>
  </x:si>
  <x:si>
    <x:t xml:space="preserve">马格德堡</x:t>
  </x:si>
  <x:si>
    <x:t xml:space="preserve">https://m.titan007.com/analy/Analysis/3019139.htm</x:t>
  </x:si>
  <x:si>
    <x:t xml:space="preserve">2026-09-19 01:00</x:t>
  </x:si>
  <x:si>
    <x:t xml:space="preserve">利恩比 vs 锡尔克堡</x:t>
  </x:si>
  <x:si>
    <x:t xml:space="preserve">0.95/0.5/0.91</x:t>
  </x:si>
  <x:si>
    <x:t xml:space="preserve">https://m.titan007.com/analy/Analysis/2998250.htm</x:t>
  </x:si>
  <x:si>
    <x:t xml:space="preserve">SC维尔 vs 维尔茨堡踢球者</x:t>
  </x:si>
  <x:si>
    <x:t xml:space="preserve">0.79/0.25/0.97</x:t>
  </x:si>
  <x:si>
    <x:t xml:space="preserve">SC维尔</x:t>
  </x:si>
  <x:si>
    <x:t xml:space="preserve">https://m.titan007.com/analy/Analysis/3026062.htm</x:t>
  </x:si>
  <x:si>
    <x:t xml:space="preserve">2026-09-19 02:00</x:t>
  </x:si>
  <x:si>
    <x:t xml:space="preserve">拉瓦勒 vs 索肖</x:t>
  </x:si>
  <x:si>
    <x:t xml:space="preserve">拉瓦勒</x:t>
  </x:si>
  <x:si>
    <x:t xml:space="preserve">https://m.titan007.com/analy/Analysis/2997730.htm</x:t>
  </x:si>
  <x:si>
    <x:t xml:space="preserve">瓦尔韦克 vs 马斯特里赫特</x:t>
  </x:si>
  <x:si>
    <x:t xml:space="preserve">0.90/0.75/0.98</x:t>
  </x:si>
  <x:si>
    <x:t xml:space="preserve">马斯特里赫特</x:t>
  </x:si>
  <x:si>
    <x:t xml:space="preserve">6-1</x:t>
  </x:si>
  <x:si>
    <x:t xml:space="preserve">https://m.titan007.com/analy/Analysis/2996471.htm</x:t>
  </x:si>
  <x:si>
    <x:t xml:space="preserve">邓伯什 vs 赫尔蒙德</x:t>
  </x:si>
  <x:si>
    <x:t xml:space="preserve">赫尔蒙德</x:t>
  </x:si>
  <x:si>
    <x:t xml:space="preserve">https://m.titan007.com/analy/Analysis/2996465.htm</x:t>
  </x:si>
  <x:si>
    <x:t xml:space="preserve">格罗宁根 vs 兹沃勒</x:t>
  </x:si>
  <x:si>
    <x:t xml:space="preserve">格罗宁根</x:t>
  </x:si>
  <x:si>
    <x:t xml:space="preserve">https://m.titan007.com/analy/Analysis/2996154.htm</x:t>
  </x:si>
  <x:si>
    <x:t xml:space="preserve">2026-09-19 02:15</x:t>
  </x:si>
  <x:si>
    <x:t xml:space="preserve">温特图尔 vs 阿劳</x:t>
  </x:si>
  <x:si>
    <x:t xml:space="preserve">0.80/0.25/1.02</x:t>
  </x:si>
  <x:si>
    <x:t xml:space="preserve">温特图尔</x:t>
  </x:si>
  <x:si>
    <x:t xml:space="preserve">https://m.titan007.com/analy/Analysis/3000948.htm</x:t>
  </x:si>
  <x:si>
    <x:t xml:space="preserve">2026-09-19 02:30</x:t>
  </x:si>
  <x:si>
    <x:t xml:space="preserve">拜仁慕尼黑 vs 柏林联合</x:t>
  </x:si>
  <x:si>
    <x:t xml:space="preserve">1.01/3.75/0.88</x:t>
  </x:si>
  <x:si>
    <x:t xml:space="preserve">7-0</x:t>
  </x:si>
  <x:si>
    <x:t xml:space="preserve">https://m.titan007.com/analy/Analysis/3018814.htm</x:t>
  </x:si>
  <x:si>
    <x:t xml:space="preserve">阿尔巴塞特 vs 科尔多瓦</x:t>
  </x:si>
  <x:si>
    <x:t xml:space="preserve">1.12/0.25/0.78</x:t>
  </x:si>
  <x:si>
    <x:t xml:space="preserve">阿尔巴塞特</x:t>
  </x:si>
  <x:si>
    <x:t xml:space="preserve">https://m.titan007.com/analy/Analysis/3014077.htm</x:t>
  </x:si>
  <x:si>
    <x:t xml:space="preserve">2026-09-19 02:45</x:t>
  </x:si>
  <x:si>
    <x:t xml:space="preserve">蒙扎 vs 萨索洛</x:t>
  </x:si>
  <x:si>
    <x:t xml:space="preserve">萨索洛</x:t>
  </x:si>
  <x:si>
    <x:t xml:space="preserve">https://m.titan007.com/analy/Analysis/2993801.htm</x:t>
  </x:si>
  <x:si>
    <x:t xml:space="preserve">摩纳哥 vs 朗斯</x:t>
  </x:si>
  <x:si>
    <x:t xml:space="preserve">1.05/0.5/0.84</x:t>
  </x:si>
  <x:si>
    <x:t xml:space="preserve">摩纳哥</x:t>
  </x:si>
  <x:si>
    <x:t xml:space="preserve">https://m.titan007.com/analy/Analysis/2995348.htm</x:t>
  </x:si>
  <x:si>
    <x:t xml:space="preserve">2026-09-19 03:00</x:t>
  </x:si>
  <x:si>
    <x:t xml:space="preserve">布伦特福德 vs 切尔西</x:t>
  </x:si>
  <x:si>
    <x:t xml:space="preserve">https://m.titan007.com/analy/Analysis/3003890.htm</x:t>
  </x:si>
  <x:si>
    <x:t xml:space="preserve">西班牙人 vs 埃尔切</x:t>
  </x:si>
  <x:si>
    <x:t xml:space="preserve">西班牙人</x:t>
  </x:si>
  <x:si>
    <x:t xml:space="preserve">https://m.titan007.com/analy/Analysis/3013706.htm</x:t>
  </x:si>
  <x:si>
    <x:t xml:space="preserve">2026-09-19</x:t>
  </x:si>
  <x:si>
    <x:t xml:space="preserve">2026-09-19 15:30</x:t>
  </x:si>
  <x:si>
    <x:t xml:space="preserve">全南天龙 vs 水原FC</x:t>
  </x:si>
  <x:si>
    <x:t xml:space="preserve">0.98/-0.5/0.84</x:t>
  </x:si>
  <x:si>
    <x:t xml:space="preserve">https://m.titan007.com/analy/Analysis/2925535.htm</x:t>
  </x:si>
  <x:si>
    <x:t xml:space="preserve">忠南牙山 vs 天安城</x:t>
  </x:si>
  <x:si>
    <x:t xml:space="preserve">0.79/0.25/1.03</x:t>
  </x:si>
  <x:si>
    <x:t xml:space="preserve">忠南牙山</x:t>
  </x:si>
  <x:si>
    <x:t xml:space="preserve">https://m.titan007.com/analy/Analysis/2925534.htm</x:t>
  </x:si>
  <x:si>
    <x:t xml:space="preserve">2026-09-19 16:15</x:t>
  </x:si>
  <x:si>
    <x:t xml:space="preserve">布拉格斯拉维亚C队 vs 多马日利采</x:t>
  </x:si>
  <x:si>
    <x:t xml:space="preserve">0.92/-0.5/0.78</x:t>
  </x:si>
  <x:si>
    <x:t xml:space="preserve">布拉格斯拉维亚C队</x:t>
  </x:si>
  <x:si>
    <x:t xml:space="preserve">https://m.titan007.com/analy/Analysis/3009381.htm</x:t>
  </x:si>
  <x:si>
    <x:t xml:space="preserve">莫托勒 vs 毕那索</x:t>
  </x:si>
  <x:si>
    <x:t xml:space="preserve">0.83/0.75/0.87</x:t>
  </x:si>
  <x:si>
    <x:t xml:space="preserve">莫托勒</x:t>
  </x:si>
  <x:si>
    <x:t xml:space="preserve">https://m.titan007.com/analy/Analysis/3009379.htm</x:t>
  </x:si>
  <x:si>
    <x:t xml:space="preserve">2026-09-19 17:00</x:t>
  </x:si>
  <x:si>
    <x:t xml:space="preserve">川崎前锋 vs 鹿岛鹿角</x:t>
  </x:si>
  <x:si>
    <x:t xml:space="preserve">https://m.titan007.com/analy/Analysis/3000466.htm</x:t>
  </x:si>
  <x:si>
    <x:t xml:space="preserve">2026-09-19 17:30</x:t>
  </x:si>
  <x:si>
    <x:t xml:space="preserve">藤枝MYFC vs RB大宫松鼠</x:t>
  </x:si>
  <x:si>
    <x:t xml:space="preserve">RB大宫松鼠</x:t>
  </x:si>
  <x:si>
    <x:t xml:space="preserve">https://m.titan007.com/analy/Analysis/3000074.htm</x:t>
  </x:si>
  <x:si>
    <x:t xml:space="preserve">浦和红钻 vs 东京绿茵</x:t>
  </x:si>
  <x:si>
    <x:t xml:space="preserve">1.00/0.5/0.89</x:t>
  </x:si>
  <x:si>
    <x:t xml:space="preserve">浦和红钻</x:t>
  </x:si>
  <x:si>
    <x:t xml:space="preserve">https://m.titan007.com/analy/Analysis/3000470.htm</x:t>
  </x:si>
  <x:si>
    <x:t xml:space="preserve">长崎成功丸 vs 大阪樱花</x:t>
  </x:si>
  <x:si>
    <x:t xml:space="preserve">大阪樱花</x:t>
  </x:si>
  <x:si>
    <x:t xml:space="preserve">https://m.titan007.com/analy/Analysis/3000471.htm</x:t>
  </x:si>
  <x:si>
    <x:t xml:space="preserve">2026-09-19 18:00</x:t>
  </x:si>
  <x:si>
    <x:t xml:space="preserve">鸟取飞翔 vs 奈良俱乐部</x:t>
  </x:si>
  <x:si>
    <x:t xml:space="preserve">鸟取飞翔</x:t>
  </x:si>
  <x:si>
    <x:t xml:space="preserve">https://m.titan007.com/analy/Analysis/3001182.htm</x:t>
  </x:si>
  <x:si>
    <x:t xml:space="preserve">山形山神 vs 富山胜利</x:t>
  </x:si>
  <x:si>
    <x:t xml:space="preserve">1.04/0/0.85</x:t>
  </x:si>
  <x:si>
    <x:t xml:space="preserve">富山胜利</x:t>
  </x:si>
  <x:si>
    <x:t xml:space="preserve">https://m.titan007.com/analy/Analysis/3000077.htm</x:t>
  </x:si>
  <x:si>
    <x:t xml:space="preserve">越南杯</x:t>
  </x:si>
  <x:si>
    <x:t xml:space="preserve">庆和 vs 范亨大学</x:t>
  </x:si>
  <x:si>
    <x:t xml:space="preserve">庆和</x:t>
  </x:si>
  <x:si>
    <x:t xml:space="preserve">https://m.titan007.com/analy/Analysis/3075378.htm</x:t>
  </x:si>
  <x:si>
    <x:t xml:space="preserve">2026-09-19 19:00</x:t>
  </x:si>
  <x:si>
    <x:t xml:space="preserve">陕西联合月亮泊队 vs 苏州东吴</x:t>
  </x:si>
  <x:si>
    <x:t xml:space="preserve">0.75/0.75/1.07</x:t>
  </x:si>
  <x:si>
    <x:t xml:space="preserve">https://m.titan007.com/analy/Analysis/2951657.htm</x:t>
  </x:si>
  <x:si>
    <x:t xml:space="preserve">2026-09-19 19:30</x:t>
  </x:si>
  <x:si>
    <x:t xml:space="preserve">定南赣联 vs 佛山南狮</x:t>
  </x:si>
  <x:si>
    <x:t xml:space="preserve">0.81/0.75/1.01</x:t>
  </x:si>
  <x:si>
    <x:t xml:space="preserve">定南赣联</x:t>
  </x:si>
  <x:si>
    <x:t xml:space="preserve">https://m.titan007.com/analy/Analysis/2951660.htm</x:t>
  </x:si>
  <x:si>
    <x:t xml:space="preserve">斯托克城 vs 谢菲尔德联队</x:t>
  </x:si>
  <x:si>
    <x:t xml:space="preserve">1.02/0.25/0.86</x:t>
  </x:si>
  <x:si>
    <x:t xml:space="preserve">https://m.titan007.com/analy/Analysis/3008243.htm</x:t>
  </x:si>
  <x:si>
    <x:t xml:space="preserve">2026-09-19 20:00</x:t>
  </x:si>
  <x:si>
    <x:t xml:space="preserve">AB格莱萨克瑟 vs 埃斯比约</x:t>
  </x:si>
  <x:si>
    <x:t xml:space="preserve">https://m.titan007.com/analy/Analysis/2998118.htm</x:t>
  </x:si>
  <x:si>
    <x:t xml:space="preserve">奥萨苏纳 vs 巴列卡诺</x:t>
  </x:si>
  <x:si>
    <x:t xml:space="preserve">https://m.titan007.com/analy/Analysis/3013708.htm</x:t>
  </x:si>
  <x:si>
    <x:t xml:space="preserve">2026-09-19 20:45</x:t>
  </x:si>
  <x:si>
    <x:t xml:space="preserve">巴黎13区竞技 vs 普瑞兰斯</x:t>
  </x:si>
  <x:si>
    <x:t xml:space="preserve">巴黎13区竞技</x:t>
  </x:si>
  <x:si>
    <x:t xml:space="preserve">https://m.titan007.com/analy/Analysis/3020005.htm</x:t>
  </x:si>
  <x:si>
    <x:t xml:space="preserve">2026-09-19 21:00</x:t>
  </x:si>
  <x:si>
    <x:t xml:space="preserve">乌迪内斯 vs 卡利亚里</x:t>
  </x:si>
  <x:si>
    <x:t xml:space="preserve">0.95/0.25/0.94</x:t>
  </x:si>
  <x:si>
    <x:t xml:space="preserve">乌迪内斯</x:t>
  </x:si>
  <x:si>
    <x:t xml:space="preserve">https://m.titan007.com/analy/Analysis/2993803.htm</x:t>
  </x:si>
  <x:si>
    <x:t xml:space="preserve">巴提维格 vs EIK通斯堡</x:t>
  </x:si>
  <x:si>
    <x:t xml:space="preserve">0.82/1.75/0.88</x:t>
  </x:si>
  <x:si>
    <x:t xml:space="preserve">巴提维格</x:t>
  </x:si>
  <x:si>
    <x:t xml:space="preserve">https://m.titan007.com/analy/Analysis/2913344.htm</x:t>
  </x:si>
  <x:si>
    <x:t xml:space="preserve">阿蒂斯布尔诺 vs 利贝雷茨</x:t>
  </x:si>
  <x:si>
    <x:t xml:space="preserve">1.05/-0.75/0.83</x:t>
  </x:si>
  <x:si>
    <x:t xml:space="preserve">利贝雷茨</x:t>
  </x:si>
  <x:si>
    <x:t xml:space="preserve">https://m.titan007.com/analy/Analysis/3039893.htm</x:t>
  </x:si>
  <x:si>
    <x:t xml:space="preserve">瓦尔贝里 vs 布拉格</x:t>
  </x:si>
  <x:si>
    <x:t xml:space="preserve">https://m.titan007.com/analy/Analysis/2914710.htm</x:t>
  </x:si>
  <x:si>
    <x:t xml:space="preserve">2026-09-19 21:30</x:t>
  </x:si>
  <x:si>
    <x:t xml:space="preserve">法兰克福 vs 弗赖堡</x:t>
  </x:si>
  <x:si>
    <x:t xml:space="preserve">法兰克福</x:t>
  </x:si>
  <x:si>
    <x:t xml:space="preserve">https://m.titan007.com/analy/Analysis/3018816.htm</x:t>
  </x:si>
  <x:si>
    <x:t xml:space="preserve">2026-09-19 22:00</x:t>
  </x:si>
  <x:si>
    <x:t xml:space="preserve">阿萨纳 vs 布莱尼</x:t>
  </x:si>
  <x:si>
    <x:t xml:space="preserve">1.03/-0.5/0.81</x:t>
  </x:si>
  <x:si>
    <x:t xml:space="preserve">https://m.titan007.com/analy/Analysis/2913146.htm</x:t>
  </x:si>
  <x:si>
    <x:t xml:space="preserve">哈塞尔特 vs 比斯查</x:t>
  </x:si>
  <x:si>
    <x:t xml:space="preserve">0.96/-0.25/0.90</x:t>
  </x:si>
  <x:si>
    <x:t xml:space="preserve">哈塞尔特</x:t>
  </x:si>
  <x:si>
    <x:t xml:space="preserve">https://m.titan007.com/analy/Analysis/3005396.htm</x:t>
  </x:si>
  <x:si>
    <x:t xml:space="preserve">伯恩利 vs 德比郡</x:t>
  </x:si>
  <x:si>
    <x:t xml:space="preserve">https://m.titan007.com/analy/Analysis/3008238.htm</x:t>
  </x:si>
  <x:si>
    <x:t xml:space="preserve">伯明翰 vs 米德尔斯堡</x:t>
  </x:si>
  <x:si>
    <x:t xml:space="preserve">1.01/0/0.87</x:t>
  </x:si>
  <x:si>
    <x:t xml:space="preserve">https://m.titan007.com/analy/Analysis/3008236.htm</x:t>
  </x:si>
  <x:si>
    <x:t xml:space="preserve">朴茨茅斯 vs 布莱克本</x:t>
  </x:si>
  <x:si>
    <x:t xml:space="preserve">布莱克本</x:t>
  </x:si>
  <x:si>
    <x:t xml:space="preserve">https://m.titan007.com/analy/Analysis/3008241.htm</x:t>
  </x:si>
  <x:si>
    <x:t xml:space="preserve">林肯城 vs 斯旺西</x:t>
  </x:si>
  <x:si>
    <x:t xml:space="preserve">https://m.titan007.com/analy/Analysis/3008246.htm</x:t>
  </x:si>
  <x:si>
    <x:t xml:space="preserve">卢顿 vs 布拉德福德</x:t>
  </x:si>
  <x:si>
    <x:t xml:space="preserve">布拉德福德</x:t>
  </x:si>
  <x:si>
    <x:t xml:space="preserve">https://m.titan007.com/analy/Analysis/3007109.htm</x:t>
  </x:si>
  <x:si>
    <x:t xml:space="preserve">彼得堡联 vs 唐卡斯特</x:t>
  </x:si>
  <x:si>
    <x:t xml:space="preserve">0.93/0/0.95</x:t>
  </x:si>
  <x:si>
    <x:t xml:space="preserve">https://m.titan007.com/analy/Analysis/3007111.htm</x:t>
  </x:si>
  <x:si>
    <x:t xml:space="preserve">牛津联队 vs 剑桥联</x:t>
  </x:si>
  <x:si>
    <x:t xml:space="preserve">牛津联队</x:t>
  </x:si>
  <x:si>
    <x:t xml:space="preserve">https://m.titan007.com/analy/Analysis/3007110.htm</x:t>
  </x:si>
  <x:si>
    <x:t xml:space="preserve">维冈竞技 vs 韦康比流浪者</x:t>
  </x:si>
  <x:si>
    <x:t xml:space="preserve">0.81/0/1.07</x:t>
  </x:si>
  <x:si>
    <x:t xml:space="preserve">https://m.titan007.com/analy/Analysis/3007114.htm</x:t>
  </x:si>
  <x:si>
    <x:t xml:space="preserve">雷丁 vs 诺茨郡</x:t>
  </x:si>
  <x:si>
    <x:t xml:space="preserve">0.79/0.5/1.09</x:t>
  </x:si>
  <x:si>
    <x:t xml:space="preserve">https://m.titan007.com/analy/Analysis/3007112.htm</x:t>
  </x:si>
  <x:si>
    <x:t xml:space="preserve">纽卡斯尔联 vs 赫尔城</x:t>
  </x:si>
  <x:si>
    <x:t xml:space="preserve">1.00/1/0.89</x:t>
  </x:si>
  <x:si>
    <x:t xml:space="preserve">https://m.titan007.com/analy/Analysis/3003896.htm</x:t>
  </x:si>
  <x:si>
    <x:t xml:space="preserve">葡杯</x:t>
  </x:si>
  <x:si>
    <x:t xml:space="preserve">塞尔纳谢 vs 华森</x:t>
  </x:si>
  <x:si>
    <x:t xml:space="preserve">华森</x:t>
  </x:si>
  <x:si>
    <x:t xml:space="preserve">https://m.titan007.com/analy/Analysis/3089851.htm</x:t>
  </x:si>
  <x:si>
    <x:t xml:space="preserve">2026-09-19 22:15</x:t>
  </x:si>
  <x:si>
    <x:t xml:space="preserve">毕尔巴鄂竞技 vs 阿拉维斯</x:t>
  </x:si>
  <x:si>
    <x:t xml:space="preserve">毕尔巴鄂竞技</x:t>
  </x:si>
  <x:si>
    <x:t xml:space="preserve">https://m.titan007.com/analy/Analysis/3013702.htm</x:t>
  </x:si>
  <x:si>
    <x:t xml:space="preserve">2026-09-19 22:30</x:t>
  </x:si>
  <x:si>
    <x:t xml:space="preserve">萨尔布吕肯 vs 格罗巴斯帕奇</x:t>
  </x:si>
  <x:si>
    <x:t xml:space="preserve">https://m.titan007.com/analy/Analysis/3026059.htm</x:t>
  </x:si>
  <x:si>
    <x:t xml:space="preserve">海牙 vs 坎布尔</x:t>
  </x:si>
  <x:si>
    <x:t xml:space="preserve">坎布尔</x:t>
  </x:si>
  <x:si>
    <x:t xml:space="preserve">https://m.titan007.com/analy/Analysis/2996153.htm</x:t>
  </x:si>
  <x:si>
    <x:t xml:space="preserve">2026-09-20 00:00</x:t>
  </x:si>
  <x:si>
    <x:t xml:space="preserve">斯洛瓦科 vs 俄斯特拉发</x:t>
  </x:si>
  <x:si>
    <x:t xml:space="preserve">斯洛瓦科</x:t>
  </x:si>
  <x:si>
    <x:t xml:space="preserve">https://m.titan007.com/analy/Analysis/3039897.htm</x:t>
  </x:si>
  <x:si>
    <x:t xml:space="preserve">2026-09-20 00:10</x:t>
  </x:si>
  <x:si>
    <x:t xml:space="preserve">特罗图尔 vs 费基尔</x:t>
  </x:si>
  <x:si>
    <x:t xml:space="preserve">0.88/0.5/0.96</x:t>
  </x:si>
  <x:si>
    <x:t xml:space="preserve">特罗图尔(中)</x:t>
  </x:si>
  <x:si>
    <x:t xml:space="preserve">https://m.titan007.com/analy/Analysis/3091946.htm</x:t>
  </x:si>
  <x:si>
    <x:t xml:space="preserve">特罗图尔(中) vs 费基尔</x:t>
  </x:si>
  <x:si>
    <x:t xml:space="preserve">2026-09-20 00:30</x:t>
  </x:si>
  <x:si>
    <x:t xml:space="preserve">斯图加特 vs 多特蒙德</x:t>
  </x:si>
  <x:si>
    <x:t xml:space="preserve">https://m.titan007.com/analy/Analysis/3018820.htm</x:t>
  </x:si>
  <x:si>
    <x:t xml:space="preserve">诺丁汉森林 vs 考文垂</x:t>
  </x:si>
  <x:si>
    <x:t xml:space="preserve">https://m.titan007.com/analy/Analysis/3003897.htm</x:t>
  </x:si>
  <x:si>
    <x:t xml:space="preserve">埃登斯 vs 埃瓦尔</x:t>
  </x:si>
  <x:si>
    <x:t xml:space="preserve">埃瓦尔</x:t>
  </x:si>
  <x:si>
    <x:t xml:space="preserve">https://m.titan007.com/analy/Analysis/3014082.htm</x:t>
  </x:si>
  <x:si>
    <x:t xml:space="preserve">塞尔塔 vs 桑坦德竞技</x:t>
  </x:si>
  <x:si>
    <x:t xml:space="preserve">塞尔塔</x:t>
  </x:si>
  <x:si>
    <x:t xml:space="preserve">https://m.titan007.com/analy/Analysis/3013704.htm</x:t>
  </x:si>
  <x:si>
    <x:t xml:space="preserve">2026-09-20 01:30</x:t>
  </x:si>
  <x:si>
    <x:t xml:space="preserve">阿斯科利 vs 阿维利诺</x:t>
  </x:si>
  <x:si>
    <x:t xml:space="preserve">1.06/0.5/0.82</x:t>
  </x:si>
  <x:si>
    <x:t xml:space="preserve">https://m.titan007.com/analy/Analysis/3040746.htm</x:t>
  </x:si>
  <x:si>
    <x:t xml:space="preserve">2026-09-20 02:30</x:t>
  </x:si>
  <x:si>
    <x:t xml:space="preserve">卡塔尼亚 vs 巴勒塔</x:t>
  </x:si>
  <x:si>
    <x:t xml:space="preserve">0.73/1/0.97</x:t>
  </x:si>
  <x:si>
    <x:t xml:space="preserve">卡塔尼亚</x:t>
  </x:si>
  <x:si>
    <x:t xml:space="preserve">https://m.titan007.com/analy/Analysis/3051313.htm</x:t>
  </x:si>
  <x:si>
    <x:t xml:space="preserve">2026-09-20 02:45</x:t>
  </x:si>
  <x:si>
    <x:t xml:space="preserve">勒芒 vs 洛里昂</x:t>
  </x:si>
  <x:si>
    <x:t xml:space="preserve">https://m.titan007.com/analy/Analysis/2995346.htm</x:t>
  </x:si>
  <x:si>
    <x:t xml:space="preserve">昂热 vs 特鲁瓦</x:t>
  </x:si>
  <x:si>
    <x:t xml:space="preserve">0.78/0.25/1.12</x:t>
  </x:si>
  <x:si>
    <x:t xml:space="preserve">昂热</x:t>
  </x:si>
  <x:si>
    <x:t xml:space="preserve">https://m.titan007.com/analy/Analysis/2995344.htm</x:t>
  </x:si>
  <x:si>
    <x:t xml:space="preserve">里昂 vs 雷恩</x:t>
  </x:si>
  <x:si>
    <x:t xml:space="preserve">0.94/0.25/0.95</x:t>
  </x:si>
  <x:si>
    <x:t xml:space="preserve">https://m.titan007.com/analy/Analysis/2995347.htm</x:t>
  </x:si>
  <x:si>
    <x:t xml:space="preserve">2026-09-20 03:00</x:t>
  </x:si>
  <x:si>
    <x:t xml:space="preserve">威廉二世 vs 福图纳锡塔德</x:t>
  </x:si>
  <x:si>
    <x:t xml:space="preserve">0.94/0/0.95</x:t>
  </x:si>
  <x:si>
    <x:t xml:space="preserve">福图纳锡塔德</x:t>
  </x:si>
  <x:si>
    <x:t xml:space="preserve">https://m.titan007.com/analy/Analysis/2996156.htm</x:t>
  </x:si>
  <x:si>
    <x:t xml:space="preserve">韦斯卡 vs 马德里竞技B队</x:t>
  </x:si>
  <x:si>
    <x:t xml:space="preserve">0.91/0.5/0.91</x:t>
  </x:si>
  <x:si>
    <x:t xml:space="preserve">韦斯卡</x:t>
  </x:si>
  <x:si>
    <x:t xml:space="preserve">https://m.titan007.com/analy/Analysis/3014897.htm</x:t>
  </x:si>
  <x:si>
    <x:t xml:space="preserve">塞维利亚 vs 巴塞罗那</x:t>
  </x:si>
  <x:si>
    <x:t xml:space="preserve">0.96/-1.75/0.93</x:t>
  </x:si>
  <x:si>
    <x:t xml:space="preserve">塞维利亚</x:t>
  </x:si>
  <x:si>
    <x:t xml:space="preserve">https://m.titan007.com/analy/Analysis/3013709.htm</x:t>
  </x:si>
  <x:si>
    <x:t xml:space="preserve">2026-09-20 03:30</x:t>
  </x:si>
  <x:si>
    <x:t xml:space="preserve">葡萄牙体育 vs 阿罗卡</x:t>
  </x:si>
  <x:si>
    <x:t xml:space="preserve">0.80/2/1.09</x:t>
  </x:si>
  <x:si>
    <x:t xml:space="preserve">https://m.titan007.com/analy/Analysis/3023492.htm</x:t>
  </x:si>
  <x:si>
    <x:t xml:space="preserve">2026-09-20 07:00</x:t>
  </x:si>
  <x:si>
    <x:t xml:space="preserve">底特律城 vs 匹兹堡猎犬河队</x:t>
  </x:si>
  <x:si>
    <x:t xml:space="preserve">0.87/0.25/0.95</x:t>
  </x:si>
  <x:si>
    <x:t xml:space="preserve">匹兹堡猎犬河队</x:t>
  </x:si>
  <x:si>
    <x:t xml:space="preserve">https://www.detcityfc.com/news/2026/09/19/kian-williams-late-goal-lifts-detroit-city-fc-past-pittsburgh/</x:t>
  </x:si>
  <x:si>
    <x:t xml:space="preserve">2026-09-20 07:40</x:t>
  </x:si>
  <x:si>
    <x:t xml:space="preserve">华盛顿联 vs 夏洛特FC</x:t>
  </x:si>
  <x:si>
    <x:t xml:space="preserve">夏洛特FC</x:t>
  </x:si>
  <x:si>
    <x:t xml:space="preserve">https://www.thescore.com/mls/event/93527</x:t>
  </x:si>
  <x:si>
    <x:t xml:space="preserve">2026-09-20 08:40</x:t>
  </x:si>
  <x:si>
    <x:t xml:space="preserve">圣路易斯城 vs 多伦多FC</x:t>
  </x:si>
  <x:si>
    <x:t xml:space="preserve">1.09/0.75/0.80</x:t>
  </x:si>
  <x:si>
    <x:t xml:space="preserve">https://m.titan007.com/analy/Analysis/2908797.htm</x:t>
  </x:si>
  <x:si>
    <x:t xml:space="preserve">明尼苏达联 vs 洛杉矶银河</x:t>
  </x:si>
  <x:si>
    <x:t xml:space="preserve">0.91/0.75/0.98</x:t>
  </x:si>
  <x:si>
    <x:t xml:space="preserve">明尼苏达联</x:t>
  </x:si>
  <x:si>
    <x:t xml:space="preserve">https://m.titan007.com/analy/Analysis/2908795.htm</x:t>
  </x:si>
  <x:si>
    <x:t xml:space="preserve">2026-09-20 09:00</x:t>
  </x:si>
  <x:si>
    <x:t xml:space="preserve">科罗拉多跃泉 vs 新墨西哥联</x:t>
  </x:si>
  <x:si>
    <x:t xml:space="preserve">https://m.titan007.com/analy/Analysis/2942620.htm</x:t>
  </x:si>
  <x:si>
    <x:t xml:space="preserve">2026-09-20 09:40</x:t>
  </x:si>
  <x:si>
    <x:t xml:space="preserve">纳什威尔SC vs 芝加哥火焰</x:t>
  </x:si>
  <x:si>
    <x:t xml:space="preserve">1.00/0.75/0.89</x:t>
  </x:si>
  <x:si>
    <x:t xml:space="preserve">芝加哥火焰</x:t>
  </x:si>
  <x:si>
    <x:t xml:space="preserve">https://m.titan007.com/analy/Analysis/2908799.htm</x:t>
  </x:si>
  <x:si>
    <x:t xml:space="preserve">2026-09-20</x:t>
  </x:si>
  <x:si>
    <x:t xml:space="preserve">2026-09-20 15:30</x:t>
  </x:si>
  <x:si>
    <x:t xml:space="preserve">江原FC vs 济州SK</x:t>
  </x:si>
  <x:si>
    <x:t xml:space="preserve">江原FC</x:t>
  </x:si>
  <x:si>
    <x:t xml:space="preserve">https://m.titan007.com/analy/Analysis/2929731.htm</x:t>
  </x:si>
  <x:si>
    <x:t xml:space="preserve">2026-09-20 16:00</x:t>
  </x:si>
  <x:si>
    <x:t xml:space="preserve">SC相模原 vs 北九州向日葵</x:t>
  </x:si>
  <x:si>
    <x:t xml:space="preserve">https://m.titan007.com/analy/Analysis/3001190.htm</x:t>
  </x:si>
  <x:si>
    <x:t xml:space="preserve">2026-09-20 16:15</x:t>
  </x:si>
  <x:si>
    <x:t xml:space="preserve">布尔诺B队 vs 赫杜尼</x:t>
  </x:si>
  <x:si>
    <x:t xml:space="preserve">https://m.titan007.com/analy/Analysis/3043212.htm</x:t>
  </x:si>
  <x:si>
    <x:t xml:space="preserve">艾德米拉布拉格 vs 皮斯克</x:t>
  </x:si>
  <x:si>
    <x:t xml:space="preserve">皮斯克</x:t>
  </x:si>
  <x:si>
    <x:t xml:space="preserve">https://m.titan007.com/analy/Analysis/3009374.htm</x:t>
  </x:si>
  <x:si>
    <x:t xml:space="preserve">济斯科夫 vs 特里内茨</x:t>
  </x:si>
  <x:si>
    <x:t xml:space="preserve">0.84/0.75/0.92</x:t>
  </x:si>
  <x:si>
    <x:t xml:space="preserve">https://m.titan007.com/analy/Analysis/3040128.htm</x:t>
  </x:si>
  <x:si>
    <x:t xml:space="preserve">2026-09-20 17:00</x:t>
  </x:si>
  <x:si>
    <x:t xml:space="preserve">塔比历斯B队 vs 治鲁迪</x:t>
  </x:si>
  <x:si>
    <x:t xml:space="preserve">0.80/0.5/0.90</x:t>
  </x:si>
  <x:si>
    <x:t xml:space="preserve">塔比历斯B队</x:t>
  </x:si>
  <x:si>
    <x:t xml:space="preserve">https://m.titan007.com/analy/Analysis/3009500.htm</x:t>
  </x:si>
  <x:si>
    <x:t xml:space="preserve">2026-09-20 18:00</x:t>
  </x:si>
  <x:si>
    <x:t xml:space="preserve">仁川联 vs 大田市民</x:t>
  </x:si>
  <x:si>
    <x:t xml:space="preserve">1.05/0/0.83</x:t>
  </x:si>
  <x:si>
    <x:t xml:space="preserve">https://m.titan007.com/analy/Analysis/2929733.htm</x:t>
  </x:si>
  <x:si>
    <x:t xml:space="preserve">2026-09-20 19:30</x:t>
  </x:si>
  <x:si>
    <x:t xml:space="preserve">比勒菲尔德 vs 海登海姆</x:t>
  </x:si>
  <x:si>
    <x:t xml:space="preserve">比勒菲尔德</x:t>
  </x:si>
  <x:si>
    <x:t xml:space="preserve">https://m.titan007.com/analy/Analysis/3019137.htm</x:t>
  </x:si>
  <x:si>
    <x:t xml:space="preserve">科特布斯 vs 圣保利</x:t>
  </x:si>
  <x:si>
    <x:t xml:space="preserve">科特布斯</x:t>
  </x:si>
  <x:si>
    <x:t xml:space="preserve">https://m.titan007.com/analy/Analysis/3019138.htm</x:t>
  </x:si>
  <x:si>
    <x:t xml:space="preserve">2026-09-20 20:00</x:t>
  </x:si>
  <x:si>
    <x:t xml:space="preserve">哈尔姆斯塔德 vs 索尔纳</x:t>
  </x:si>
  <x:si>
    <x:t xml:space="preserve">索尔纳</x:t>
  </x:si>
  <x:si>
    <x:t xml:space="preserve">https://m.titan007.com/analy/Analysis/2912278.htm</x:t>
  </x:si>
  <x:si>
    <x:t xml:space="preserve">赫塔菲 vs 马拉加</x:t>
  </x:si>
  <x:si>
    <x:t xml:space="preserve">https://m.titan007.com/analy/Analysis/3013707.htm</x:t>
  </x:si>
  <x:si>
    <x:t xml:space="preserve">2026-09-20 20:30</x:t>
  </x:si>
  <x:si>
    <x:t xml:space="preserve">瓦勒伦加 vs 腓特烈斯塔</x:t>
  </x:si>
  <x:si>
    <x:t xml:space="preserve">0.98/0.5/0.90</x:t>
  </x:si>
  <x:si>
    <x:t xml:space="preserve">https://m.titan007.com/analy/Analysis/2912904.htm</x:t>
  </x:si>
  <x:si>
    <x:t xml:space="preserve">诺维奇 vs 博尔顿</x:t>
  </x:si>
  <x:si>
    <x:t xml:space="preserve">1.03/1.25/0.85</x:t>
  </x:si>
  <x:si>
    <x:t xml:space="preserve">诺维奇</x:t>
  </x:si>
  <x:si>
    <x:t xml:space="preserve">https://m.titan007.com/analy/Analysis/3008240.htm</x:t>
  </x:si>
  <x:si>
    <x:t xml:space="preserve">2026-09-20 21:00</x:t>
  </x:si>
  <x:si>
    <x:t xml:space="preserve">帕尔马 vs 热那亚</x:t>
  </x:si>
  <x:si>
    <x:t xml:space="preserve">1.11/0/0.78</x:t>
  </x:si>
  <x:si>
    <x:t xml:space="preserve">https://m.titan007.com/analy/Analysis/2993802.htm</x:t>
  </x:si>
  <x:si>
    <x:t xml:space="preserve">弗洛西诺尼 vs 科莫</x:t>
  </x:si>
  <x:si>
    <x:t xml:space="preserve">0.83/-1.25/1.05</x:t>
  </x:si>
  <x:si>
    <x:t xml:space="preserve">https://m.titan007.com/analy/Analysis/2993799.htm</x:t>
  </x:si>
  <x:si>
    <x:t xml:space="preserve">奥洛穆茨 vs 布拉格斯巴达</x:t>
  </x:si>
  <x:si>
    <x:t xml:space="preserve">布拉格斯巴达</x:t>
  </x:si>
  <x:si>
    <x:t xml:space="preserve">https://m.titan007.com/analy/Analysis/3039895.htm</x:t>
  </x:si>
  <x:si>
    <x:t xml:space="preserve">欧塞尔 vs 布雷斯特</x:t>
  </x:si>
  <x:si>
    <x:t xml:space="preserve">1.09/0/0.79</x:t>
  </x:si>
  <x:si>
    <x:t xml:space="preserve">布雷斯特</x:t>
  </x:si>
  <x:si>
    <x:t xml:space="preserve">https://m.titan007.com/analy/Analysis/2995345.htm</x:t>
  </x:si>
  <x:si>
    <x:t xml:space="preserve">曼彻斯特城 vs 桑德兰</x:t>
  </x:si>
  <x:si>
    <x:t xml:space="preserve">0.96/1.5/0.92</x:t>
  </x:si>
  <x:si>
    <x:t xml:space="preserve">5-3</x:t>
  </x:si>
  <x:si>
    <x:t xml:space="preserve">https://m.titan007.com/analy/Analysis/3003895.htm</x:t>
  </x:si>
  <x:si>
    <x:t xml:space="preserve">2026-09-20 22:00</x:t>
  </x:si>
  <x:si>
    <x:t xml:space="preserve">费内巴切 vs 埃于普体育</x:t>
  </x:si>
  <x:si>
    <x:t xml:space="preserve">0.81/2/1.08</x:t>
  </x:si>
  <x:si>
    <x:t xml:space="preserve">费内巴切</x:t>
  </x:si>
  <x:si>
    <x:t xml:space="preserve">8-0</x:t>
  </x:si>
  <x:si>
    <x:t xml:space="preserve">https://m.titan007.com/analy/Analysis/3026737.htm</x:t>
  </x:si>
  <x:si>
    <x:t xml:space="preserve">2026-09-20 22:15</x:t>
  </x:si>
  <x:si>
    <x:t xml:space="preserve">休达 vs 巴拉多利德</x:t>
  </x:si>
  <x:si>
    <x:t xml:space="preserve">0.83/-0.25/1.06</x:t>
  </x:si>
  <x:si>
    <x:t xml:space="preserve">巴拉多利德</x:t>
  </x:si>
  <x:si>
    <x:t xml:space="preserve">https://m.titan007.com/analy/Analysis/3014081.htm</x:t>
  </x:si>
  <x:si>
    <x:t xml:space="preserve">2026-09-20 22:30</x:t>
  </x:si>
  <x:si>
    <x:t xml:space="preserve">吉马良斯 vs 摩里伦斯</x:t>
  </x:si>
  <x:si>
    <x:t xml:space="preserve">吉马良斯</x:t>
  </x:si>
  <x:si>
    <x:t xml:space="preserve">https://m.titan007.com/analy/Analysis/3023493.htm</x:t>
  </x:si>
  <x:si>
    <x:t xml:space="preserve">2026-09-20 22:45</x:t>
  </x:si>
  <x:si>
    <x:t xml:space="preserve">奈梅亨 vs 前进之鹰</x:t>
  </x:si>
  <x:si>
    <x:t xml:space="preserve">0.93/0.25/0.96</x:t>
  </x:si>
  <x:si>
    <x:t xml:space="preserve">前进之鹰</x:t>
  </x:si>
  <x:si>
    <x:t xml:space="preserve">https://m.titan007.com/analy/Analysis/2996159.htm</x:t>
  </x:si>
  <x:si>
    <x:t xml:space="preserve">2026-09-20 23:00</x:t>
  </x:si>
  <x:si>
    <x:t xml:space="preserve">奥德 vs 埃格尔森德</x:t>
  </x:si>
  <x:si>
    <x:t xml:space="preserve">0.85/0.5/0.99</x:t>
  </x:si>
  <x:si>
    <x:t xml:space="preserve">埃格尔森德</x:t>
  </x:si>
  <x:si>
    <x:t xml:space="preserve">https://m.titan007.com/analy/Analysis/2913150.htm</x:t>
  </x:si>
  <x:si>
    <x:t xml:space="preserve">康斯文格 vs 禾特</x:t>
  </x:si>
  <x:si>
    <x:t xml:space="preserve">0.87/1.75/0.97</x:t>
  </x:si>
  <x:si>
    <x:t xml:space="preserve">禾特</x:t>
  </x:si>
  <x:si>
    <x:t xml:space="preserve">https://m.titan007.com/analy/Analysis/2913148.htm</x:t>
  </x:si>
  <x:si>
    <x:t xml:space="preserve">斯塔贝克 vs 松达尔</x:t>
  </x:si>
  <x:si>
    <x:t xml:space="preserve">0.84/1.5/1.00</x:t>
  </x:si>
  <x:si>
    <x:t xml:space="preserve">斯塔贝克</x:t>
  </x:si>
  <x:si>
    <x:t xml:space="preserve">https://m.titan007.com/analy/Analysis/2913153.htm</x:t>
  </x:si>
  <x:si>
    <x:t xml:space="preserve">海于格松 vs 斯托曼</x:t>
  </x:si>
  <x:si>
    <x:t xml:space="preserve">0.87/1.5/0.97</x:t>
  </x:si>
  <x:si>
    <x:t xml:space="preserve">斯托曼</x:t>
  </x:si>
  <x:si>
    <x:t xml:space="preserve">https://m.titan007.com/analy/Analysis/2913147.htm</x:t>
  </x:si>
  <x:si>
    <x:t xml:space="preserve">诺霍斯 vs 斯托姆加斯特</x:t>
  </x:si>
  <x:si>
    <x:t xml:space="preserve">1.02/-1.75/0.82</x:t>
  </x:si>
  <x:si>
    <x:t xml:space="preserve">斯托姆加斯特</x:t>
  </x:si>
  <x:si>
    <x:t xml:space="preserve">https://m.titan007.com/analy/Analysis/2913151.htm</x:t>
  </x:si>
  <x:si>
    <x:t xml:space="preserve">维京 vs 利勒斯特罗姆</x:t>
  </x:si>
  <x:si>
    <x:t xml:space="preserve">0.84/1.5/1.05</x:t>
  </x:si>
  <x:si>
    <x:t xml:space="preserve">https://m.titan007.com/analy/Analysis/2912905.htm</x:t>
  </x:si>
  <x:si>
    <x:t xml:space="preserve">2026-09-20 23:30</x:t>
  </x:si>
  <x:si>
    <x:t xml:space="preserve">TS银河 vs 茨普帕</x:t>
  </x:si>
  <x:si>
    <x:t xml:space="preserve">https://m.titan007.com/analy/Analysis/3041188.htm</x:t>
  </x:si>
  <x:si>
    <x:t xml:space="preserve">2026-09-21 00:00</x:t>
  </x:si>
  <x:si>
    <x:t xml:space="preserve">尤文图斯 vs 亚特兰大</x:t>
  </x:si>
  <x:si>
    <x:t xml:space="preserve">0.93/0.75/0.96</x:t>
  </x:si>
  <x:si>
    <x:t xml:space="preserve">https://m.titan007.com/analy/Analysis/2993800.htm</x:t>
  </x:si>
  <x:si>
    <x:t xml:space="preserve">2026-09-21 00:15</x:t>
  </x:si>
  <x:si>
    <x:t xml:space="preserve">萨莫拉 vs 卢高</x:t>
  </x:si>
  <x:si>
    <x:t xml:space="preserve">萨莫拉</x:t>
  </x:si>
  <x:si>
    <x:t xml:space="preserve">https://m.titan007.com/analy/Analysis/3014523.htm</x:t>
  </x:si>
  <x:si>
    <x:t xml:space="preserve">2026-09-21 00:30</x:t>
  </x:si>
  <x:si>
    <x:t xml:space="preserve">布鲁日 vs 亨克</x:t>
  </x:si>
  <x:si>
    <x:t xml:space="preserve">亨克</x:t>
  </x:si>
  <x:si>
    <x:t xml:space="preserve">https://m.titan007.com/analy/Analysis/3003582.htm</x:t>
  </x:si>
  <x:si>
    <x:t xml:space="preserve">比利亚雷亚尔 vs 莱万特</x:t>
  </x:si>
  <x:si>
    <x:t xml:space="preserve">1.07/1.25/0.82</x:t>
  </x:si>
  <x:si>
    <x:t xml:space="preserve">https://m.titan007.com/analy/Analysis/3013711.htm</x:t>
  </x:si>
  <x:si>
    <x:t xml:space="preserve">2026-09-21 01:00</x:t>
  </x:si>
  <x:si>
    <x:t xml:space="preserve">安塔利亚体育 vs 贝拉迪亚士邦</x:t>
  </x:si>
  <x:si>
    <x:t xml:space="preserve">贝拉迪亚士邦</x:t>
  </x:si>
  <x:si>
    <x:t xml:space="preserve">https://m.titan007.com/analy/Analysis/3030155.htm</x:t>
  </x:si>
  <x:si>
    <x:t xml:space="preserve">阿美德 vs 贝西克塔斯</x:t>
  </x:si>
  <x:si>
    <x:t xml:space="preserve">0.97/-0.5/0.92</x:t>
  </x:si>
  <x:si>
    <x:t xml:space="preserve">阿美德</x:t>
  </x:si>
  <x:si>
    <x:t xml:space="preserve">https://m.titan007.com/analy/Analysis/3026733.htm</x:t>
  </x:si>
  <x:si>
    <x:t xml:space="preserve">2026-09-21 01:15</x:t>
  </x:si>
  <x:si>
    <x:t xml:space="preserve">登德 vs 艾斯登</x:t>
  </x:si>
  <x:si>
    <x:t xml:space="preserve">登德</x:t>
  </x:si>
  <x:si>
    <x:t xml:space="preserve">https://m.titan007.com/analy/Analysis/3005398.htm</x:t>
  </x:si>
  <x:si>
    <x:t xml:space="preserve">2026-09-21 01:30</x:t>
  </x:si>
  <x:si>
    <x:t xml:space="preserve">摩德纳 vs 恩波利</x:t>
  </x:si>
  <x:si>
    <x:t xml:space="preserve">0.80/0.75/1.08</x:t>
  </x:si>
  <x:si>
    <x:t xml:space="preserve">摩德纳</x:t>
  </x:si>
  <x:si>
    <x:t xml:space="preserve">https://m.titan007.com/analy/Analysis/3040751.htm</x:t>
  </x:si>
  <x:si>
    <x:t xml:space="preserve">2026-09-21 02:00</x:t>
  </x:si>
  <x:si>
    <x:t xml:space="preserve">萨格勒布迪纳摩 vs 萨格勒布火车头</x:t>
  </x:si>
  <x:si>
    <x:t xml:space="preserve">0.84/2/0.98</x:t>
  </x:si>
  <x:si>
    <x:t xml:space="preserve">https://m.titan007.com/analy/Analysis/2997527.htm</x:t>
  </x:si>
  <x:si>
    <x:t xml:space="preserve">2026-09-21 02:30</x:t>
  </x:si>
  <x:si>
    <x:t xml:space="preserve">格罗瑟托 vs 佩鲁贾</x:t>
  </x:si>
  <x:si>
    <x:t xml:space="preserve">0.67/-0.25/1.03</x:t>
  </x:si>
  <x:si>
    <x:t xml:space="preserve">佩鲁贾</x:t>
  </x:si>
  <x:si>
    <x:t xml:space="preserve">https://m.titan007.com/analy/Analysis/3050934.htm</x:t>
  </x:si>
  <x:si>
    <x:t xml:space="preserve">2026-09-21</x:t>
  </x:si>
  <x:si>
    <x:t xml:space="preserve">2026-09-22 00:00</x:t>
  </x:si>
  <x:si>
    <x:t xml:space="preserve">多布鲁察 vs 索菲亚中央陆军B队</x:t>
  </x:si>
  <x:si>
    <x:t xml:space="preserve">多布鲁察</x:t>
  </x:si>
  <x:si>
    <x:t xml:space="preserve">https://www.titan007.com/</x:t>
  </x:si>
  <x:si>
    <x:t xml:space="preserve">2026-09-22 00:30</x:t>
  </x:si>
  <x:si>
    <x:t xml:space="preserve">FC蒙塔纳 vs 赫巴</x:t>
  </x:si>
  <x:si>
    <x:t xml:space="preserve">赫巴</x:t>
  </x:si>
  <x:si>
    <x:t xml:space="preserve">https://vip.titan007.com/history/SearchSameGoal.aspx?g=2.75&amp;l=0&amp;n=9&amp;t=4</x:t>
  </x:si>
  <x:si>
    <x:t xml:space="preserve">2026-09-22 02:30</x:t>
  </x:si>
  <x:si>
    <x:t xml:space="preserve">斯佩齐亚 vs 比沙奴</x:t>
  </x:si>
  <x:si>
    <x:t xml:space="preserve">0.78/1.75/0.92</x:t>
  </x:si>
  <x:si>
    <x:t xml:space="preserve">2026-09-22</x:t>
  </x:si>
  <x:si>
    <x:t xml:space="preserve">2026-9-23 02:45</x:t>
  </x:si>
  <x:si>
    <x:t xml:space="preserve">保尼玫瑰 vs 艾尔德里联</x:t>
  </x:si>
  <x:si>
    <x:t xml:space="preserve">0.9/-0.5/0.8</x:t>
  </x:si>
  <x:si>
    <x:t xml:space="preserve">最新版冻结候选</x:t>
  </x:si>
  <x:si>
    <x:t xml:space="preserve">艾尔德里联</x:t>
  </x:si>
  <x:si>
    <x:t xml:space="preserve">根斯堡 vs 雷明顿</x:t>
  </x:si>
  <x:si>
    <x:t xml:space="preserve">0.84/0.5/0.92</x:t>
  </x:si>
  <x:si>
    <x:t xml:space="preserve">根斯堡</x:t>
  </x:si>
  <x:si>
    <x:t xml:space="preserve">沃克索谱镇 vs 泰福特</x:t>
  </x:si>
  <x:si>
    <x:t xml:space="preserve">0.8/0.25/0.96</x:t>
  </x:si>
  <x:si>
    <x:t xml:space="preserve">沃克索谱镇</x:t>
  </x:si>
  <x:si>
    <x:t xml:space="preserve">2026-9-23 03:00</x:t>
  </x:si>
  <x:si>
    <x:t xml:space="preserve">尤文图斯女足 vs 本菲卡女足</x:t>
  </x:si>
  <x:si>
    <x:t xml:space="preserve">0.82/0.75/0.88</x:t>
  </x:si>
  <x:si>
    <x:t xml:space="preserve">尤文图斯女足</x:t>
  </x:si>
  <x:si>
    <x:t xml:space="preserve">2026-09-23</x:t>
  </x:si>
  <x:si>
    <x:t xml:space="preserve">2026-9-23 13:00</x:t>
  </x:si>
  <x:si>
    <x:t xml:space="preserve">野岛斯特拉女足 vs 伊分埼玉女足</x:t>
  </x:si>
  <x:si>
    <x:t xml:space="preserve">野岛斯特拉女足</x:t>
  </x:si>
  <x:si>
    <x:t xml:space="preserve">2026-9-23 15:00</x:t>
  </x:si>
  <x:si>
    <x:t xml:space="preserve">RB大宫松鼠女足 vs 仙台维加泰女足</x:t>
  </x:si>
  <x:si>
    <x:t xml:space="preserve">RB大宫松鼠女足</x:t>
  </x:si>
  <x:si>
    <x:t xml:space="preserve">2026-9-23 16:00</x:t>
  </x:si>
  <x:si>
    <x:t xml:space="preserve">日皇杯</x:t>
  </x:si>
  <x:si>
    <x:t xml:space="preserve">大阪钢巴 vs 德岛漩涡</x:t>
  </x:si>
  <x:si>
    <x:t xml:space="preserve">0.8/0.75/1.02</x:t>
  </x:si>
  <x:si>
    <x:t xml:space="preserve">2026-9-23 23:00</x:t>
  </x:si>
  <x:si>
    <x:t xml:space="preserve">利贝雷茨女足 vs 罗森博格女足</x:t>
  </x:si>
  <x:si>
    <x:t xml:space="preserve">0.9/-1.5/0.8</x:t>
  </x:si>
  <x:si>
    <x:t xml:space="preserve">2026-9-24 00:00</x:t>
  </x:si>
  <x:si>
    <x:t xml:space="preserve">伯明翰军团 vs 布鲁克林</x:t>
  </x:si>
  <x:si>
    <x:t xml:space="preserve">1.0/0.75/0.82</x:t>
  </x:si>
  <x:si>
    <x:t xml:space="preserve">布鲁克林</x:t>
  </x:si>
  <x:si>
    <x:t xml:space="preserve">2026-9-24 01:45</x:t>
  </x:si>
  <x:si>
    <x:t xml:space="preserve">里约杯</x:t>
  </x:si>
  <x:si>
    <x:t xml:space="preserve">马杜雷拉 vs 森柏欧RJ</x:t>
  </x:si>
  <x:si>
    <x:t xml:space="preserve">0.75/0.0/0.95</x:t>
  </x:si>
  <x:si>
    <x:t xml:space="preserve">马杜雷拉</x:t>
  </x:si>
  <x:si>
    <x:t xml:space="preserve">2026-9-24 02:00</x:t>
  </x:si>
  <x:si>
    <x:t xml:space="preserve">英女杯</x:t>
  </x:si>
  <x:si>
    <x:t xml:space="preserve">埃弗顿女足 vs 伯明翰城女足</x:t>
  </x:si>
  <x:si>
    <x:t xml:space="preserve">埃弗顿女足</x:t>
  </x:si>
  <x:si>
    <x:t xml:space="preserve">托特纳姆热刺女足 vs 西汉姆联女足</x:t>
  </x:si>
  <x:si>
    <x:t xml:space="preserve">0.82/1.5/0.88</x:t>
  </x:si>
  <x:si>
    <x:t xml:space="preserve">托特纳姆热刺女足</x:t>
  </x:si>
  <x:si>
    <x:t xml:space="preserve">曼联女足 vs 锡菲联女足</x:t>
  </x:si>
  <x:si>
    <x:t xml:space="preserve">0.81/2.75/0.89</x:t>
  </x:si>
  <x:si>
    <x:t xml:space="preserve">曼联女足</x:t>
  </x:si>
  <x:si>
    <x:t xml:space="preserve">10-1</x:t>
  </x:si>
  <x:si>
    <x:t xml:space="preserve">水晶宫女足 vs 屈福特女足</x:t>
  </x:si>
  <x:si>
    <x:t xml:space="preserve">0.84/1.75/0.86</x:t>
  </x:si>
  <x:si>
    <x:t xml:space="preserve">水晶宫女足</x:t>
  </x:si>
  <x:si>
    <x:t xml:space="preserve">2026-9-24 02:30</x:t>
  </x:si>
  <x:si>
    <x:t xml:space="preserve">莱切斯特城女足 vs 伦敦城雌狮女足</x:t>
  </x:si>
  <x:si>
    <x:t xml:space="preserve">伦敦城雌狮女足</x:t>
  </x:si>
  <x:si>
    <x:t xml:space="preserve">2026-9-24 02:45</x:t>
  </x:si>
  <x:si>
    <x:t xml:space="preserve">哈密尔顿 vs 考登比亚</x:t>
  </x:si>
  <x:si>
    <x:t xml:space="preserve">0.82/2.25/0.88</x:t>
  </x:si>
  <x:si>
    <x:t xml:space="preserve">哈密尔顿</x:t>
  </x:si>
  <x:si>
    <x:t xml:space="preserve">布莱顿女足 vs 查尔顿竞技女足</x:t>
  </x:si>
  <x:si>
    <x:t xml:space="preserve">布莱顿女足</x:t>
  </x:si>
  <x:si>
    <x:t xml:space="preserve">2026-9-24 03:00</x:t>
  </x:si>
  <x:si>
    <x:t xml:space="preserve">中北美国联</x:t>
  </x:si>
  <x:si>
    <x:t xml:space="preserve">特克斯和凯科斯群岛(中) vs 蒙特塞拉特</x:t>
  </x:si>
  <x:si>
    <x:t xml:space="preserve">1/-2/0.7</x:t>
  </x:si>
  <x:si>
    <x:t xml:space="preserve">特克斯和凯科斯群岛(中)</x:t>
  </x:si>
  <x:si>
    <x:t xml:space="preserve">2026-9-24 04:00</x:t>
  </x:si>
  <x:si>
    <x:t xml:space="preserve">巴哈马 vs 法属圣马丁岛</x:t>
  </x:si>
  <x:si>
    <x:t xml:space="preserve">1.11/-0.5/0.6</x:t>
  </x:si>
  <x:si>
    <x:t xml:space="preserve">巴哈马</x:t>
  </x:si>
  <x:si>
    <x:t xml:space="preserve">0-8</x:t>
  </x:si>
  <x:si>
    <x:t xml:space="preserve">2026-9-24 07:00</x:t>
  </x:si>
  <x:si>
    <x:t xml:space="preserve">阿鲁巴 vs 安提瓜和巴布达</x:t>
  </x:si>
  <x:si>
    <x:t xml:space="preserve">0.6/-0.25/1.11</x:t>
  </x:si>
  <x:si>
    <x:t xml:space="preserve">安提瓜和巴布达</x:t>
  </x:si>
  <x:si>
    <x:t xml:space="preserve">2026-9-24 09:30</x:t>
  </x:si>
  <x:si>
    <x:t xml:space="preserve">西雅图海湾人 vs 皇家盐湖城</x:t>
  </x:si>
  <x:si>
    <x:t xml:space="preserve">0.92/0.5/0.96</x:t>
  </x:si>
  <x:si>
    <x:t xml:space="preserve">皇家盐湖城</x:t>
  </x:si>
  <x:si>
    <x:t xml:space="preserve">2026-09-24</x:t>
  </x:si>
  <x:si>
    <x:t xml:space="preserve">2026-9-25 00:00</x:t>
  </x:si>
  <x:si>
    <x:t xml:space="preserve">非洲杯</x:t>
  </x:si>
  <x:si>
    <x:t xml:space="preserve">利比亚 vs 博茨瓦纳</x:t>
  </x:si>
  <x:si>
    <x:t xml:space="preserve">0.88/0.75/0.88</x:t>
  </x:si>
  <x:si>
    <x:t xml:space="preserve">利比亚</x:t>
  </x:si>
  <x:si>
    <x:t xml:space="preserve">2026-9-25 02:45</x:t>
  </x:si>
  <x:si>
    <x:t xml:space="preserve">卡昂 vs 鲁昂</x:t>
  </x:si>
  <x:si>
    <x:t xml:space="preserve">0.91/0.0/0.91</x:t>
  </x:si>
  <x:si>
    <x:t xml:space="preserve">2026-9-25 03:00</x:t>
  </x:si>
  <x:si>
    <x:t xml:space="preserve">波多黎各 vs 圭亚那</x:t>
  </x:si>
  <x:si>
    <x:t xml:space="preserve">0.85/0.25/0.85</x:t>
  </x:si>
  <x:si>
    <x:t xml:space="preserve">波多黎各</x:t>
  </x:si>
  <x:si>
    <x:t xml:space="preserve">喀麦隆 vs 科摩罗</x:t>
  </x:si>
  <x:si>
    <x:t xml:space="preserve">0.93/1.5/0.83</x:t>
  </x:si>
  <x:si>
    <x:t xml:space="preserve">科摩罗</x:t>
  </x:si>
  <x:si>
    <x:t xml:space="preserve">科特迪瓦 vs 加纳</x:t>
  </x:si>
  <x:si>
    <x:t xml:space="preserve">科特迪瓦</x:t>
  </x:si>
  <x:si>
    <x:t xml:space="preserve">突尼斯 vs 乌干达</x:t>
  </x:si>
  <x:si>
    <x:t xml:space="preserve">0.77/1.0/0.99</x:t>
  </x:si>
  <x:si>
    <x:t xml:space="preserve">突尼斯</x:t>
  </x:si>
  <x:si>
    <x:t xml:space="preserve">2026-9-25 08:20</x:t>
  </x:si>
  <x:si>
    <x:t xml:space="preserve">海地 vs 特立尼达和多巴哥</x:t>
  </x:si>
  <x:si>
    <x:t xml:space="preserve">0.8/0.75/0.9</x:t>
  </x:si>
  <x:si>
    <x:t xml:space="preserve">特立尼达和多巴哥</x:t>
  </x:si>
  <x:si>
    <x:t xml:space="preserve">2026-09-25</x:t>
  </x:si>
  <x:si>
    <x:t xml:space="preserve">2026-9-25 21:00</x:t>
  </x:si>
  <x:si>
    <x:t xml:space="preserve">东盟杯</x:t>
  </x:si>
  <x:si>
    <x:t xml:space="preserve">印度尼西亚 vs 新加坡</x:t>
  </x:si>
  <x:si>
    <x:t xml:space="preserve">0.86/2.25/0.9</x:t>
  </x:si>
  <x:si>
    <x:t xml:space="preserve">新加坡</x:t>
  </x:si>
  <x:si>
    <x:t xml:space="preserve">2026-9-25 21:30</x:t>
  </x:si>
  <x:si>
    <x:t xml:space="preserve">卡尔维纳B队 vs 利森B队</x:t>
  </x:si>
  <x:si>
    <x:t xml:space="preserve">0.9/-1.25/0.8</x:t>
  </x:si>
  <x:si>
    <x:t xml:space="preserve">斯洛瓦科B队 vs 布尔诺B队</x:t>
  </x:si>
  <x:si>
    <x:t xml:space="preserve">0.86/0.0/0.84</x:t>
  </x:si>
  <x:si>
    <x:t xml:space="preserve">辛宁B队 vs 维特科维斯</x:t>
  </x:si>
  <x:si>
    <x:t xml:space="preserve">0.8/0.25/0.9</x:t>
  </x:si>
  <x:si>
    <x:t xml:space="preserve">辛宁B队</x:t>
  </x:si>
  <x:si>
    <x:t xml:space="preserve">2026-9-26 00:00</x:t>
  </x:si>
  <x:si>
    <x:t xml:space="preserve">冈比亚 vs 索马里</x:t>
  </x:si>
  <x:si>
    <x:t xml:space="preserve">0.8/1.75/0.96</x:t>
  </x:si>
  <x:si>
    <x:t xml:space="preserve">冈比亚</x:t>
  </x:si>
  <x:si>
    <x:t xml:space="preserve">卢旺达 vs 利比里亚</x:t>
  </x:si>
  <x:si>
    <x:t xml:space="preserve">0.9/0.5/0.86</x:t>
  </x:si>
  <x:si>
    <x:t xml:space="preserve">卢旺达</x:t>
  </x:si>
  <x:si>
    <x:t xml:space="preserve">尼日利亚 vs 马达加斯加</x:t>
  </x:si>
  <x:si>
    <x:t xml:space="preserve">0.79/1.75/0.97</x:t>
  </x:si>
  <x:si>
    <x:t xml:space="preserve">尼日利亚</x:t>
  </x:si>
  <x:si>
    <x:t xml:space="preserve">苏丹(中) vs 埃塞俄比亚</x:t>
  </x:si>
  <x:si>
    <x:t xml:space="preserve">0.76/0.5/1.0</x:t>
  </x:si>
  <x:si>
    <x:t xml:space="preserve">苏丹(中)</x:t>
  </x:si>
  <x:si>
    <x:t xml:space="preserve">马拉维 vs 南苏丹</x:t>
  </x:si>
  <x:si>
    <x:t xml:space="preserve">0.8/0.75/0.96</x:t>
  </x:si>
  <x:si>
    <x:t xml:space="preserve">马拉维</x:t>
  </x:si>
  <x:si>
    <x:t xml:space="preserve">2026-9-26 03:00</x:t>
  </x:si>
  <x:si>
    <x:t xml:space="preserve">百慕大群岛 vs 瓜德罗普</x:t>
  </x:si>
  <x:si>
    <x:t xml:space="preserve">0.85/-0.25/0.85</x:t>
  </x:si>
  <x:si>
    <x:t xml:space="preserve">瓜德罗普</x:t>
  </x:si>
  <x:si>
    <x:t xml:space="preserve">多德勒支 vs 阿尔梅勒城</x:t>
  </x:si>
  <x:si>
    <x:t xml:space="preserve">0.95/-0.25/0.87</x:t>
  </x:si>
  <x:si>
    <x:t xml:space="preserve">阿尔梅勒城</x:t>
  </x:si>
  <x:si>
    <x:t xml:space="preserve">埃及 vs 安哥拉</x:t>
  </x:si>
  <x:si>
    <x:t xml:space="preserve">0.96/1.25/0.8</x:t>
  </x:si>
  <x:si>
    <x:t xml:space="preserve">埃及</x:t>
  </x:si>
  <x:si>
    <x:t xml:space="preserve">布基纳法索 vs 贝宁</x:t>
  </x:si>
  <x:si>
    <x:t xml:space="preserve">0.85/1.0/0.91</x:t>
  </x:si>
  <x:si>
    <x:t xml:space="preserve">布基纳法索</x:t>
  </x:si>
  <x:si>
    <x:t xml:space="preserve">2026-9-26 04:00</x:t>
  </x:si>
  <x:si>
    <x:t xml:space="preserve">摩洛哥 vs 加蓬</x:t>
  </x:si>
  <x:si>
    <x:t xml:space="preserve">0.98/2.0/0.78</x:t>
  </x:si>
  <x:si>
    <x:t xml:space="preserve">摩洛哥</x:t>
  </x:si>
  <x:si>
    <x:t xml:space="preserve">2026-9-26 07:30</x:t>
  </x:si>
  <x:si>
    <x:t xml:space="preserve">运动Jax vs 劳顿联</x:t>
  </x:si>
  <x:si>
    <x:t xml:space="preserve">0.78/-0.25/1.04</x:t>
  </x:si>
  <x:si>
    <x:t xml:space="preserve">运动Jax</x:t>
  </x:si>
  <x:si>
    <x:t xml:space="preserve">2026-9-26 08:00</x:t>
  </x:si>
  <x:si>
    <x:t xml:space="preserve">巴巴多斯 vs 圣卢西亚</x:t>
  </x:si>
  <x:si>
    <x:t xml:space="preserve">0.94/-0.25/0.76</x:t>
  </x:si>
  <x:si>
    <x:t xml:space="preserve">巴巴多斯</x:t>
  </x:si>
  <x:si>
    <x:t xml:space="preserve">2026-9-26 09:00</x:t>
  </x:si>
  <x:si>
    <x:t xml:space="preserve">埃尔帕索机车 vs 塔尔萨FC</x:t>
  </x:si>
  <x:si>
    <x:t xml:space="preserve">塔尔萨FC</x:t>
  </x:si>
  <x:si>
    <x:t xml:space="preserve">2026-09-26</x:t>
  </x:si>
  <x:si>
    <x:t xml:space="preserve">2026-9-26 16:00</x:t>
  </x:si>
  <x:si>
    <x:t xml:space="preserve">赞岐 vs FC岐阜</x:t>
  </x:si>
  <x:si>
    <x:t xml:space="preserve">0.87/-0.5/0.89</x:t>
  </x:si>
  <x:si>
    <x:t xml:space="preserve">山形山神 vs 鸟栖沙岩</x:t>
  </x:si>
  <x:si>
    <x:t xml:space="preserve">1.03/0.0/0.79</x:t>
  </x:si>
  <x:si>
    <x:t xml:space="preserve">2026-9-26 16:15</x:t>
  </x:si>
  <x:si>
    <x:t xml:space="preserve">毕那索 vs 布拉格斯拉维亚C队</x:t>
  </x:si>
  <x:si>
    <x:t xml:space="preserve">2026-9-26 17:00</x:t>
  </x:si>
  <x:si>
    <x:t xml:space="preserve">巴基斯坦(中) vs 泰国</x:t>
  </x:si>
  <x:si>
    <x:t xml:space="preserve">0.88/-2.75/0.88</x:t>
  </x:si>
  <x:si>
    <x:t xml:space="preserve">巴基斯坦(中)</x:t>
  </x:si>
  <x:si>
    <x:t xml:space="preserve">2026-9-26 18:00</x:t>
  </x:si>
  <x:si>
    <x:t xml:space="preserve">艾斯马度华 vs 萨莫拉</x:t>
  </x:si>
  <x:si>
    <x:t xml:space="preserve">0.83/0.25/0.87</x:t>
  </x:si>
  <x:si>
    <x:t xml:space="preserve">2026-9-26 19:30</x:t>
  </x:si>
  <x:si>
    <x:t xml:space="preserve">南通支云 vs 长春亚泰</x:t>
  </x:si>
  <x:si>
    <x:t xml:space="preserve">0.75/0.75/0.95</x:t>
  </x:si>
  <x:si>
    <x:t xml:space="preserve">2026-9-26 20:00</x:t>
  </x:si>
  <x:si>
    <x:t xml:space="preserve">里塞克罗斯特 vs 桑韦肯</x:t>
  </x:si>
  <x:si>
    <x:t xml:space="preserve">0.88/0.0/0.82</x:t>
  </x:si>
  <x:si>
    <x:t xml:space="preserve">2026-9-26 20:30</x:t>
  </x:si>
  <x:si>
    <x:t xml:space="preserve">吉安纳 vs 韦尔切利</x:t>
  </x:si>
  <x:si>
    <x:t xml:space="preserve">吉安纳</x:t>
  </x:si>
  <x:si>
    <x:t xml:space="preserve">2026-9-26 22:00</x:t>
  </x:si>
  <x:si>
    <x:t xml:space="preserve">凯尔蒂赫斯 vs 蒙特罗斯</x:t>
  </x:si>
  <x:si>
    <x:t xml:space="preserve">蒙特罗斯</x:t>
  </x:si>
  <x:si>
    <x:t xml:space="preserve">艾洛亚 vs 加拉费瑞登</x:t>
  </x:si>
  <x:si>
    <x:t xml:space="preserve">0.84/2.75/0.86</x:t>
  </x:si>
  <x:si>
    <x:t xml:space="preserve">艾洛亚</x:t>
  </x:si>
  <x:si>
    <x:t xml:space="preserve">剑桥联 vs AFC温布尔登</x:t>
  </x:si>
  <x:si>
    <x:t xml:space="preserve">0.82/0.5/1.0</x:t>
  </x:si>
  <x:si>
    <x:t xml:space="preserve">2026-9-26 22:30</x:t>
  </x:si>
  <x:si>
    <x:t xml:space="preserve">卢高 vs 费罗尔竞技</x:t>
  </x:si>
  <x:si>
    <x:t xml:space="preserve">卢高</x:t>
  </x:si>
  <x:si>
    <x:t xml:space="preserve">莱昂文体 vs CD科瑞亚</x:t>
  </x:si>
  <x:si>
    <x:t xml:space="preserve">0.81/0.75/0.89</x:t>
  </x:si>
  <x:si>
    <x:t xml:space="preserve">莱昂文体</x:t>
  </x:si>
  <x:si>
    <x:t xml:space="preserve">2026-9-26 23:30</x:t>
  </x:si>
  <x:si>
    <x:t xml:space="preserve">利沃诺 vs 皮阿尼斯</x:t>
  </x:si>
  <x:si>
    <x:t xml:space="preserve">0.85/0.75/0.91</x:t>
  </x:si>
  <x:si>
    <x:t xml:space="preserve">利沃诺</x:t>
  </x:si>
  <x:si>
    <x:t xml:space="preserve">2026-9-27 00:30</x:t>
  </x:si>
  <x:si>
    <x:t xml:space="preserve">特内里费 vs 加的斯</x:t>
  </x:si>
  <x:si>
    <x:t xml:space="preserve">1.03/0.75/0.85</x:t>
  </x:si>
  <x:si>
    <x:t xml:space="preserve">特内里费</x:t>
  </x:si>
  <x:si>
    <x:t xml:space="preserve">2026-9-27 02:00</x:t>
  </x:si>
  <x:si>
    <x:t xml:space="preserve">蒂比兹 vs 圣吉罗斯联B队</x:t>
  </x:si>
  <x:si>
    <x:t xml:space="preserve">蒂比兹</x:t>
  </x:si>
  <x:si>
    <x:t xml:space="preserve">夏洛特独立 vs 韦恩堡FC</x:t>
  </x:si>
  <x:si>
    <x:t xml:space="preserve">2026-9-27 02:45</x:t>
  </x:si>
  <x:si>
    <x:t xml:space="preserve">弗勒里梅洛吉斯 vs 欧巴涅</x:t>
  </x:si>
  <x:si>
    <x:t xml:space="preserve">0.82/0.25/1.0</x:t>
  </x:si>
  <x:si>
    <x:t xml:space="preserve">弗勒里梅洛吉斯</x:t>
  </x:si>
  <x:si>
    <x:t xml:space="preserve">蒂翁维尔 vs 永河畔拉罗什</x:t>
  </x:si>
  <x:si>
    <x:t xml:space="preserve">1.04/0.0/0.78</x:t>
  </x:si>
  <x:si>
    <x:t xml:space="preserve">永河畔拉罗什</x:t>
  </x:si>
  <x:si>
    <x:t xml:space="preserve">2026-9-27 07:00</x:t>
  </x:si>
  <x:si>
    <x:t xml:space="preserve">底特律城 vs 科罗拉多跃泉</x:t>
  </x:si>
  <x:si>
    <x:t xml:space="preserve">科罗拉多跃泉</x:t>
  </x:si>
  <x:si>
    <x:t xml:space="preserve">查尔斯顿电池 vs 罗德岛</x:t>
  </x:si>
  <x:si>
    <x:t xml:space="preserve">罗德岛</x:t>
  </x:si>
  <x:si>
    <x:t xml:space="preserve">2026-9-27 08:30</x:t>
  </x:si>
  <x:si>
    <x:t xml:space="preserve">圣安东尼奥 vs 坦帕湾</x:t>
  </x:si>
  <x:si>
    <x:t xml:space="preserve">0.86/-0.25/0.96</x:t>
  </x:si>
  <x:si>
    <x:t xml:space="preserve">圣安东尼奥</x:t>
  </x:si>
  <x:si>
    <x:t xml:space="preserve">2026-9-27 09:30</x:t>
  </x:si>
  <x:si>
    <x:t xml:space="preserve">皇家盐湖城 vs 新英格兰革命</x:t>
  </x:si>
  <x:si>
    <x:t xml:space="preserve">0.88/0.25/1.0</x:t>
  </x:si>
  <x:si>
    <x:t xml:space="preserve">2026-09-27</x:t>
  </x:si>
  <x:si>
    <x:t xml:space="preserve">2026-9-27 12:00</x:t>
  </x:si>
  <x:si>
    <x:t xml:space="preserve">新泻天鹅女足 vs 浦和红钻女足</x:t>
  </x:si>
  <x:si>
    <x:t xml:space="preserve">0.86/-0.5/0.84</x:t>
  </x:si>
  <x:si>
    <x:t xml:space="preserve">浦和红钻女足</x:t>
  </x:si>
  <x:si>
    <x:t xml:space="preserve">2026-9-27 13:00</x:t>
  </x:si>
  <x:si>
    <x:t xml:space="preserve">仙台维加泰女足 vs 伊分埼玉女足</x:t>
  </x:si>
  <x:si>
    <x:t xml:space="preserve">仙台维加泰女足</x:t>
  </x:si>
  <x:si>
    <x:t xml:space="preserve">2026-9-27 15:00</x:t>
  </x:si>
  <x:si>
    <x:t xml:space="preserve">中国香港(中) vs 老挝</x:t>
  </x:si>
  <x:si>
    <x:t xml:space="preserve">0.8/1.5/0.9</x:t>
  </x:si>
  <x:si>
    <x:t xml:space="preserve">中国香港(中)</x:t>
  </x:si>
  <x:si>
    <x:t xml:space="preserve">斐济 vs 巴布亚新几内亚</x:t>
  </x:si>
  <x:si>
    <x:t xml:space="preserve">斐济</x:t>
  </x:si>
  <x:si>
    <x:t xml:space="preserve">2026-9-27 17:00</x:t>
  </x:si>
  <x:si>
    <x:t xml:space="preserve">乌克甲</x:t>
  </x:si>
  <x:si>
    <x:t xml:space="preserve">梅塔利斯特 vs 切尔尼夫</x:t>
  </x:si>
  <x:si>
    <x:t xml:space="preserve">梅塔利斯特</x:t>
  </x:si>
  <x:si>
    <x:t xml:space="preserve">2026-9-27 18:00</x:t>
  </x:si>
  <x:si>
    <x:t xml:space="preserve">UD欧云斯 vs 卡些连奴</x:t>
  </x:si>
  <x:si>
    <x:t xml:space="preserve">0.99/0.25/0.71</x:t>
  </x:si>
  <x:si>
    <x:t xml:space="preserve">UD欧云斯</x:t>
  </x:si>
  <x:si>
    <x:t xml:space="preserve">巴拉卡度 vs 皇家阿维勒斯</x:t>
  </x:si>
  <x:si>
    <x:t xml:space="preserve">0.78/0.5/0.92</x:t>
  </x:si>
  <x:si>
    <x:t xml:space="preserve">巴拉卡度</x:t>
  </x:si>
  <x:si>
    <x:t xml:space="preserve">2026-9-27 19:00</x:t>
  </x:si>
  <x:si>
    <x:t xml:space="preserve">韦伦桑丹斯基 vs 内塞伯尔</x:t>
  </x:si>
  <x:si>
    <x:t xml:space="preserve">0.77/1.25/0.93</x:t>
  </x:si>
  <x:si>
    <x:t xml:space="preserve">韦伦桑丹斯基</x:t>
  </x:si>
  <x:si>
    <x:t xml:space="preserve">2026-9-27 20:30</x:t>
  </x:si>
  <x:si>
    <x:t xml:space="preserve">特诺皮尔 vs 罗姆内</x:t>
  </x:si>
  <x:si>
    <x:t xml:space="preserve">0.89/0.0/0.81</x:t>
  </x:si>
  <x:si>
    <x:t xml:space="preserve">罗姆内</x:t>
  </x:si>
  <x:si>
    <x:t xml:space="preserve">拉维纳 vs 古比奥</x:t>
  </x:si>
  <x:si>
    <x:t xml:space="preserve">0.8/1.25/0.96</x:t>
  </x:si>
  <x:si>
    <x:t xml:space="preserve">EIK通斯堡 vs 比查格</x:t>
  </x:si>
  <x:si>
    <x:t xml:space="preserve">0.88/-1.75/0.82</x:t>
  </x:si>
  <x:si>
    <x:t xml:space="preserve">比查格</x:t>
  </x:si>
  <x:si>
    <x:t xml:space="preserve">格拉夫夏普 vs 邓伯什</x:t>
  </x:si>
  <x:si>
    <x:t xml:space="preserve">0.89/0.5/0.93</x:t>
  </x:si>
  <x:si>
    <x:t xml:space="preserve">邓伯什</x:t>
  </x:si>
  <x:si>
    <x:t xml:space="preserve">2026-9-27 21:30</x:t>
  </x:si>
  <x:si>
    <x:t xml:space="preserve">贝尔罗 vs 延特拉</x:t>
  </x:si>
  <x:si>
    <x:t xml:space="preserve">贝尔罗</x:t>
  </x:si>
  <x:si>
    <x:t xml:space="preserve">波兰卡 vs 弗里德克</x:t>
  </x:si>
  <x:si>
    <x:t xml:space="preserve">0.77/-1.25/0.93</x:t>
  </x:si>
  <x:si>
    <x:t xml:space="preserve">波兰卡</x:t>
  </x:si>
  <x:si>
    <x:t xml:space="preserve">2026-9-27 22:00</x:t>
  </x:si>
  <x:si>
    <x:t xml:space="preserve">辛历克 vs SKA哈巴罗夫斯克</x:t>
  </x:si>
  <x:si>
    <x:t xml:space="preserve">0.95/0.75/0.87</x:t>
  </x:si>
  <x:si>
    <x:t xml:space="preserve">SKA哈巴罗夫斯克</x:t>
  </x:si>
  <x:si>
    <x:t xml:space="preserve">布尔加斯1919 vs FC蒙塔纳</x:t>
  </x:si>
  <x:si>
    <x:t xml:space="preserve">布尔加斯1919</x:t>
  </x:si>
  <x:si>
    <x:t xml:space="preserve">利云格尔 vs 格鲁德</x:t>
  </x:si>
  <x:si>
    <x:t xml:space="preserve">利云格尔</x:t>
  </x:si>
  <x:si>
    <x:t xml:space="preserve">米兰德斯 vs 尤尼恩斯塔斯</x:t>
  </x:si>
  <x:si>
    <x:t xml:space="preserve">0.76/1.0/0.94</x:t>
  </x:si>
  <x:si>
    <x:t xml:space="preserve">米兰德斯</x:t>
  </x:si>
  <x:si>
    <x:t xml:space="preserve">2026-9-27 22:30</x:t>
  </x:si>
  <x:si>
    <x:t xml:space="preserve">爱足女杯</x:t>
  </x:si>
  <x:si>
    <x:t xml:space="preserve">阿斯隆城女足 vs 谢尔伯恩女足</x:t>
  </x:si>
  <x:si>
    <x:t xml:space="preserve">阿斯隆城女足</x:t>
  </x:si>
  <x:si>
    <x:t xml:space="preserve">2026-9-27 23:30</x:t>
  </x:si>
  <x:si>
    <x:t xml:space="preserve">斯卡法塔森 vs 阿尔塔穆拉</x:t>
  </x:si>
  <x:si>
    <x:t xml:space="preserve">斯卡法塔森</x:t>
  </x:si>
  <x:si>
    <x:t xml:space="preserve">2026-9-28 00:00</x:t>
  </x:si>
  <x:si>
    <x:t xml:space="preserve">弗拉特里亚 vs 保利文斯巴达</x:t>
  </x:si>
  <x:si>
    <x:t xml:space="preserve">侯尼霍斯 vs 特罗姆斯达伦</x:t>
  </x:si>
  <x:si>
    <x:t xml:space="preserve">侯尼霍斯</x:t>
  </x:si>
  <x:si>
    <x:t xml:space="preserve">2026-9-28 00:15</x:t>
  </x:si>
  <x:si>
    <x:t xml:space="preserve">CF安提哥拉 vs 哈恩</x:t>
  </x:si>
  <x:si>
    <x:t xml:space="preserve">0.97/0.25/0.73</x:t>
  </x:si>
  <x:si>
    <x:t xml:space="preserve">CF安提哥拉</x:t>
  </x:si>
  <x:si>
    <x:t xml:space="preserve">梅里达AD vs 洛格朗尼斯</x:t>
  </x:si>
  <x:si>
    <x:t xml:space="preserve">洛格朗尼斯</x:t>
  </x:si>
  <x:si>
    <x:t xml:space="preserve">3-5</x:t>
  </x:si>
  <x:si>
    <x:t xml:space="preserve">2026-9-28 02:30</x:t>
  </x:si>
  <x:si>
    <x:t xml:space="preserve">福贾 vs 索伦托卡西奥</x:t>
  </x:si>
  <x:si>
    <x:t xml:space="preserve">0.89/0.25/0.87</x:t>
  </x:si>
  <x:si>
    <x:t xml:space="preserve">福贾</x:t>
  </x:si>
  <x:si>
    <x:t xml:space="preserve">阿尔比诺勒菲 vs 阿尔希欧蕾</x:t>
  </x:si>
  <x:si>
    <x:t xml:space="preserve">阿尔比诺勒菲</x:t>
  </x:si>
  <x:si>
    <x:t xml:space="preserve">2026-9-28 07:00</x:t>
  </x:si>
  <x:si>
    <x:t xml:space="preserve">诺克斯维尔部队 vs 西切斯特</x:t>
  </x:si>
  <x:si>
    <x:t xml:space="preserve">西切斯特</x:t>
  </x:si>
  <x:si>
    <x:t xml:space="preserve">哥伦布机员 vs 迈阿密国际</x:t>
  </x:si>
  <x:si>
    <x:t xml:space="preserve">1.0/0.0/0.88</x:t>
  </x:si>
  <x:si>
    <x:t xml:space="preserve">迈阿密国际</x:t>
  </x:si>
  <x:si>
    <x:t xml:space="preserve">2026-9-28 08:00</x:t>
  </x:si>
  <x:si>
    <x:t xml:space="preserve">多米尼克 vs 波多黎各</x:t>
  </x:si>
  <x:si>
    <x:t xml:space="preserve">1.0/-0.25/0.82</x:t>
  </x:si>
  <x:si>
    <x:t xml:space="preserve">多米尼克</x:t>
  </x:si>
  <x:si>
    <x:t xml:space="preserve">2026-9-28 09:00</x:t>
  </x:si>
  <x:si>
    <x:t xml:space="preserve">特立尼达和多巴哥 vs 多米尼加共和国</x:t>
  </x:si>
  <x:si>
    <x:t xml:space="preserve">0.85/0.25/0.97</x:t>
  </x:si>
  <x:si>
    <x:t xml:space="preserve">多米尼加共和国</x:t>
  </x:si>
  <x:si>
    <x:t xml:space="preserve">2026-09-29 17:00</x:t>
  </x:si>
  <x:si>
    <x:t xml:space="preserve">菲律宾(中) vs 巴基斯坦</x:t>
  </x:si>
  <x:si>
    <x:t xml:space="preserve">0.8/-1.75/1.02</x:t>
  </x:si>
  <x:si>
    <x:t xml:space="preserve">菲律宾(中)</x:t>
  </x:si>
  <x:si>
    <x:t xml:space="preserve">可投</x:t>
  </x:si>
  <x:si>
    <x:t xml:space="preserve">https://m.titan007.com/analy/Analysis/3088946.htm</x:t>
  </x:si>
  <x:si>
    <x:t xml:space="preserve">当前页面未提供可复算Delta_Conv</x:t>
  </x:si>
  <x:si>
    <x:t xml:space="preserve">2026-09-29 18:00</x:t>
  </x:si>
  <x:si>
    <x:t xml:space="preserve">熊本深红 vs 川崎前锋</x:t>
  </x:si>
  <x:si>
    <x:t xml:space="preserve">0.9/1.5/0.92</x:t>
  </x:si>
  <x:si>
    <x:t xml:space="preserve">熊本深红</x:t>
  </x:si>
  <x:si>
    <x:t xml:space="preserve">https://m.titan007.com/analy/Analysis/3094966.htm</x:t>
  </x:si>
  <x:si>
    <x:t xml:space="preserve">金泽 vs 清水鼓动</x:t>
  </x:si>
  <x:si>
    <x:t xml:space="preserve">1.02/0.5/0.8</x:t>
  </x:si>
  <x:si>
    <x:t xml:space="preserve">https://m.titan007.com/analy/Analysis/3094965.htm</x:t>
  </x:si>
  <x:si>
    <x:t xml:space="preserve">2026-09-29 21:00</x:t>
  </x:si>
  <x:si>
    <x:t xml:space="preserve">南苏丹 vs 埃及</x:t>
  </x:si>
  <x:si>
    <x:t xml:space="preserve">0.97/1.75/0.85</x:t>
  </x:si>
  <x:si>
    <x:t xml:space="preserve">https://m.titan007.com/analy/Analysis/3001011.htm</x:t>
  </x:si>
  <x:si>
    <x:t xml:space="preserve">埃塞俄比亚 vs 塞内加尔</x:t>
  </x:si>
  <x:si>
    <x:t xml:space="preserve">1.05/1.25/0.77</x:t>
  </x:si>
  <x:si>
    <x:t xml:space="preserve">塞内加尔</x:t>
  </x:si>
  <x:si>
    <x:t xml:space="preserve">https://m.titan007.com/analy/Analysis/3001106.htm</x:t>
  </x:si>
  <x:si>
    <x:t xml:space="preserve">2026-09-30 00:00</x:t>
  </x:si>
  <x:si>
    <x:t xml:space="preserve">佛得角 vs 卢旺达</x:t>
  </x:si>
  <x:si>
    <x:t xml:space="preserve">1.06/-1.25/0.76</x:t>
  </x:si>
  <x:si>
    <x:t xml:space="preserve">佛得角</x:t>
  </x:si>
  <x:si>
    <x:t xml:space="preserve">https://m.titan007.com/analy/Analysis/3001118.htm</x:t>
  </x:si>
  <x:si>
    <x:t xml:space="preserve">几内亚比绍 vs 尼日利亚</x:t>
  </x:si>
  <x:si>
    <x:t xml:space="preserve">0.92/1/0.9</x:t>
  </x:si>
  <x:si>
    <x:t xml:space="preserve">https://m.titan007.com/analy/Analysis/3001130.htm</x:t>
  </x:si>
  <x:si>
    <x:t xml:space="preserve">加纳 vs 冈比亚</x:t>
  </x:si>
  <x:si>
    <x:t xml:space="preserve">0.94/-1.25/0.88</x:t>
  </x:si>
  <x:si>
    <x:t xml:space="preserve">加纳</x:t>
  </x:si>
  <x:si>
    <x:t xml:space="preserve">https://m.titan007.com/analy/Analysis/3001022.htm</x:t>
  </x:si>
  <x:si>
    <x:t xml:space="preserve">2026-09-30 03:00</x:t>
  </x:si>
  <x:si>
    <x:t xml:space="preserve">刚果共和国 vs 喀麦隆</x:t>
  </x:si>
  <x:si>
    <x:t xml:space="preserve">1.05/0.75/0.77</x:t>
  </x:si>
  <x:si>
    <x:t xml:space="preserve">刚果共和国</x:t>
  </x:si>
  <x:si>
    <x:t xml:space="preserve">https://m.titan007.com/analy/Analysis/3001071.htm</x:t>
  </x:si>
  <x:si>
    <x:t xml:space="preserve">2026-09-30 05:00</x:t>
  </x:si>
  <x:si>
    <x:t xml:space="preserve">法属圭亚那 vs 荷属圣马丁岛</x:t>
  </x:si>
  <x:si>
    <x:t xml:space="preserve">0.85/-0.5/0.91</x:t>
  </x:si>
  <x:si>
    <x:t xml:space="preserve">荷属圣马丁岛（下盘）</x:t>
  </x:si>
  <x:si>
    <x:t xml:space="preserve">https://m.titan007.com/analy/Analysis/3092486.htm</x:t>
  </x:si>
  <x:si>
    <x:t xml:space="preserve">更新日志</x:t>
  </x:si>
  <x:si>
    <x:t xml:space="preserve">更新序号</x:t>
  </x:si>
  <x:si>
    <x:t xml:space="preserve">记录时间</x:t>
  </x:si>
  <x:si>
    <x:t xml:space="preserve">网页筛选日期</x:t>
  </x:si>
  <x:si>
    <x:t xml:space="preserve">本次场次</x:t>
  </x:si>
  <x:si>
    <x:t xml:space="preserve">待结算</x:t>
  </x:si>
  <x:si>
    <x:t xml:space="preserve">已结算盈亏(u)</x:t>
  </x:si>
  <x:si>
    <x:t xml:space="preserve">备注</x:t>
  </x:si>
  <x:si>
    <x:t xml:space="preserve">2026-09-02 07:35</x:t>
  </x:si>
  <x:si>
    <x:t xml:space="preserve">2026-09-02 07:35（北京时间）</x:t>
  </x:si>
  <x:si>
    <x:t xml:space="preserve">首次建立账本；网页筛选结果26场，当前20场已结算、6场未结算</x:t>
  </x:si>
  <x:si>
    <x:t xml:space="preserve">新增地区分布列；按HTML micro_region记录，并将欧洲五大系列拆分为五大联赛、五大联赛非顶级联赛、五大联赛杯赛</x:t>
  </x:si>
  <x:si>
    <x:t xml:space="preserve">新增分类统计页：按赛事类型、具体联赛/杯赛、亚盘意图、地区分布统计已结算场次、红黑分布、有效胜率、总盈亏和ROI</x:t>
  </x:si>
  <x:si>
    <x:t xml:space="preserve">按截图纠正列位置：在原表“比赛时间”和“赛事类型”之间插入地区分布；现为比赛时间→地区分布→赛事类型→联赛/杯赛</x:t>
  </x:si>
  <x:si>
    <x:t xml:space="preserve">新增亚盘意图正向/反向回测：反向红黑、反向水位、反向盈亏写入赛事明细U:W，并按亚盘意图比较有效胜率、ROI和总盈亏</x:t>
  </x:si>
  <x:si>
    <x:t xml:space="preserve">2026-09-02 10:41</x:t>
  </x:si>
  <x:si>
    <x:t xml:space="preserve">2026-09-02 10:41（北京时间，球探完场页）</x:t>
  </x:si>
  <x:si>
    <x:t xml:space="preserve">https://bf.titan007.com/football/Over_20260901.htm</x:t>
  </x:si>
  <x:si>
    <x:t xml:space="preserve">按球探网完场比分回填5场：哥查瓜0-1萨拉曼卡（黑）、隆迪那0-0尤文图德（半红）、国防部队0-2三多俱乐部（黑）、基多体育大学0-0穆苏克鲁纳（红）、米内罗竞技2-1克鲁塞罗（红）；福塔雷绍查 vs 云斯卡尔达斯仍未开赛，继续待结算。</x:t>
  </x:si>
  <x:si>
    <x:t xml:space="preserve">2026-09-03 08:09</x:t>
  </x:si>
  <x:si>
    <x:t xml:space="preserve">2026-09-03 08:09（北京时间）</x:t>
  </x:si>
  <x:si>
    <x:t xml:space="preserve">新增9/2筛选可投注赛事7场；累计33场、32场已结算、1场待结算。正向本批次盈亏+0.225u，分类统计和亚盘意图正反回测已同步刷新。</x:t>
  </x:si>
  <x:si>
    <x:t xml:space="preserve">2026-09-03 10:00</x:t>
  </x:si>
  <x:si>
    <x:t xml:space="preserve">2026-09-01、2026-09-02</x:t>
  </x:si>
  <x:si>
    <x:t xml:space="preserve">2026-09-03 10:00（北京时间，球探完场页）</x:t>
  </x:si>
  <x:si>
    <x:t xml:space="preserve">按球探网完场比分页补结并复核：9/1福塔雷绍查1-2云斯卡尔达斯，福塔雷绍查-0.25结算黑、-1.000u；9/2已录入7场完场比分逐场核对无变化。累计33场、33场已结算、0场待结算；分类统计与亚盘意图正反统计同步刷新。</x:t>
  </x:si>
  <x:si>
    <x:t xml:space="preserve">2026-09-03 10:00（北京时间）</x:t>
  </x:si>
  <x:si>
    <x:t xml:space="preserve">纠正网页筛选口径：9/2实际显示60场可投，原账本已有7场，本次补回缺少的53场；新增部分44场已完场、9场仍进行中/未开赛，按页面当前亚盘方向与即时水位写入，累计86场、77场已结算、9场待结算。</x:t>
  </x:si>
  <x:si>
    <x:t xml:space="preserve">https://bf.titan007.com/football/Over_20260902.htm</x:t>
  </x:si>
  <x:si>
    <x:t xml:space="preserve">按球探网9/2完场页补结并复核10场：其中9场由待结算更新为已结算，塞萨洛尼基 vs OFI克里特复核无变化；仅更新比分、结算状态、红黑及盈亏，保留原即时赔率、亚盘意图和投注方向。累计86场、86场已结算、0场待结算。</x:t>
  </x:si>
  <x:si>
    <x:t xml:space="preserve">2026-09-03 11:10</x:t>
  </x:si>
  <x:si>
    <x:t xml:space="preserve">2026-09-03 11:10（北京时间，格式维护）</x:t>
  </x:si>
  <x:si>
    <x:t xml:space="preserve">本地工作簿格式维护</x:t>
  </x:si>
  <x:si>
    <x:t xml:space="preserve">统一全部工作表已使用区域为左对齐；保留原有颜色、边框、公式、数字格式和数据内容。</x:t>
  </x:si>
  <x:si>
    <x:t xml:space="preserve">2026-09-03 11:19</x:t>
  </x:si>
  <x:si>
    <x:t xml:space="preserve">2026-09-03 11:19（北京时间，亚盘规则复核）</x:t>
  </x:si>
  <x:si>
    <x:t xml:space="preserve">本地工作簿亚盘规则复核</x:t>
  </x:si>
  <x:si>
    <x:t xml:space="preserve">按亚盘输赢规则逐场复核86场，修正28场：H&gt;0按主队让球（主队结算线=-H），H&lt;0按主队受让；查尔斯顿电池-0.75负于哈特福德竞技1-2为全黑、-1.000u。累计86场、86场已结算、0场待结算。</x:t>
  </x:si>
  <x:si>
    <x:t xml:space="preserve">2026-09-04 09:00</x:t>
  </x:si>
  <x:si>
    <x:t xml:space="preserve">2026-09-04 09:00（北京时间）</x:t>
  </x:si>
  <x:si>
    <x:t xml:space="preserve">按最新skill补录9/3网页可投注且已完场17场；按亚洲盘标准结算并保留真实投注水位盈亏。9/3球探归档页不可用，比分采用网页当前完场记录。</x:t>
  </x:si>
  <x:si>
    <x:t xml:space="preserve">2026-09-07 07:45</x:t>
  </x:si>
  <x:si>
    <x:t xml:space="preserve">2026-09-04、2026-09-05、2026-09-06、2026-09-07</x:t>
  </x:si>
  <x:si>
    <x:t xml:space="preserve">2026-09-07 07:45（北京时间）</x:t>
  </x:si>
  <x:si>
    <x:t xml:space="preserve">按网页历史日期“冻结赛前可投记录”口径重建：9/4 19场、9/5 103场、9/6 40场；9/7按当前严格skill漏斗4场。已完场按最新亚盘规则结算。</x:t>
  </x:si>
  <x:si>
    <x:t xml:space="preserve">2026-09-07 10:30</x:t>
  </x:si>
  <x:si>
    <x:t xml:space="preserve">2026-09-04、2026-09-05、2026-09-06</x:t>
  </x:si>
  <x:si>
    <x:t xml:space="preserve">网页源码 rowsForDate/frozen_bettable 复核</x:t>
  </x:si>
  <x:si>
    <x:t xml:space="preserve">修正此前错误使用 plannedSkillDecision 重算历史日期的问题，移除多录51场；历史日期必须优先使用 frozen_bettable 冻结清单。</x:t>
  </x:si>
  <x:si>
    <x:t xml:space="preserve">2026-09-07 10:54</x:t>
  </x:si>
  <x:si>
    <x:t xml:space="preserve">2026-09-07 10:54（北京时间）</x:t>
  </x:si>
  <x:si>
    <x:t xml:space="preserve">Titan007/球探、网页官方结算报表及交叉比分源</x:t>
  </x:si>
  <x:si>
    <x:t xml:space="preserve">按冻结赛前可投方向逐场补齐最终比分；9/4 19场、9/5 103场、9/6 40场全部重新按亚洲盘全赢/赢半/走/输半/全输规则结算，未采用网页红黑标签代替计算。</x:t>
  </x:si>
  <x:si>
    <x:t xml:space="preserve">2026-09-09 09:43</x:t>
  </x:si>
  <x:si>
    <x:t xml:space="preserve">2026-09-07、2026-09-08</x:t>
  </x:si>
  <x:si>
    <x:t xml:space="preserve">2026-09-09 09:43（北京时间）</x:t>
  </x:si>
  <x:si>
    <x:t xml:space="preserve">赔率：simondongxiao.github.io/odds；比分：网页完场数据、球迷屋、Sofascore</x:t>
  </x:si>
  <x:si>
    <x:t xml:space="preserve">9/7原有4场补齐赛果并按亚盘规则结算；新增9/8冻结可投11场及Delta字段。9/8最后两场比分交叉核验：弗鲁米嫩塞2-0普拉腾斯、库里科1-1西班牙联合。同步新增周中/周末让球与受让盘口统计。</x:t>
  </x:si>
  <x:si>
    <x:t xml:space="preserve">2026-09-09 10:27</x:t>
  </x:si>
  <x:si>
    <x:t xml:space="preserve">全表周中星期拆分</x:t>
  </x:si>
  <x:si>
    <x:t xml:space="preserve">2026-09-09 10:27（北京时间）</x:t>
  </x:si>
  <x:si>
    <x:t xml:space="preserve">football_odds_ledger_delta_conv.xlsx 赛事明细</x:t>
  </x:si>
  <x:si>
    <x:t xml:space="preserve">新增周一至周五以及实际开赛日期的均注回测。每场1u；使用真实投注水位；半仓记录在本模拟中同样按1u；走盘不进入有效胜率分母。</x:t>
  </x:si>
  <x:si>
    <x:t xml:space="preserve">2026-09-10 11:25</x:t>
  </x:si>
  <x:si>
    <x:t xml:space="preserve">2026-09-10 11:25（北京时间）</x:t>
  </x:si>
  <x:si>
    <x:t xml:space="preserve">赔率及比分：simondongxiao.github.io/odds 页面冻结记录</x:t>
  </x:si>
  <x:si>
    <x:t xml:space="preserve">按页面“39场可投”完整写入；当前26场完场并按即时亚盘结算，13场保留未结算。同步刷新周中/周末盘口统计，并新增指定联赛正反买的周中/周末检验。</x:t>
  </x:si>
  <x:si>
    <x:t xml:space="preserve">2026-09-10 11:42</x:t>
  </x:si>
  <x:si>
    <x:t xml:space="preserve">2026-09-09补赛果</x:t>
  </x:si>
  <x:si>
    <x:t xml:space="preserve">2026-09-10 11:42（北京时间）</x:t>
  </x:si>
  <x:si>
    <x:t xml:space="preserve">赛事官网、CONMEBOL、LA NACION、AP/Canadian Press、Field Level Media、即时比分源</x:t>
  </x:si>
  <x:si>
    <x:t xml:space="preserve">新增确认11场完场并按90分钟比分结算；9/9累计37场已结算、2场仍进行中。杯赛点球大战仅作晋级信息，不计入亚盘比分。同步刷新盈亏、盘口及联赛时段统计。</x:t>
  </x:si>
  <x:si>
    <x:t xml:space="preserve">2026-09-14 10:15</x:t>
  </x:si>
  <x:si>
    <x:t xml:space="preserve">2026-09-10至2026-09-13</x:t>
  </x:si>
  <x:si>
    <x:t xml:space="preserve">2026-09-14 10:15（北京时间）</x:t>
  </x:si>
  <x:si>
    <x:t xml:space="preserve">https://simondongxiao.github.io/odds/v3-legacy/?v=ae799be；比分逐场核对 Titan007</x:t>
  </x:si>
  <x:si>
    <x:t xml:space="preserve">新增9/10 21场、9/11 17场、9/12 54场、9/13截图38场。129场按球探终场比分结算，维勒斯 vs 库德里夫卡为推迟未结算；同时补齐9/9两场。网页8场比分与球探不一致，均采用球探终场比分。</x:t>
  </x:si>
  <x:si>
    <x:t xml:space="preserve">2026-09-15 10:55</x:t>
  </x:si>
  <x:si>
    <x:t xml:space="preserve">2026-09-15 10:55（北京时间）</x:t>
  </x:si>
  <x:si>
    <x:t xml:space="preserve">V3新增9/14可投5场；5场均按Titan007终场比分结算。结算分布：红3、半红1、黑1；单日盈亏+2.275u，ROI +45.5%。</x:t>
  </x:si>
  <x:si>
    <x:t xml:space="preserve">2026-09-15 11:29</x:t>
  </x:si>
  <x:si>
    <x:t xml:space="preserve">2026-09-15 11:29（北京时间）</x:t>
  </x:si>
  <x:si>
    <x:t xml:space="preserve">https://simondongxiao.github.io/odds/v3-legacy/；终场比分使用官方/赛事结果页交叉核对</x:t>
  </x:si>
  <x:si>
    <x:t xml:space="preserve">更正：V3按GitHub 9/14最新版冻结选择重建为7场，并以终场比分复核；结算分布：红3、半红1、走0、半黑1、黑2；单日盈亏+0.510u，ROI +7.29%。索契2-1韦莱斯（账本主客顺序韦莱斯1-2索契），最新版选择韦莱斯+0.25，结算全黑。</x:t>
  </x:si>
  <x:si>
    <x:t xml:space="preserve">2026-09-16 13:51</x:t>
  </x:si>
  <x:si>
    <x:t xml:space="preserve">2026-09-16 13:51（北京时间）</x:t>
  </x:si>
  <x:si>
    <x:t xml:space="preserve">新增9/15最新冻结可投14场，时间窗9/15 12:00至9/16 12:00；独立终场来源见赛事明细T列。红7、半红0、走2、半黑1、黑4；均注1u盈利1.860u，ROI13.29%，有效胜率60.87%。历史记录保留。</x:t>
  </x:si>
  <x:si>
    <x:t xml:space="preserve">2026-09-17 11:51</x:t>
  </x:si>
  <x:si>
    <x:t xml:space="preserve">2026-09-17 11:51（北京时间）</x:t>
  </x:si>
  <x:si>
    <x:t xml:space="preserve">新增9/16最新冻结可投19场，时间窗9/16 12:00至9/17 12:00；比分来源见赛事明细T列。按即时亚盘和真实投注水位重算，红黑分布、均注1u盈亏和ROI见本行与赛事明细。历史记录保留。</x:t>
  </x:si>
  <x:si>
    <x:t xml:space="preserve">2026-09-17 11:52</x:t>
  </x:si>
  <x:si>
    <x:t xml:space="preserve">2026-09-17 11:52（北京时间）</x:t>
  </x:si>
  <x:si>
    <x:t xml:space="preserve">2026-09-18 12:13</x:t>
  </x:si>
  <x:si>
    <x:t xml:space="preserve">2026-09-18 12:13（北京时间）</x:t>
  </x:si>
  <x:si>
    <x:t xml:space="preserve">新增9/17最新冻结可投16场，时间窗9/17 12:00至9/18 12:00；比分来源见赛事明细T列。15场已核对终场比分并结算，1场比分仍待确认；按即时亚盘和真实投注水位重算，红黑分布、均注1u盈亏和ROI见本行与赛事明细。历史记录保留。</x:t>
  </x:si>
  <x:si>
    <x:t xml:space="preserve">2026-09-21 11:36</x:t>
  </x:si>
  <x:si>
    <x:t xml:space="preserve">2026-09-21 11:36（北京时间）</x:t>
  </x:si>
  <x:si>
    <x:t xml:space="preserve">按冻结可投赛事统计，记账窗口2026-09-18 12:00至次日12:00；共18场，确认结算18场，待核/未赛0场。按即时亚盘和真实水位结算；比分来源见明细T列；待核比分不计入盈亏。</x:t>
  </x:si>
  <x:si>
    <x:t xml:space="preserve">按冻结可投赛事统计，记账窗口2026-09-19 12:00至次日12:00；共60场，确认结算60场，待核/未赛0场。按即时亚盘和真实水位结算；比分来源见明细T列；待核比分不计入盈亏。</x:t>
  </x:si>
  <x:si>
    <x:t xml:space="preserve">按冻结可投赛事统计，记账窗口2026-09-20 12:00至次日12:00；共39场，确认结算39场，待核/未赛0场。按即时亚盘和真实水位结算；比分来源见明细T列；待核比分不计入盈亏。</x:t>
  </x:si>
  <x:si>
    <x:t xml:space="preserve">按冻结可投赛事统计，记账窗口2026-09-21 12:00至次日12:00；共2场，确认结算0场，待核/未赛2场。按即时亚盘和真实水位结算；比分来源见明细T列；待核比分不计入盈亏。</x:t>
  </x:si>
  <x:si>
    <x:t xml:space="preserve">2026-09-22 10:42</x:t>
  </x:si>
  <x:si>
    <x:t xml:space="preserve">2026-09-22 10:42（北京时间）</x:t>
  </x:si>
  <x:si>
    <x:t xml:space="preserve">补齐2026-09-21已完场候选2场；比分来源写入赛事明细T列；按签名亚盘、真实投注水位和固定规则重算红黑及盈亏。</x:t>
  </x:si>
  <x:si>
    <x:t xml:space="preserve">2026-09-22 10:43</x:t>
  </x:si>
  <x:si>
    <x:t xml:space="preserve">2026-09-22 10:43（北京时间）</x:t>
  </x:si>
  <x:si>
    <x:t xml:space="preserve">2026-09-23 11:10</x:t>
  </x:si>
  <x:si>
    <x:t xml:space="preserve">2026-09-23 11:10（北京时间）</x:t>
  </x:si>
  <x:si>
    <x:t xml:space="preserve">新增2026-09-22最新候选4场；已结算4场；待结算0场；按签名亚盘和真实水位计算。</x:t>
  </x:si>
  <x:si>
    <x:t xml:space="preserve">按北京时间12:00–次日12:00记账；本次复核2026-09-23页面候选，已结算17场，待结算0场；按实际投注水位计算盈亏。</x:t>
  </x:si>
  <x:si>
    <x:t xml:space="preserve">2026-09-28 09:49</x:t>
  </x:si>
  <x:si>
    <x:t xml:space="preserve">v3-legacy-latest-freeze</x:t>
  </x:si>
  <x:si>
    <x:t xml:space="preserve">按北京时间12:00–次日12:00记账；本次复核2026-09-24页面候选，已结算7场，待结算0场；按实际投注水位计算盈亏。</x:t>
  </x:si>
  <x:si>
    <x:t xml:space="preserve">按北京时间12:00–次日12:00记账；本次复核2026-09-25页面候选，已结算17场，待结算0场；按实际投注水位计算盈亏。</x:t>
  </x:si>
  <x:si>
    <x:t xml:space="preserve">按北京时间12:00–次日12:00记账；本次复核2026-09-26页面候选，已结算23场，待结算0场；按实际投注水位计算盈亏。</x:t>
  </x:si>
  <x:si>
    <x:t xml:space="preserve">2026-09-29 14:00（北京时间）</x:t>
  </x:si>
  <x:si>
    <x:t xml:space="preserve">比分补录复核</x:t>
  </x:si>
  <x:si>
    <x:t xml:space="preserve">补录巴布亚新几内亚 2-1 瓦努阿图；按 signed AH +0.25、真实水位0.81结算为红，V3待结算清零。</x:t>
  </x:si>
  <x:si>
    <x:t xml:space="preserve">2026-09-30 10:00（北京时间）</x:t>
  </x:si>
  <x:si>
    <x:t xml:space="preserve">2026-09-30复核（北京时间）</x:t>
  </x:si>
  <x:si>
    <x:t xml:space="preserve">按skill复核9/29页面：63场原始赛程，0场冻结可投候选；不新增赛事明细，原总账保持不变。</x:t>
  </x:si>
  <x:si>
    <x:t xml:space="preserve">2026-09-29 13:17</x:t>
  </x:si>
  <x:si>
    <x:t xml:space="preserve">2026-09-29 13:17（北京时间）</x:t>
  </x:si>
  <x:si>
    <x:t xml:space="preserve">按skill读取V3 2026-09-29页面：63场赛程均缺少完整亚盘/欧赔，0场冻结可投候选；本次不补造盘口，不新增明细，待页面补齐赔率后再更新。</x:t>
  </x:si>
  <x:si>
    <x:t xml:space="preserve">2026-09-30 11:15</x:t>
  </x:si>
  <x:si>
    <x:t xml:space="preserve">纠正旧快照读取错误：重新读取当前GitHub V3页面并补录9/29；去重后10场，行高统一22。比分/结算按当前页面字段写入，真实水位保留。</x:t>
  </x:si>
  <x:si>
    <x:t xml:space="preserve">足球亚盘分类统计（截至09/29)</x:t>
  </x:si>
  <x:si>
    <x:t xml:space="preserve">只统计已结算；按原记录保留地区和意图。有效胜率按半赢半输折算，走盘不入分母。ROI=盈亏÷已结算场次。</x:t>
  </x:si>
  <x:si>
    <x:t xml:space="preserve">按赛事类型</x:t>
  </x:si>
  <x:si>
    <x:t xml:space="preserve">分类</x:t>
  </x:si>
  <x:si>
    <x:t xml:space="preserve">总盈亏(u)</x:t>
  </x:si>
  <x:si>
    <x:t xml:space="preserve">合计</x:t>
  </x:si>
  <x:si>
    <x:t xml:space="preserve">按联赛 / 杯赛</x:t>
  </x:si>
  <x:si>
    <x:t xml:space="preserve">按亚盘意图</x:t>
  </x:si>
  <x:si>
    <x:t xml:space="preserve">按地区分布（HTML口径）</x:t>
  </x:si>
  <x:si>
    <x:t xml:space="preserve">亚盘意图正向 vs 反向回测</x:t>
  </x:si>
  <x:si>
    <x:t xml:space="preserve">正向=按当前亚盘意图选择的“投注方”；反向=买相反一方。仅统计已结算比赛。有效胜率=(红+0.5×半红)/(红+0.5×半红+黑+0.5×半黑)，走盘不进分母；反向水位取即时另一方水位。</x:t>
  </x:si>
  <x:si>
    <x:t xml:space="preserve">一、总体对比</x:t>
  </x:si>
  <x:si>
    <x:t xml:space="preserve">方向</x:t>
  </x:si>
  <x:si>
    <x:t xml:space="preserve">胜率判断</x:t>
  </x:si>
  <x:si>
    <x:t xml:space="preserve">盈亏判断</x:t>
  </x:si>
  <x:si>
    <x:t xml:space="preserve">正向（当前投注方）</x:t>
  </x:si>
  <x:si>
    <x:t xml:space="preserve">反向（相反投注方）</x:t>
  </x:si>
  <x:si>
    <x:t xml:space="preserve">结论</x:t>
  </x:si>
  <x:si>
    <x:t xml:space="preserve">二、按亚盘意图比较</x:t>
  </x:si>
  <x:si>
    <x:t xml:space="preserve">正向有效胜率</x:t>
  </x:si>
  <x:si>
    <x:t xml:space="preserve">反向有效胜率</x:t>
  </x:si>
  <x:si>
    <x:t xml:space="preserve">胜率差（正-反）</x:t>
  </x:si>
  <x:si>
    <x:t xml:space="preserve">正向盈亏(u)</x:t>
  </x:si>
  <x:si>
    <x:t xml:space="preserve">正向ROI</x:t>
  </x:si>
  <x:si>
    <x:t xml:space="preserve">反向ROI</x:t>
  </x:si>
  <x:si>
    <x:t xml:space="preserve">胜率方向</x:t>
  </x:si>
  <x:si>
    <x:t xml:space="preserve">盈亏方向</x:t>
  </x:si>
  <x:si>
    <x:t xml:space="preserve">让 0.75 至 1.0 盘口 Delta_Conv 回测</x:t>
  </x:si>
  <x:si>
    <x:t xml:space="preserve">Delta_Conv = 即时投注水位 - 欧转亚理论水位；理论水位由去水1X2概率拟合独立泊松模型后计算。</x:t>
  </x:si>
  <x:si>
    <x:t xml:space="preserve">说明：1X2到亚盘并非唯一映射，泊松分布是假设；阈值必须看样本量与时间外验证，不能仅凭全样本最优值。</x:t>
  </x:si>
  <x:si>
    <x:t xml:space="preserve">盲区结算汇总</x:t>
  </x:si>
  <x:si>
    <x:t xml:space="preserve">范围</x:t>
  </x:si>
  <x:si>
    <x:t xml:space="preserve">平均Delta</x:t>
  </x:si>
  <x:si>
    <x:t xml:space="preserve">让0.75至1.0（上盘合计）</x:t>
  </x:si>
  <x:si>
    <x:t xml:space="preserve">让0.75（上盘）</x:t>
  </x:si>
  <x:si>
    <x:t xml:space="preserve">让1.0（上盘）</x:t>
  </x:si>
  <x:si>
    <x:t xml:space="preserve">0.75/1.0全部投注方向</x:t>
  </x:si>
  <x:si>
    <x:t xml:space="preserve">红单与黑单 Delta 分布</x:t>
  </x:si>
  <x:si>
    <x:t xml:space="preserve">标准差</x:t>
  </x:si>
  <x:si>
    <x:t xml:space="preserve">中位数</x:t>
  </x:si>
  <x:si>
    <x:t xml:space="preserve">均值差置换检验p值</x:t>
  </x:si>
  <x:si>
    <x:t xml:space="preserve">绝对偏离阈值敏感性</x:t>
  </x:si>
  <x:si>
    <x:t xml:space="preserve">过滤规则</x:t>
  </x:si>
  <x:si>
    <x:t xml:space="preserve">保留场次</x:t>
  </x:si>
  <x:si>
    <x:t xml:space="preserve">保留率</x:t>
  </x:si>
  <x:si>
    <x:t xml:space="preserve">|Delta|≤0.030</x:t>
  </x:si>
  <x:si>
    <x:t xml:space="preserve">|Delta|≤0.050</x:t>
  </x:si>
  <x:si>
    <x:t xml:space="preserve">|Delta|≤0.075</x:t>
  </x:si>
  <x:si>
    <x:t xml:space="preserve">|Delta|≤0.100</x:t>
  </x:si>
  <x:si>
    <x:t xml:space="preserve">|Delta|≤0.125</x:t>
  </x:si>
  <x:si>
    <x:t xml:space="preserve">|Delta|≤0.150</x:t>
  </x:si>
  <x:si>
    <x:t xml:space="preserve">|Delta|≤0.200</x:t>
  </x:si>
  <x:si>
    <x:t xml:space="preserve">|Delta|≤0.250</x:t>
  </x:si>
  <x:si>
    <x:t xml:space="preserve">|Delta|≤0.300</x:t>
  </x:si>
  <x:si>
    <x:t xml:space="preserve">|Delta|≤0.400</x:t>
  </x:si>
  <x:si>
    <x:t xml:space="preserve">全部</x:t>
  </x:si>
  <x:si>
    <x:t xml:space="preserve">70%训练 / 30%时间外验证</x:t>
  </x:si>
  <x:si>
    <x:t xml:space="preserve">区间</x:t>
  </x:si>
  <x:si>
    <x:t xml:space="preserve">采用阈值</x:t>
  </x:si>
  <x:si>
    <x:t xml:space="preserve">训练基线</x:t>
  </x:si>
  <x:si>
    <x:t xml:space="preserve">训练过滤后</x:t>
  </x:si>
  <x:si>
    <x:t xml:space="preserve">测试基线</x:t>
  </x:si>
  <x:si>
    <x:t xml:space="preserve">测试过滤后</x:t>
  </x:si>
  <x:si>
    <x:t xml:space="preserve">结论与阈值建议</x:t>
  </x:si>
  <x:si>
    <x:t xml:space="preserve">当前红黑Delta差异未形成稳健证据（置换检验p=0.892），或时间外改善未同时满足胜率与盈亏。训练集候选阈值为 |Delta_Conv|≤0.400，但不建议直接设为硬过滤器。建议先将 |Delta_Conv|&gt;0.15 标记为高偏离观察项，累计至少100场同盘口样本后再重新定阈值；现阶段对让1.0继续单独限仓，不与让0.75合并评价。</x:t>
  </x:si>
  <x:si>
    <x:t xml:space="preserve">周中与周末 0.75 / 1.0 盘口及每日回测</x:t>
  </x:si>
  <x:si>
    <x:t xml:space="preserve">口径：北京时间开赛日；周中=周一至周五，周末=周六与周日。有效胜率=(红+0.5×半红)/(红+0.5×半红+黑+0.5×半黑)，走盘不进分母；盈亏按真实水位、均注1u。</x:t>
  </x:si>
  <x:si>
    <x:t xml:space="preserve">时段</x:t>
  </x:si>
  <x:si>
    <x:t xml:space="preserve">投注盘口</x:t>
  </x:si>
  <x:si>
    <x:t xml:space="preserve">周中（周一至周五）</x:t>
  </x:si>
  <x:si>
    <x:t xml:space="preserve">让1球</x:t>
  </x:si>
  <x:si>
    <x:t xml:space="preserve">受让1球</x:t>
  </x:si>
  <x:si>
    <x:t xml:space="preserve">让0.75球</x:t>
  </x:si>
  <x:si>
    <x:t xml:space="preserve">受让0.75球</x:t>
  </x:si>
  <x:si>
    <x:t xml:space="preserve">周末（周六、周日）</x:t>
  </x:si>
  <x:si>
    <x:t xml:space="preserve">周中按星期汇总</x:t>
  </x:si>
  <x:si>
    <x:t xml:space="preserve">星期</x:t>
  </x:si>
  <x:si>
    <x:t xml:space="preserve">覆盖日期</x:t>
  </x:si>
  <x:si>
    <x:t xml:space="preserve">周一</x:t>
  </x:si>
  <x:si>
    <x:t xml:space="preserve">2026-09-07、2026-09-14</x:t>
  </x:si>
  <x:si>
    <x:t xml:space="preserve">周二</x:t>
  </x:si>
  <x:si>
    <x:t xml:space="preserve">2026-09-01、2026-09-08、2026-09-15</x:t>
  </x:si>
  <x:si>
    <x:t xml:space="preserve">周三</x:t>
  </x:si>
  <x:si>
    <x:t xml:space="preserve">2026-09-02、2026-09-09、2026-09-16</x:t>
  </x:si>
  <x:si>
    <x:t xml:space="preserve">周四</x:t>
  </x:si>
  <x:si>
    <x:t xml:space="preserve">2026-09-03、2026-09-10、2026-09-17</x:t>
  </x:si>
  <x:si>
    <x:t xml:space="preserve">周五</x:t>
  </x:si>
  <x:si>
    <x:t xml:space="preserve">2026-09-04、2026-09-11、2026-09-18</x:t>
  </x:si>
  <x:si>
    <x:t xml:space="preserve">周中合计</x:t>
  </x:si>
  <x:si>
    <x:t xml:space="preserve">周一至周五</x:t>
  </x:si>
  <x:si>
    <x:t xml:space="preserve">周中自然日明细</x:t>
  </x:si>
  <x:si>
    <x:t xml:space="preserve">日期</x:t>
  </x:si>
  <x:si>
    <x:t xml:space="preserve">指定联赛正反买：周中与周末适用性检验</x:t>
  </x:si>
  <x:si>
    <x:t xml:space="preserve">周中=周一至周五、周末=周六/周日（均按北京时间开赛日）。反买按对手方即时水位重新结算；p值为两侧置换检验。只有周中、周末各≥5场且p&lt;0.05才认定明显差异。</x:t>
  </x:si>
  <x:si>
    <x:t xml:space="preserve">组合</x:t>
  </x:si>
  <x:si>
    <x:t xml:space="preserve">周中N</x:t>
  </x:si>
  <x:si>
    <x:t xml:space="preserve">周中胜率</x:t>
  </x:si>
  <x:si>
    <x:t xml:space="preserve">周中盈亏</x:t>
  </x:si>
  <x:si>
    <x:t xml:space="preserve">周中ROI</x:t>
  </x:si>
  <x:si>
    <x:t xml:space="preserve">周末N</x:t>
  </x:si>
  <x:si>
    <x:t xml:space="preserve">周末胜率</x:t>
  </x:si>
  <x:si>
    <x:t xml:space="preserve">周末盈亏</x:t>
  </x:si>
  <x:si>
    <x:t xml:space="preserve">周末ROI</x:t>
  </x:si>
  <x:si>
    <x:t xml:space="preserve">全周N</x:t>
  </x:si>
  <x:si>
    <x:t xml:space="preserve">全周胜率</x:t>
  </x:si>
  <x:si>
    <x:t xml:space="preserve">全周盈亏</x:t>
  </x:si>
  <x:si>
    <x:t xml:space="preserve">全周ROI</x:t>
  </x:si>
  <x:si>
    <x:t xml:space="preserve">p值</x:t>
  </x:si>
  <x:si>
    <x:t xml:space="preserve">判断</x:t>
  </x:si>
  <x:si>
    <x:t xml:space="preserve">反买组合</x:t>
  </x:si>
  <x:si>
    <x:t xml:space="preserve">未见统计显著差异，整周可沿用</x:t>
  </x:si>
  <x:si>
    <x:t xml:space="preserve">正买组合</x:t>
  </x:si>
  <x:si>
    <x:t xml:space="preserve">全部观点组合</x:t>
  </x:si>
  <x:si>
    <x:t xml:space="preserve">逐联赛/国家明细</x:t>
  </x:si>
  <x:si>
    <x:t xml:space="preserve">联赛/国家</x:t>
  </x:si>
  <x:si>
    <x:t xml:space="preserve">匹配口径</x:t>
  </x:si>
  <x:si>
    <x:t xml:space="preserve">判定</x:t>
  </x:si>
  <x:si>
    <x:t xml:space="preserve">反买</x:t>
  </x:si>
  <x:si>
    <x:t xml:space="preserve">样本不足，不能判定时段差异</x:t>
  </x:si>
  <x:si>
    <x:t xml:space="preserve">只有单一时段样本，不能比较</x:t>
  </x:si>
  <x:si>
    <x:t xml:space="preserve">丹麦</x:t>
  </x:si>
  <x:si>
    <x:t xml:space="preserve">丹麦赛事</x:t>
  </x:si>
  <x:si>
    <x:t xml:space="preserve">挪威</x:t>
  </x:si>
  <x:si>
    <x:t xml:space="preserve">挪威赛事</x:t>
  </x:si>
  <x:si>
    <x:t xml:space="preserve">意丙（不含杯赛）</x:t>
  </x:si>
  <x:si>
    <x:t xml:space="preserve">继续积累样本</x:t>
  </x:si>
  <x:si>
    <x:t xml:space="preserve">正买</x:t>
  </x:si>
  <x:si>
    <x:t xml:space="preserve">未见明显时段差异</x:t>
  </x:si>
  <x:si>
    <x:t xml:space="preserve">账面上周中明显优于周末，但周末仅3场</x:t>
  </x:si>
  <x:si>
    <x:t xml:space="preserve">账面上周中较强，但两侧样本不足</x:t>
  </x:si>
  <x:si>
    <x:t xml:space="preserve">美国</x:t>
  </x:si>
  <x:si>
    <x:t xml:space="preserve">美职业/美冠联/美甲</x:t>
  </x:si>
  <x:si>
    <x:t xml:space="preserve">周中20.0%且-4.670u，周末100%但仅2场；时段差异样本仍不足，周中须谨慎</x:t>
  </x:si>
  <x:si>
    <x:t xml:space="preserve">捷克</x:t>
  </x:si>
  <x:si>
    <x:t xml:space="preserve">捷克赛事</x:t>
  </x:si>
  <x:si>
    <x:t xml:space="preserve">组合层面：全部观点周中胜率65.8%、周末74.4%，置换检验p=0.346，仍不支持总体存在显著周中/周末差异。美国正买的周中样本降至20.0%、-4.670u，周末2场均红，虽未满足正式显著性样本要求，但已形成明确风险提示：美国正买暂以周末观察、周中谨慎或停用；其余组合暂不设统一时段硬过滤。</x:t>
  </x:si>
</x:sst>
</file>

<file path=xl/styles.xml><?xml version="1.0" encoding="utf-8"?>
<x:styleSheet xmlns:x="http://schemas.openxmlformats.org/spreadsheetml/2006/main">
  <x:numFmts count="7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0.0%"/>
    <x:numFmt numFmtId="177" formatCode="0.000;\-0.000;0.000"/>
    <x:numFmt numFmtId="178" formatCode="0.000"/>
  </x:numFmts>
  <x:fonts count="44">
    <x:font>
      <x:sz val="11"/>
      <x:name val="Carlito"/>
    </x:font>
    <x:font>
      <x:b/>
      <x:sz val="14"/>
      <x:color rgb="FFFFFFFF"/>
      <x:name val="Carlito"/>
    </x:font>
    <x:font>
      <x:i/>
      <x:sz val="11"/>
      <x:color rgb="FF404040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4"/>
      <x:color rgb="FFFFFFFF"/>
      <x:name val="Arial"/>
    </x:font>
    <x:font>
      <x:i/>
      <x:sz val="11"/>
      <x:color rgb="FF404040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0"/>
      <x:color rgb="FF1F4E78"/>
      <x:name val="Arial"/>
    </x:font>
    <x:font>
      <x:i/>
      <x:sz val="10"/>
      <x:color rgb="FF595959"/>
      <x:name val="Arial"/>
    </x:font>
    <x:font>
      <x:i/>
      <x:sz val="10"/>
      <x:color rgb="FFC00000"/>
      <x:name val="Arial"/>
    </x:font>
    <x:font>
      <x:b/>
      <x:sz val="10"/>
      <x:color rgb="FFFFFFFF"/>
      <x:name val="Arial"/>
    </x:font>
    <x:font>
      <x:sz val="10"/>
      <x:color rgb="FF9C0006"/>
      <x:name val="Arial"/>
    </x:font>
    <x:font>
      <x:b/>
      <x:sz val="15"/>
      <x:color rgb="FFFFFFFF"/>
      <x:name val="Carlito"/>
    </x:font>
    <x:font>
      <x:i/>
      <x:sz val="9"/>
      <x:color rgb="FF404040"/>
      <x:name val="Carlito"/>
    </x:font>
    <x:font>
      <x:b/>
      <x:sz val="11"/>
      <x:color rgb="FF1F4E78"/>
      <x:name val="Carlito"/>
    </x:font>
    <x:font>
      <x:b/>
      <x:sz val="12"/>
      <x:color rgb="FFFFFFFF"/>
      <x:name val="Arial"/>
    </x:font>
    <x:font>
      <x:b/>
      <x:sz val="11"/>
      <x:color rgb="FF008000"/>
      <x:name val="Arial"/>
    </x:font>
    <x:font>
      <x:b/>
      <x:sz val="11"/>
      <x:color rgb="FFC00000"/>
      <x:name val="Arial"/>
    </x:font>
    <x:font>
      <x:b/>
      <x:sz val="11"/>
      <x:color rgb="FF7F6000"/>
      <x:name val="Arial"/>
    </x:font>
    <x:font>
      <x:b/>
      <x:sz val="10"/>
      <x:color rgb="FF1F4E78"/>
      <x:name val="Microsoft YaHei"/>
    </x:font>
    <x:font>
      <x:sz val="10"/>
      <x:name val="Microsoft YaHei"/>
    </x:font>
    <x:font>
      <x:b/>
      <x:sz val="10"/>
      <x:color rgb="FFFFFFFF"/>
      <x:name val="Microsoft YaHei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4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CE4D6"/>
      </x:patternFill>
    </x:fill>
    <x:fill>
      <x:patternFill patternType="solid">
        <x:fgColor rgb="FFF3F6F9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thin">
        <x:color rgb="FF9ECAE1"/>
      </x:bottom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24" fillId="0" borderId="0">
      <x:alignment vertical="center"/>
    </x:xf>
    <x:xf numFmtId="43" fontId="24" fillId="0" borderId="0" applyFont="0" applyFill="0" applyBorder="0" applyAlignment="0" applyProtection="0">
      <x:alignment vertical="center"/>
    </x:xf>
    <x:xf numFmtId="44" fontId="24" fillId="0" borderId="0" applyFont="0" applyFill="0" applyBorder="0" applyAlignment="0" applyProtection="0">
      <x:alignment vertical="center"/>
    </x:xf>
    <x:xf numFmtId="9" fontId="24" fillId="0" borderId="0" applyFont="0" applyFill="0" applyBorder="0" applyAlignment="0" applyProtection="0">
      <x:alignment vertical="center"/>
    </x:xf>
    <x:xf numFmtId="41" fontId="24" fillId="0" borderId="0" applyFont="0" applyFill="0" applyBorder="0" applyAlignment="0" applyProtection="0">
      <x:alignment vertical="center"/>
    </x:xf>
    <x:xf numFmtId="42" fontId="24" fillId="0" borderId="0" applyFont="0" applyFill="0" applyBorder="0" applyAlignment="0" applyProtection="0">
      <x:alignment vertical="center"/>
    </x:xf>
    <x:xf numFmtId="0" fontId="25" fillId="0" borderId="0" applyNumberFormat="0" applyFill="0" applyBorder="0" applyAlignment="0" applyProtection="0">
      <x:alignment vertical="center"/>
    </x:xf>
    <x:xf numFmtId="0" fontId="26" fillId="0" borderId="0" applyNumberFormat="0" applyFill="0" applyBorder="0" applyAlignment="0" applyProtection="0">
      <x:alignment vertical="center"/>
    </x:xf>
    <x:xf numFmtId="0" fontId="24" fillId="11" borderId="4" applyNumberFormat="0" applyFont="0" applyAlignment="0" applyProtection="0">
      <x:alignment vertical="center"/>
    </x:xf>
    <x:xf numFmtId="0" fontId="27" fillId="0" borderId="0" applyNumberFormat="0" applyFill="0" applyBorder="0" applyAlignment="0" applyProtection="0">
      <x:alignment vertical="center"/>
    </x:xf>
    <x:xf numFmtId="0" fontId="28" fillId="0" borderId="0" applyNumberFormat="0" applyFill="0" applyBorder="0" applyAlignment="0" applyProtection="0">
      <x:alignment vertical="center"/>
    </x:xf>
    <x:xf numFmtId="0" fontId="29" fillId="0" borderId="0" applyNumberFormat="0" applyFill="0" applyBorder="0" applyAlignment="0" applyProtection="0">
      <x:alignment vertical="center"/>
    </x:xf>
    <x:xf numFmtId="0" fontId="30" fillId="0" borderId="5" applyNumberFormat="0" applyFill="0" applyAlignment="0" applyProtection="0">
      <x:alignment vertical="center"/>
    </x:xf>
    <x:xf numFmtId="0" fontId="31" fillId="0" borderId="5" applyNumberFormat="0" applyFill="0" applyAlignment="0" applyProtection="0">
      <x:alignment vertical="center"/>
    </x:xf>
    <x:xf numFmtId="0" fontId="32" fillId="0" borderId="6" applyNumberFormat="0" applyFill="0" applyAlignment="0" applyProtection="0">
      <x:alignment vertical="center"/>
    </x:xf>
    <x:xf numFmtId="0" fontId="32" fillId="0" borderId="0" applyNumberFormat="0" applyFill="0" applyBorder="0" applyAlignment="0" applyProtection="0">
      <x:alignment vertical="center"/>
    </x:xf>
    <x:xf numFmtId="0" fontId="33" fillId="12" borderId="7" applyNumberFormat="0" applyAlignment="0" applyProtection="0">
      <x:alignment vertical="center"/>
    </x:xf>
    <x:xf numFmtId="0" fontId="34" fillId="13" borderId="8" applyNumberFormat="0" applyAlignment="0" applyProtection="0">
      <x:alignment vertical="center"/>
    </x:xf>
    <x:xf numFmtId="0" fontId="35" fillId="13" borderId="7" applyNumberFormat="0" applyAlignment="0" applyProtection="0">
      <x:alignment vertical="center"/>
    </x:xf>
    <x:xf numFmtId="0" fontId="36" fillId="14" borderId="9" applyNumberFormat="0" applyAlignment="0" applyProtection="0">
      <x:alignment vertical="center"/>
    </x:xf>
    <x:xf numFmtId="0" fontId="37" fillId="0" borderId="10" applyNumberFormat="0" applyFill="0" applyAlignment="0" applyProtection="0">
      <x:alignment vertical="center"/>
    </x:xf>
    <x:xf numFmtId="0" fontId="38" fillId="0" borderId="11" applyNumberFormat="0" applyFill="0" applyAlignment="0" applyProtection="0">
      <x:alignment vertical="center"/>
    </x:xf>
    <x:xf numFmtId="0" fontId="39" fillId="15" borderId="0" applyNumberFormat="0" applyBorder="0" applyAlignment="0" applyProtection="0">
      <x:alignment vertical="center"/>
    </x:xf>
    <x:xf numFmtId="0" fontId="40" fillId="16" borderId="0" applyNumberFormat="0" applyBorder="0" applyAlignment="0" applyProtection="0">
      <x:alignment vertical="center"/>
    </x:xf>
    <x:xf numFmtId="0" fontId="41" fillId="17" borderId="0" applyNumberFormat="0" applyBorder="0" applyAlignment="0" applyProtection="0">
      <x:alignment vertical="center"/>
    </x:xf>
    <x:xf numFmtId="0" fontId="42" fillId="18" borderId="0" applyNumberFormat="0" applyBorder="0" applyAlignment="0" applyProtection="0">
      <x:alignment vertical="center"/>
    </x:xf>
    <x:xf numFmtId="0" fontId="43" fillId="19" borderId="0" applyNumberFormat="0" applyBorder="0" applyAlignment="0" applyProtection="0">
      <x:alignment vertical="center"/>
    </x:xf>
    <x:xf numFmtId="0" fontId="43" fillId="20" borderId="0" applyNumberFormat="0" applyBorder="0" applyAlignment="0" applyProtection="0">
      <x:alignment vertical="center"/>
    </x:xf>
    <x:xf numFmtId="0" fontId="42" fillId="21" borderId="0" applyNumberFormat="0" applyBorder="0" applyAlignment="0" applyProtection="0">
      <x:alignment vertical="center"/>
    </x:xf>
    <x:xf numFmtId="0" fontId="42" fillId="22" borderId="0" applyNumberFormat="0" applyBorder="0" applyAlignment="0" applyProtection="0">
      <x:alignment vertical="center"/>
    </x:xf>
    <x:xf numFmtId="0" fontId="43" fillId="23" borderId="0" applyNumberFormat="0" applyBorder="0" applyAlignment="0" applyProtection="0">
      <x:alignment vertical="center"/>
    </x:xf>
    <x:xf numFmtId="0" fontId="43" fillId="24" borderId="0" applyNumberFormat="0" applyBorder="0" applyAlignment="0" applyProtection="0">
      <x:alignment vertical="center"/>
    </x:xf>
    <x:xf numFmtId="0" fontId="42" fillId="25" borderId="0" applyNumberFormat="0" applyBorder="0" applyAlignment="0" applyProtection="0">
      <x:alignment vertical="center"/>
    </x:xf>
    <x:xf numFmtId="0" fontId="42" fillId="26" borderId="0" applyNumberFormat="0" applyBorder="0" applyAlignment="0" applyProtection="0">
      <x:alignment vertical="center"/>
    </x:xf>
    <x:xf numFmtId="0" fontId="43" fillId="27" borderId="0" applyNumberFormat="0" applyBorder="0" applyAlignment="0" applyProtection="0">
      <x:alignment vertical="center"/>
    </x:xf>
    <x:xf numFmtId="0" fontId="43" fillId="28" borderId="0" applyNumberFormat="0" applyBorder="0" applyAlignment="0" applyProtection="0">
      <x:alignment vertical="center"/>
    </x:xf>
    <x:xf numFmtId="0" fontId="42" fillId="29" borderId="0" applyNumberFormat="0" applyBorder="0" applyAlignment="0" applyProtection="0">
      <x:alignment vertical="center"/>
    </x:xf>
    <x:xf numFmtId="0" fontId="42" fillId="30" borderId="0" applyNumberFormat="0" applyBorder="0" applyAlignment="0" applyProtection="0">
      <x:alignment vertical="center"/>
    </x:xf>
    <x:xf numFmtId="0" fontId="43" fillId="31" borderId="0" applyNumberFormat="0" applyBorder="0" applyAlignment="0" applyProtection="0">
      <x:alignment vertical="center"/>
    </x:xf>
    <x:xf numFmtId="0" fontId="43" fillId="32" borderId="0" applyNumberFormat="0" applyBorder="0" applyAlignment="0" applyProtection="0">
      <x:alignment vertical="center"/>
    </x:xf>
    <x:xf numFmtId="0" fontId="42" fillId="33" borderId="0" applyNumberFormat="0" applyBorder="0" applyAlignment="0" applyProtection="0">
      <x:alignment vertical="center"/>
    </x:xf>
    <x:xf numFmtId="0" fontId="42" fillId="34" borderId="0" applyNumberFormat="0" applyBorder="0" applyAlignment="0" applyProtection="0">
      <x:alignment vertical="center"/>
    </x:xf>
    <x:xf numFmtId="0" fontId="43" fillId="35" borderId="0" applyNumberFormat="0" applyBorder="0" applyAlignment="0" applyProtection="0">
      <x:alignment vertical="center"/>
    </x:xf>
    <x:xf numFmtId="0" fontId="43" fillId="36" borderId="0" applyNumberFormat="0" applyBorder="0" applyAlignment="0" applyProtection="0">
      <x:alignment vertical="center"/>
    </x:xf>
    <x:xf numFmtId="0" fontId="42" fillId="37" borderId="0" applyNumberFormat="0" applyBorder="0" applyAlignment="0" applyProtection="0">
      <x:alignment vertical="center"/>
    </x:xf>
    <x:xf numFmtId="0" fontId="42" fillId="38" borderId="0" applyNumberFormat="0" applyBorder="0" applyAlignment="0" applyProtection="0">
      <x:alignment vertical="center"/>
    </x:xf>
    <x:xf numFmtId="0" fontId="43" fillId="39" borderId="0" applyNumberFormat="0" applyBorder="0" applyAlignment="0" applyProtection="0">
      <x:alignment vertical="center"/>
    </x:xf>
    <x:xf numFmtId="0" fontId="43" fillId="40" borderId="0" applyNumberFormat="0" applyBorder="0" applyAlignment="0" applyProtection="0">
      <x:alignment vertical="center"/>
    </x:xf>
    <x:xf numFmtId="0" fontId="42" fillId="41" borderId="0" applyNumberFormat="0" applyBorder="0" applyAlignment="0" applyProtection="0">
      <x:alignment vertical="center"/>
    </x:xf>
    <x:xf numFmtId="0" fontId="0" fillId="0" borderId="0"/>
  </x:cellStyleXfs>
  <x:cellXfs count="78">
    <x:xf numFmtId="0" fontId="0" fillId="0" borderId="0" xfId="49"/>
    <x:xf numFmtId="0" fontId="1" fillId="2" borderId="0" xfId="49" applyFont="1" applyFill="1" applyAlignment="1">
      <x:alignment horizontal="left" vertical="center"/>
    </x:xf>
    <x:xf numFmtId="0" fontId="2" fillId="3" borderId="0" xfId="49" applyFont="1" applyFill="1" applyAlignment="1">
      <x:alignment horizontal="left" vertical="center" wrapText="1"/>
    </x:xf>
    <x:xf numFmtId="0" fontId="3" fillId="4" borderId="0" xfId="49" applyFont="1" applyFill="1" applyAlignment="1">
      <x:alignment horizontal="left" vertical="center"/>
    </x:xf>
    <x:xf numFmtId="0" fontId="0" fillId="0" borderId="0" xfId="49" applyAlignment="1">
      <x:alignment horizontal="left" vertical="center" wrapText="1"/>
    </x:xf>
    <x:xf numFmtId="176" fontId="0" fillId="0" borderId="0" xfId="49" applyNumberFormat="1" applyAlignment="1">
      <x:alignment horizontal="left" vertical="center" wrapText="1"/>
    </x:xf>
    <x:xf numFmtId="177" fontId="0" fillId="0" borderId="0" xfId="49" applyNumberFormat="1" applyAlignment="1">
      <x:alignment horizontal="left" vertical="center" wrapText="1"/>
    </x:xf>
    <x:xf numFmtId="178" fontId="0" fillId="0" borderId="0" xfId="49" applyNumberFormat="1" applyAlignment="1">
      <x:alignment horizontal="left" vertical="center" wrapText="1"/>
    </x:xf>
    <x:xf numFmtId="0" fontId="3" fillId="2" borderId="0" xfId="49" applyFont="1" applyFill="1" applyAlignment="1">
      <x:alignment horizontal="left" vertical="center" wrapText="1"/>
    </x:xf>
    <x:xf numFmtId="0" fontId="3" fillId="4" borderId="0" xfId="49" applyFont="1" applyFill="1" applyAlignment="1">
      <x:alignment horizontal="left" vertical="center" wrapText="1"/>
    </x:xf>
    <x:xf numFmtId="0" fontId="3" fillId="2" borderId="0" xfId="49" applyFont="1" applyFill="1" applyAlignment="1">
      <x:alignment horizontal="left" vertical="center"/>
    </x:xf>
    <x:xf numFmtId="0" fontId="4" fillId="5" borderId="0" xfId="49" applyFont="1" applyFill="1" applyAlignment="1">
      <x:alignment horizontal="left" vertical="center" wrapText="1"/>
    </x:xf>
    <x:xf numFmtId="0" fontId="5" fillId="2" borderId="0" xfId="49" applyFont="1" applyFill="1" applyAlignment="1">
      <x:alignment horizontal="left" vertical="center"/>
    </x:xf>
    <x:xf numFmtId="0" fontId="6" fillId="3" borderId="0" xfId="49" applyFont="1" applyFill="1" applyAlignment="1">
      <x:alignment horizontal="left" vertical="center" wrapText="1"/>
    </x:xf>
    <x:xf numFmtId="0" fontId="7" fillId="4" borderId="0" xfId="49" applyFont="1" applyFill="1" applyAlignment="1">
      <x:alignment horizontal="left" vertical="center"/>
    </x:xf>
    <x:xf numFmtId="0" fontId="8" fillId="0" borderId="0" xfId="49" applyFont="1" applyAlignment="1">
      <x:alignment horizontal="left" vertical="center"/>
    </x:xf>
    <x:xf numFmtId="176" fontId="8" fillId="0" borderId="0" xfId="49" applyNumberFormat="1" applyFont="1" applyAlignment="1">
      <x:alignment horizontal="left" vertical="center"/>
    </x:xf>
    <x:xf numFmtId="177" fontId="8" fillId="0" borderId="0" xfId="49" applyNumberFormat="1" applyFont="1" applyAlignment="1">
      <x:alignment horizontal="left" vertical="center"/>
    </x:xf>
    <x:xf numFmtId="0" fontId="7" fillId="2" borderId="0" xfId="49" applyFont="1" applyFill="1" applyAlignment="1">
      <x:alignment horizontal="left" vertical="center"/>
    </x:xf>
    <x:xf numFmtId="0" fontId="9" fillId="0" borderId="0" xfId="49" applyFont="1" applyAlignment="1">
      <x:alignment horizontal="left" vertical="center"/>
    </x:xf>
    <x:xf numFmtId="0" fontId="10" fillId="0" borderId="0" xfId="49" applyFont="1" applyAlignment="1">
      <x:alignment horizontal="left" vertical="center"/>
    </x:xf>
    <x:xf numFmtId="0" fontId="11" fillId="0" borderId="0" xfId="49" applyFont="1" applyAlignment="1">
      <x:alignment horizontal="left" vertical="center"/>
    </x:xf>
    <x:xf numFmtId="0" fontId="12" fillId="2" borderId="0" xfId="49" applyFont="1" applyFill="1" applyAlignment="1">
      <x:alignment horizontal="left" vertical="center"/>
    </x:xf>
    <x:xf numFmtId="0" fontId="12" fillId="6" borderId="1" xfId="49" applyFont="1" applyFill="1" applyBorder="1" applyAlignment="1">
      <x:alignment horizontal="left" vertical="center"/>
    </x:xf>
    <x:xf numFmtId="178" fontId="8" fillId="0" borderId="0" xfId="49" applyNumberFormat="1" applyFont="1" applyAlignment="1">
      <x:alignment horizontal="left" vertical="center"/>
    </x:xf>
    <x:xf numFmtId="0" fontId="0" fillId="0" borderId="0" xfId="49" applyAlignment="1">
      <x:alignment horizontal="left" vertical="center"/>
    </x:xf>
    <x:xf numFmtId="0" fontId="13" fillId="7" borderId="0" xfId="49" applyFont="1" applyFill="1" applyAlignment="1">
      <x:alignment horizontal="left" vertical="top" wrapText="1"/>
    </x:xf>
    <x:xf numFmtId="0" fontId="14" fillId="2" borderId="0" xfId="49" applyFont="1" applyFill="1" applyAlignment="1">
      <x:alignment horizontal="left" vertical="center"/>
    </x:xf>
    <x:xf numFmtId="0" fontId="15" fillId="8" borderId="0" xfId="49" applyFont="1" applyFill="1" applyAlignment="1">
      <x:alignment horizontal="left" vertical="center" wrapText="1"/>
    </x:xf>
    <x:xf numFmtId="0" fontId="0" fillId="0" borderId="0" xfId="49" applyAlignment="1">
      <x:alignment horizontal="left"/>
    </x:xf>
    <x:xf numFmtId="0" fontId="16" fillId="3" borderId="2" xfId="49" applyFont="1" applyFill="1" applyBorder="1" applyAlignment="1">
      <x:alignment horizontal="left" vertical="center" wrapText="1"/>
    </x:xf>
    <x:xf numFmtId="0" fontId="16" fillId="0" borderId="2" xfId="49" applyFont="1" applyBorder="1" applyAlignment="1">
      <x:alignment horizontal="left" vertical="center" wrapText="1"/>
    </x:xf>
    <x:xf numFmtId="3" fontId="0" fillId="0" borderId="2" xfId="49" applyNumberFormat="1" applyBorder="1" applyAlignment="1">
      <x:alignment horizontal="left" vertical="center" wrapText="1"/>
    </x:xf>
    <x:xf numFmtId="176" fontId="0" fillId="0" borderId="2" xfId="49" applyNumberFormat="1" applyBorder="1" applyAlignment="1">
      <x:alignment horizontal="left" vertical="center" wrapText="1"/>
    </x:xf>
    <x:xf numFmtId="177" fontId="0" fillId="0" borderId="2" xfId="49" applyNumberFormat="1" applyBorder="1" applyAlignment="1">
      <x:alignment horizontal="left" vertical="center" wrapText="1"/>
    </x:xf>
    <x:xf numFmtId="0" fontId="0" fillId="0" borderId="2" xfId="49" applyBorder="1" applyAlignment="1">
      <x:alignment horizontal="left" vertical="center" wrapText="1"/>
    </x:xf>
    <x:xf numFmtId="0" fontId="16" fillId="9" borderId="2" xfId="49" applyFont="1" applyFill="1" applyBorder="1" applyAlignment="1">
      <x:alignment horizontal="left" vertical="center" wrapText="1"/>
    </x:xf>
    <x:xf numFmtId="3" fontId="16" fillId="9" borderId="2" xfId="49" applyNumberFormat="1" applyFont="1" applyFill="1" applyBorder="1" applyAlignment="1">
      <x:alignment horizontal="left" vertical="center" wrapText="1"/>
    </x:xf>
    <x:xf numFmtId="0" fontId="17" fillId="2" borderId="0" xfId="49" applyNumberFormat="1" applyFont="1" applyFill="1" applyBorder="1" applyAlignment="1">
      <x:alignment horizontal="left" vertical="center"/>
    </x:xf>
    <x:xf numFmtId="0" fontId="8" fillId="0" borderId="0" xfId="49" applyNumberFormat="1" applyFont="1" applyFill="1" applyBorder="1" applyAlignment="1">
      <x:alignment horizontal="left" vertical="center" wrapText="1"/>
    </x:xf>
    <x:xf numFmtId="0" fontId="12" fillId="4" borderId="0" xfId="49" applyNumberFormat="1" applyFont="1" applyFill="1" applyBorder="1" applyAlignment="1">
      <x:alignment horizontal="left" vertical="center" wrapText="1"/>
    </x:xf>
    <x:xf numFmtId="0" fontId="8" fillId="0" borderId="0" xfId="49" applyNumberFormat="1" applyFont="1" applyFill="1" applyBorder="1" applyAlignment="1">
      <x:alignment horizontal="left" vertical="center"/>
    </x:xf>
    <x:xf numFmtId="176" fontId="8" fillId="0" borderId="0" xfId="49" applyNumberFormat="1" applyFont="1" applyFill="1" applyBorder="1" applyAlignment="1">
      <x:alignment horizontal="left" vertical="center"/>
    </x:xf>
    <x:xf numFmtId="177" fontId="8" fillId="0" borderId="0" xfId="49" applyNumberFormat="1" applyFont="1" applyFill="1" applyBorder="1" applyAlignment="1">
      <x:alignment horizontal="left" vertical="center"/>
    </x:xf>
    <x:xf numFmtId="0" fontId="8" fillId="3" borderId="0" xfId="49" applyNumberFormat="1" applyFont="1" applyFill="1" applyBorder="1" applyAlignment="1">
      <x:alignment horizontal="left" vertical="center"/>
    </x:xf>
    <x:xf numFmtId="176" fontId="8" fillId="3" borderId="0" xfId="49" applyNumberFormat="1" applyFont="1" applyFill="1" applyBorder="1" applyAlignment="1">
      <x:alignment horizontal="left" vertical="center"/>
    </x:xf>
    <x:xf numFmtId="177" fontId="8" fillId="3" borderId="0" xfId="49" applyNumberFormat="1" applyFont="1" applyFill="1" applyBorder="1" applyAlignment="1">
      <x:alignment horizontal="left" vertical="center"/>
    </x:xf>
    <x:xf numFmtId="0" fontId="1" fillId="2" borderId="0" xfId="49" applyFont="1" applyFill="1" applyAlignment="1">
      <x:alignment horizontal="left"/>
    </x:xf>
    <x:xf numFmtId="0" fontId="3" fillId="4" borderId="2" xfId="49" applyFont="1" applyFill="1" applyBorder="1" applyAlignment="1">
      <x:alignment horizontal="left" wrapText="1"/>
    </x:xf>
    <x:xf numFmtId="0" fontId="0" fillId="0" borderId="0" xfId="49" applyNumberFormat="1" applyFont="1" applyFill="1" applyBorder="1" applyAlignment="1">
      <x:alignment horizontal="left" vertical="center" wrapText="1"/>
    </x:xf>
    <x:xf numFmtId="177" fontId="0" fillId="0" borderId="0" xfId="49" applyNumberFormat="1" applyFont="1" applyFill="1" applyBorder="1" applyAlignment="1">
      <x:alignment horizontal="left" vertical="center" wrapText="1"/>
    </x:xf>
    <x:xf numFmtId="0" fontId="3" fillId="4" borderId="2" xfId="49" applyFont="1" applyFill="1" applyBorder="1" applyAlignment="1">
      <x:alignment horizontal="left" vertical="center" wrapText="1"/>
    </x:xf>
    <x:xf numFmtId="0" fontId="12" fillId="4" borderId="0" xfId="49" applyFont="1" applyFill="1" applyAlignment="1">
      <x:alignment horizontal="left" vertical="center"/>
    </x:xf>
    <x:xf numFmtId="0" fontId="0" fillId="0" borderId="2" xfId="49" applyNumberFormat="1" applyFont="1" applyFill="1" applyBorder="1" applyAlignment="1">
      <x:alignment horizontal="left" vertical="center" wrapText="1"/>
    </x:xf>
    <x:xf numFmtId="2" fontId="0" fillId="0" borderId="2" xfId="49" applyNumberFormat="1" applyFont="1" applyFill="1" applyBorder="1" applyAlignment="1">
      <x:alignment horizontal="left" vertical="center" wrapText="1"/>
    </x:xf>
    <x:xf numFmtId="176" fontId="0" fillId="0" borderId="2" xfId="49" applyNumberFormat="1" applyFont="1" applyFill="1" applyBorder="1" applyAlignment="1">
      <x:alignment horizontal="left" vertical="center" wrapText="1"/>
    </x:xf>
    <x:xf numFmtId="177" fontId="0" fillId="0" borderId="2" xfId="49" applyNumberFormat="1" applyFont="1" applyFill="1" applyBorder="1" applyAlignment="1">
      <x:alignment horizontal="left" vertical="center" wrapText="1"/>
    </x:xf>
    <x:xf numFmtId="178" fontId="0" fillId="0" borderId="0" xfId="49" applyNumberFormat="1" applyFont="1" applyFill="1" applyBorder="1" applyAlignment="1">
      <x:alignment horizontal="left" vertical="center"/>
    </x:xf>
    <x:xf numFmtId="176" fontId="0" fillId="0" borderId="0" xfId="49" applyNumberFormat="1" applyFont="1" applyFill="1" applyBorder="1" applyAlignment="1">
      <x:alignment horizontal="left" vertical="center"/>
    </x:xf>
    <x:xf numFmtId="0" fontId="0" fillId="0" borderId="0" xfId="49" applyNumberFormat="1" applyFont="1" applyFill="1" applyBorder="1" applyAlignment="1">
      <x:alignment horizontal="left" vertical="center"/>
    </x:xf>
    <x:xf numFmtId="2" fontId="0" fillId="0" borderId="0" xfId="49" applyNumberFormat="1" applyFont="1" applyFill="1" applyBorder="1" applyAlignment="1">
      <x:alignment horizontal="left" vertical="center" wrapText="1"/>
    </x:xf>
    <x:xf numFmtId="176" fontId="0" fillId="0" borderId="0" xfId="49" applyNumberFormat="1" applyFont="1" applyFill="1" applyBorder="1" applyAlignment="1">
      <x:alignment horizontal="left" vertical="center" wrapText="1"/>
    </x:xf>
    <x:xf numFmtId="178" fontId="0" fillId="0" borderId="0" xfId="49" applyNumberFormat="1" applyFont="1" applyFill="1" applyBorder="1" applyAlignment="1">
      <x:alignment horizontal="left" vertical="center" wrapText="1"/>
    </x:xf>
    <x:xf numFmtId="0" fontId="18" fillId="5" borderId="0" xfId="49" applyNumberFormat="1" applyFont="1" applyFill="1" applyBorder="1" applyAlignment="1">
      <x:alignment horizontal="left" vertical="center" wrapText="1"/>
    </x:xf>
    <x:xf numFmtId="0" fontId="19" fillId="7" borderId="0" xfId="49" applyNumberFormat="1" applyFont="1" applyFill="1" applyBorder="1" applyAlignment="1">
      <x:alignment horizontal="left" vertical="center" wrapText="1"/>
    </x:xf>
    <x:xf numFmtId="0" fontId="20" fillId="10" borderId="0" xfId="49" applyNumberFormat="1" applyFont="1" applyFill="1" applyBorder="1" applyAlignment="1">
      <x:alignment horizontal="left" vertical="center" wrapText="1"/>
    </x:xf>
    <x:xf numFmtId="0" fontId="21" fillId="3" borderId="3" xfId="49" applyFont="1" applyFill="1" applyBorder="1" applyAlignment="1">
      <x:alignment horizontal="left" vertical="center"/>
    </x:xf>
    <x:xf numFmtId="0" fontId="22" fillId="0" borderId="3" xfId="49" applyFont="1" applyBorder="1" applyAlignment="1">
      <x:alignment horizontal="left" vertical="center" wrapText="1"/>
    </x:xf>
    <x:xf numFmtId="0" fontId="22" fillId="0" borderId="0" xfId="49" applyFont="1" applyAlignment="1">
      <x:alignment horizontal="left" vertical="center"/>
    </x:xf>
    <x:xf numFmtId="0" fontId="22" fillId="0" borderId="3" xfId="49" applyFont="1" applyBorder="1" applyAlignment="1">
      <x:alignment horizontal="left" vertical="center"/>
    </x:xf>
    <x:xf numFmtId="0" fontId="22" fillId="0" borderId="2" xfId="49" applyFont="1" applyBorder="1" applyAlignment="1">
      <x:alignment horizontal="left" vertical="center"/>
    </x:xf>
    <x:xf numFmtId="177" fontId="22" fillId="0" borderId="3" xfId="49" applyNumberFormat="1" applyFont="1" applyBorder="1" applyAlignment="1">
      <x:alignment horizontal="left" vertical="center"/>
    </x:xf>
    <x:xf numFmtId="176" fontId="22" fillId="0" borderId="3" xfId="49" applyNumberFormat="1" applyFont="1" applyFill="1" applyBorder="1" applyAlignment="1">
      <x:alignment horizontal="left" vertical="center"/>
    </x:xf>
    <x:xf numFmtId="0" fontId="23" fillId="4" borderId="2" xfId="49" applyFont="1" applyFill="1" applyBorder="1" applyAlignment="1">
      <x:alignment horizontal="left" vertical="center"/>
    </x:xf>
    <x:xf numFmtId="0" fontId="22" fillId="8" borderId="0" xfId="49" applyFont="1" applyFill="1" applyAlignment="1">
      <x:alignment horizontal="left" vertical="top" wrapText="1"/>
    </x:xf>
    <x:xf numFmtId="10" fontId="8" fillId="0" borderId="0" xfId="49" applyNumberFormat="1" applyFont="1" applyFill="1" applyBorder="1" applyAlignment="1">
      <x:alignment horizontal="left" vertical="center"/>
    </x:xf>
    <x:xf numFmtId="0" fontId="8" fillId="3" borderId="0" xfId="49" applyNumberFormat="1" applyFont="1" applyFill="1" applyBorder="1" applyAlignment="1">
      <x:alignment horizontal="left" vertical="center" wrapText="1"/>
    </x:xf>
    <x:xf numFmtId="0" fontId="8" fillId="3" borderId="0" xfId="49" applyFont="1" applyFill="1" applyAlignment="1">
      <x:alignment horizontal="left"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2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63cb991bac434d" /><Relationship Type="http://schemas.openxmlformats.org/officeDocument/2006/relationships/theme" Target="/xl/theme/theme1.xml" Id="R2e98ac8bd0a44d58" /><Relationship Type="http://schemas.openxmlformats.org/officeDocument/2006/relationships/sharedStrings" Target="/xl/sharedStrings.xml" Id="R2922aff9a54d4049" /><Relationship Type="http://schemas.openxmlformats.org/officeDocument/2006/relationships/worksheet" Target="/xl/worksheets/sheet1.xml" Id="R85a55be519164cf8" /><Relationship Type="http://schemas.openxmlformats.org/officeDocument/2006/relationships/worksheet" Target="/xl/worksheets/sheet2.xml" Id="R1dba3f391a234bf8" /><Relationship Type="http://schemas.openxmlformats.org/officeDocument/2006/relationships/worksheet" Target="/xl/worksheets/sheet3.xml" Id="R81552b98ceb94ba6" /><Relationship Type="http://schemas.openxmlformats.org/officeDocument/2006/relationships/worksheet" Target="/xl/worksheets/sheet4.xml" Id="R3d24fa0fd8a44344" /><Relationship Type="http://schemas.openxmlformats.org/officeDocument/2006/relationships/worksheet" Target="/xl/worksheets/sheet5.xml" Id="R1374e6ec675b4135" /><Relationship Type="http://schemas.openxmlformats.org/officeDocument/2006/relationships/worksheet" Target="/xl/worksheets/sheet6.xml" Id="Ree50510a75034218" /><Relationship Type="http://schemas.openxmlformats.org/officeDocument/2006/relationships/worksheet" Target="/xl/worksheets/sheet7.xml" Id="Rb705484b21e24b9b" /><Relationship Type="http://schemas.openxmlformats.org/officeDocument/2006/relationships/worksheet" Target="/xl/worksheets/sheet8.xml" Id="R9511eb7d31f2488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891689147a84d31" /><Relationship Type="http://schemas.openxmlformats.org/officeDocument/2006/relationships/chart" Target="/xl/drawings/charts/chart2.xml" Id="R091b36efa65f4691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i="0" u="none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红/黑平均 Delta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i="0" u="none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Delta回测!$C$14</c:f>
              <c:strCache>
                <c:ptCount val="1"/>
                <c:pt idx="0">
                  <c:v>平均Delta</c:v>
                </c:pt>
              </c:strCache>
            </c:strRef>
          </c:tx>
          <c:spPr>
            <a:ln xmlns:a="http://schemas.openxmlformats.org/drawingml/2006/main">
              <a:noFill/>
              <a:prstDash val="solid"/>
            </a:ln>
          </c:spPr>
          <c:invertIfNegative val="0"/>
          <c:dLbls>
            <c:delete val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Delta回测!$A$15:$A$16</c:f>
              <c:strCache>
                <c:ptCount val="2"/>
                <c:pt idx="0">
                  <c:v>红</c:v>
                </c:pt>
                <c:pt idx="1">
                  <c:v>黑</c:v>
                </c:pt>
              </c:strCache>
            </c:strRef>
          </c:cat>
          <c:val>
            <c:numRef>
              <c:f>Delta回测!$C$15:$C$16</c:f>
              <c:numCache>
                <c:formatCode>0.000</c:formatCode>
                <c:ptCount val="2"/>
                <c:pt idx="0">
                  <c:v>-0.325091843605606</c:v>
                </c:pt>
                <c:pt idx="1">
                  <c:v>-0.336840654586348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u="none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lblAlgn val="ctr"/>
        <c:noMultiLvlLbl val="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r>
                  <a:t>Delta_Conv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 u="none" strike="noStrike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00" b="0" i="0" u="none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000" b="0" i="0" u="none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legend>
    <c:plotVisOnly val="1"/>
    <c:dispBlanksAs val="gap"/>
  </c:chart>
</c:chartSpace>
</file>

<file path=xl/drawings/charts/chart2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i="0" u="none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阈值与有效胜率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i="0" u="none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Delta回测!$D$20</c:f>
              <c:strCache>
                <c:ptCount val="1"/>
                <c:pt idx="0">
                  <c:v>有效胜率</c:v>
                </c:pt>
              </c:strCache>
            </c:strRef>
          </c:tx>
          <c:spPr>
            <a:ln xmlns:a="http://schemas.openxmlformats.org/drawingml/2006/main" w="38100">
              <a:solidFill>
                <a:schemeClr val="accent1"/>
              </a:solidFill>
              <a:prstDash val="solid"/>
            </a:ln>
          </c:spPr>
          <c:marker>
            <c:symbol val="none"/>
          </c:marker>
          <c:dLbls>
            <c:delete val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Delta回测!$A$21:$A$31</c:f>
              <c:strCache>
                <c:ptCount val="11"/>
                <c:pt idx="0">
                  <c:v>|Delta|≤0.030</c:v>
                </c:pt>
                <c:pt idx="1">
                  <c:v>|Delta|≤0.050</c:v>
                </c:pt>
                <c:pt idx="2">
                  <c:v>|Delta|≤0.075</c:v>
                </c:pt>
                <c:pt idx="3">
                  <c:v>|Delta|≤0.100</c:v>
                </c:pt>
                <c:pt idx="4">
                  <c:v>|Delta|≤0.125</c:v>
                </c:pt>
                <c:pt idx="5">
                  <c:v>|Delta|≤0.150</c:v>
                </c:pt>
                <c:pt idx="6">
                  <c:v>|Delta|≤0.200</c:v>
                </c:pt>
                <c:pt idx="7">
                  <c:v>|Delta|≤0.250</c:v>
                </c:pt>
                <c:pt idx="8">
                  <c:v>|Delta|≤0.300</c:v>
                </c:pt>
                <c:pt idx="9">
                  <c:v>|Delta|≤0.400</c:v>
                </c:pt>
                <c:pt idx="10">
                  <c:v>全部</c:v>
                </c:pt>
              </c:strCache>
            </c:strRef>
          </c:cat>
          <c:val>
            <c:numRef>
              <c:f>Delta回测!$D$21:$D$31</c:f>
              <c:numCache>
                <c:formatCode>0.0%</c:formatCode>
                <c:ptCount val="11"/>
                <c:pt idx="0">
                  <c:v>0</c:v>
                </c:pt>
                <c:pt idx="1">
                  <c:v>0.125</c:v>
                </c:pt>
                <c:pt idx="2">
                  <c:v>0.3</c:v>
                </c:pt>
                <c:pt idx="3">
                  <c:v>0.3125</c:v>
                </c:pt>
                <c:pt idx="4">
                  <c:v>0.35</c:v>
                </c:pt>
                <c:pt idx="5">
                  <c:v>0.363636363636364</c:v>
                </c:pt>
                <c:pt idx="6">
                  <c:v>0.25</c:v>
                </c:pt>
                <c:pt idx="7">
                  <c:v>0.354166666666667</c:v>
                </c:pt>
                <c:pt idx="8">
                  <c:v>0.365384615384615</c:v>
                </c:pt>
                <c:pt idx="9">
                  <c:v>0.35</c:v>
                </c:pt>
                <c:pt idx="10">
                  <c:v>0.369565217391304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1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r>
                  <a:t>过滤规则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 u="none" strike="noStrike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u="none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lblAlgn val="ctr"/>
        <c:noMultiLvlLbl val="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r>
                  <a:t>有效胜率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 u="none" strike="noStrike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00" b="0" i="0" u="none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000" b="0" i="0" u="none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legend>
    <c:plotVisOnly val="1"/>
    <c:dispBlanksAs val="gap"/>
  </c:chart>
</c:chartSpace>
</file>

<file path=xl/drawings/drawing1.xml><?xml version="1.0" encoding="utf-8"?>
<xdr:wsDr xmlns:xdr="http://schemas.openxmlformats.org/drawingml/2006/spreadsheetDrawing">
  <xdr:oneCellAnchor>
    <xdr:from>
      <xdr:col>12</xdr:col>
      <xdr:colOff>0</xdr:colOff>
      <xdr:row>4</xdr:row>
      <xdr:rowOff>0</xdr:rowOff>
    </xdr:from>
    <xdr:ext cx="3960000" cy="252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91689147a84d31"/>
        </a:graphicData>
      </a:graphic>
    </xdr:graphicFrame>
    <xdr:clientData/>
  </xdr:oneCellAnchor>
  <xdr:oneCellAnchor>
    <xdr:from>
      <xdr:col>12</xdr:col>
      <xdr:colOff>0</xdr:colOff>
      <xdr:row>19</xdr:row>
      <xdr:rowOff>0</xdr:rowOff>
    </xdr:from>
    <xdr:ext cx="5400000" cy="2880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1b36efa65f4691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8" name="MatchLedger" displayName="MatchLedger" ref="A3:W829" totalsRowShown="0">
  <x:tableColumns count="23">
    <x:tableColumn id="1" name="日期筛选"/>
    <x:tableColumn id="2" name="比赛时间"/>
    <x:tableColumn id="3" name="地区分布"/>
    <x:tableColumn id="4" name="赛事类型"/>
    <x:tableColumn id="5" name="联赛/杯赛"/>
    <x:tableColumn id="6" name="具体比赛"/>
    <x:tableColumn id="7" name="即时主水"/>
    <x:tableColumn id="8" name="即时盘口"/>
    <x:tableColumn id="9" name="即时客水"/>
    <x:tableColumn id="10" name="即时亚盘文本"/>
    <x:tableColumn id="11" name="亚盘意图"/>
    <x:tableColumn id="12" name="投注方"/>
    <x:tableColumn id="13" name="综合胜率"/>
    <x:tableColumn id="14" name="投注动作"/>
    <x:tableColumn id="15" name="赛果"/>
    <x:tableColumn id="16" name="结算状态"/>
    <x:tableColumn id="17" name="红黑"/>
    <x:tableColumn id="18" name="投注水位"/>
    <x:tableColumn id="19" name="盈亏(u)"/>
    <x:tableColumn id="20" name="来源"/>
    <x:tableColumn id="21" name="反向红黑"/>
    <x:tableColumn id="22" name="反向水位"/>
    <x:tableColumn id="23" name="反向盈亏(u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9" name="UpdateLog" displayName="UpdateLog" ref="A3:J45" totalsRowShown="0">
  <x:tableColumns count="10">
    <x:tableColumn id="1" name="更新序号"/>
    <x:tableColumn id="2" name="记录时间"/>
    <x:tableColumn id="3" name="网页筛选日期"/>
    <x:tableColumn id="4" name="页面更新时间"/>
    <x:tableColumn id="5" name="来源"/>
    <x:tableColumn id="6" name="本次场次"/>
    <x:tableColumn id="7" name="已结算"/>
    <x:tableColumn id="8" name="待结算"/>
    <x:tableColumn id="9" name="已结算盈亏(u)"/>
    <x:tableColumn id="10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WeekdayWeekendStats" displayName="WeekdayWeekendStats" ref="A4:K12" totalsRowShown="0">
  <x:tableColumns count="11">
    <x:tableColumn id="1" name="时段"/>
    <x:tableColumn id="2" name="投注盘口"/>
    <x:tableColumn id="3" name="已结算场次"/>
    <x:tableColumn id="4" name="红"/>
    <x:tableColumn id="5" name="半红"/>
    <x:tableColumn id="6" name="走"/>
    <x:tableColumn id="7" name="半黑"/>
    <x:tableColumn id="8" name="黑"/>
    <x:tableColumn id="9" name="有效胜率"/>
    <x:tableColumn id="10" name="盈亏(u)"/>
    <x:tableColumn id="11" name="RO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WeekdayDailyStats" displayName="WeekdayDailyStats" ref="A15:K21" totalsRowShown="0">
  <x:tableColumns count="11">
    <x:tableColumn id="1" name="星期"/>
    <x:tableColumn id="2" name="覆盖日期"/>
    <x:tableColumn id="3" name="已结算场次"/>
    <x:tableColumn id="4" name="红"/>
    <x:tableColumn id="5" name="半红"/>
    <x:tableColumn id="6" name="走"/>
    <x:tableColumn id="7" name="半黑"/>
    <x:tableColumn id="8" name="黑"/>
    <x:tableColumn id="9" name="有效胜率"/>
    <x:tableColumn id="10" name="盈亏(u)"/>
    <x:tableColumn id="11" name="ROI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WeekdayCalendarStats" displayName="WeekdayCalendarStats" ref="A24:K38" totalsRowShown="0">
  <x:tableColumns count="11">
    <x:tableColumn id="1" name="日期"/>
    <x:tableColumn id="2" name="星期"/>
    <x:tableColumn id="3" name="已结算场次"/>
    <x:tableColumn id="4" name="红"/>
    <x:tableColumn id="5" name="半红"/>
    <x:tableColumn id="6" name="走"/>
    <x:tableColumn id="7" name="半黑"/>
    <x:tableColumn id="8" name="黑"/>
    <x:tableColumn id="9" name="有效胜率"/>
    <x:tableColumn id="10" name="盈亏(u)"/>
    <x:tableColumn id="11" name="ROI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trategyOverall" displayName="StrategyOverall" ref="A4:O7" totalsRowShown="0">
  <x:tableColumns count="15">
    <x:tableColumn id="1" name="组合"/>
    <x:tableColumn id="2" name="周中N"/>
    <x:tableColumn id="3" name="周中胜率"/>
    <x:tableColumn id="4" name="周中盈亏"/>
    <x:tableColumn id="5" name="周中ROI"/>
    <x:tableColumn id="6" name="周末N"/>
    <x:tableColumn id="7" name="周末胜率"/>
    <x:tableColumn id="8" name="周末盈亏"/>
    <x:tableColumn id="9" name="周末ROI"/>
    <x:tableColumn id="10" name="全周N"/>
    <x:tableColumn id="11" name="全周胜率"/>
    <x:tableColumn id="12" name="全周盈亏"/>
    <x:tableColumn id="13" name="全周ROI"/>
    <x:tableColumn id="14" name="p值"/>
    <x:tableColumn id="15" name="判断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trategyByLeague" displayName="StrategyByLeague" ref="A10:O24" totalsRowShown="0">
  <x:tableColumns count="15">
    <x:tableColumn id="1" name="联赛/国家"/>
    <x:tableColumn id="2" name="方向"/>
    <x:tableColumn id="3" name="匹配口径"/>
    <x:tableColumn id="4" name="周中N"/>
    <x:tableColumn id="5" name="周中胜率"/>
    <x:tableColumn id="6" name="周中盈亏"/>
    <x:tableColumn id="7" name="周末N"/>
    <x:tableColumn id="8" name="周末胜率"/>
    <x:tableColumn id="9" name="周末盈亏"/>
    <x:tableColumn id="10" name="全周N"/>
    <x:tableColumn id="11" name="全周胜率"/>
    <x:tableColumn id="12" name="全周盈亏"/>
    <x:tableColumn id="13" name="p值"/>
    <x:tableColumn id="14" name="判定"/>
    <x:tableColumn id="15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2574414d57d4c5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317d3ae2cb8480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3cef928b2174460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3.xml" Id="Rcf6048bc2bc64dcd" /><Relationship Type="http://schemas.openxmlformats.org/officeDocument/2006/relationships/table" Target="/xl/tables/table4.xml" Id="Rda5c47e4665a4be7" /><Relationship Type="http://schemas.openxmlformats.org/officeDocument/2006/relationships/table" Target="/xl/tables/table5.xml" Id="R3bd2c01ffa224cb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fa8c16e48823426d" /><Relationship Type="http://schemas.openxmlformats.org/officeDocument/2006/relationships/table" Target="/xl/tables/table7.xml" Id="Rce07340c44724bb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18" customWidth="1"/>
    <x:col min="2" max="2" width="54" customWidth="1"/>
    <x:col min="3" max="4" width="12" customWidth="1"/>
    <x:col min="5" max="5" width="10" customWidth="1"/>
    <x:col min="6" max="6" width="18" customWidth="1"/>
  </x:cols>
  <x:sheetData>
    <x:row r="1" ht="28" customHeight="1">
      <x:c r="A1" s="12" t="s">
        <x:v>0</x:v>
      </x:c>
    </x:row>
    <x:row r="2">
      <x:c r="A2" s="25"/>
      <x:c r="B2" s="25"/>
      <x:c r="C2" s="25"/>
      <x:c r="D2" s="25"/>
      <x:c r="E2" s="25"/>
      <x:c r="F2" s="25"/>
    </x:row>
    <x:row r="3" ht="34" customHeight="1">
      <x:c r="A3" s="66" t="s">
        <x:v>1</x:v>
      </x:c>
      <x:c r="B3" s="67" t="s">
        <x:v>2</x:v>
      </x:c>
      <x:c r="C3" s="68"/>
      <x:c r="D3" s="18" t="s">
        <x:v>3</x:v>
      </x:c>
    </x:row>
    <x:row r="4" ht="15.600000381469727">
      <x:c r="A4" s="66" t="s">
        <x:v>4</x:v>
      </x:c>
      <x:c r="B4" s="67" t="s">
        <x:v>5</x:v>
      </x:c>
      <x:c r="C4" s="68"/>
      <x:c r="D4" s="66" t="s">
        <x:v>6</x:v>
      </x:c>
      <x:c r="E4" s="66" t="s">
        <x:v>7</x:v>
      </x:c>
      <x:c r="F4" s="66" t="s">
        <x:v>8</x:v>
      </x:c>
    </x:row>
    <x:row r="5" ht="38" customHeight="1">
      <x:c r="A5" s="66" t="s">
        <x:v>9</x:v>
      </x:c>
      <x:c r="B5" s="67" t="s">
        <x:v>10</x:v>
      </x:c>
      <x:c r="C5" s="68"/>
      <x:c r="D5" s="69" t="s">
        <x:v>11</x:v>
      </x:c>
      <x:c r="E5" s="69" t="n">
        <x:f>COUNTIFS(赛事明细!$P$4:$P$1000,"已结算",赛事明细!$Q$4:$Q$1000,"红")</x:f>
        <x:v>335</x:v>
      </x:c>
      <x:c r="F5" s="69" t="s">
        <x:v>12</x:v>
      </x:c>
    </x:row>
    <x:row r="6" ht="15.600000381469727">
      <x:c r="A6" s="66" t="s">
        <x:v>13</x:v>
      </x:c>
      <x:c r="B6" s="69" t="n">
        <x:f>COUNTA(赛事明细!F4:F1000)</x:f>
        <x:v>826</x:v>
      </x:c>
      <x:c r="C6" s="68"/>
      <x:c r="D6" s="70" t="s">
        <x:v>14</x:v>
      </x:c>
      <x:c r="E6" s="70" t="n">
        <x:f>COUNTIFS(赛事明细!$P$4:$P$1000,"已结算",赛事明细!$Q$4:$Q$1000,"半红")</x:f>
        <x:v>42</x:v>
      </x:c>
      <x:c r="F6" s="70" t="s">
        <x:v>15</x:v>
      </x:c>
    </x:row>
    <x:row r="7" ht="15.600000381469727">
      <x:c r="A7" s="66" t="s">
        <x:v>16</x:v>
      </x:c>
      <x:c r="B7" s="69" t="n">
        <x:f>COUNTIF(赛事明细!P4:P1000,"已结算")</x:f>
        <x:v>816</x:v>
      </x:c>
      <x:c r="C7" s="68"/>
      <x:c r="D7" s="70" t="s">
        <x:v>17</x:v>
      </x:c>
      <x:c r="E7" s="70" t="n">
        <x:f>COUNTIFS(赛事明细!$P$4:$P$1000,"已结算",赛事明细!$Q$4:$Q$1000,"走")</x:f>
        <x:v>64</x:v>
      </x:c>
      <x:c r="F7" s="70" t="s">
        <x:v>18</x:v>
      </x:c>
    </x:row>
    <x:row r="8" ht="15.600000381469727">
      <x:c r="A8" s="66" t="s">
        <x:v>19</x:v>
      </x:c>
      <x:c r="B8" s="69" t="n">
        <x:f>B6-B7</x:f>
        <x:v>10</x:v>
      </x:c>
      <x:c r="C8" s="68"/>
      <x:c r="D8" s="70" t="s">
        <x:v>20</x:v>
      </x:c>
      <x:c r="E8" s="70" t="n">
        <x:f>COUNTIFS(赛事明细!$P$4:$P$1000,"已结算",赛事明细!$Q$4:$Q$1000,"半黑")</x:f>
        <x:v>82</x:v>
      </x:c>
      <x:c r="F8" s="70" t="s">
        <x:v>21</x:v>
      </x:c>
    </x:row>
    <x:row r="9" ht="15.600000381469727">
      <x:c r="A9" s="66" t="s">
        <x:v>22</x:v>
      </x:c>
      <x:c r="B9" s="71" t="n">
        <x:f>SUM(赛事明细!S4:S1000)</x:f>
        <x:v>-5.395000000000002</x:v>
      </x:c>
      <x:c r="C9" s="68"/>
      <x:c r="D9" s="70" t="s">
        <x:v>23</x:v>
      </x:c>
      <x:c r="E9" s="70" t="n">
        <x:f>COUNTIFS(赛事明细!$P$4:$P$1000,"已结算",赛事明细!$Q$4:$Q$1000,"黑")</x:f>
        <x:v>283</x:v>
      </x:c>
      <x:c r="F9" s="70" t="s">
        <x:v>24</x:v>
      </x:c>
    </x:row>
    <x:row r="10" ht="15.600000381469727">
      <x:c r="A10" s="66" t="s">
        <x:v>25</x:v>
      </x:c>
      <x:c r="B10" s="72" t="n">
        <x:f>IFERROR(B9/B7,0)</x:f>
        <x:v>-0.00661151960784314</x:v>
      </x:c>
      <x:c r="C10" s="68"/>
      <x:c r="D10" s="73"/>
      <x:c r="E10" s="73"/>
      <x:c r="F10" s="73"/>
    </x:row>
    <x:row r="11" ht="26" customHeight="1">
      <x:c r="A11" s="68"/>
      <x:c r="B11" s="68"/>
      <x:c r="C11" s="68"/>
      <x:c r="D11" s="74" t="s">
        <x:v>26</x:v>
      </x:c>
    </x:row>
    <x:row r="12" ht="26" customHeight="1">
      <x:c r="A12" s="68"/>
      <x:c r="B12" s="68"/>
      <x:c r="C12" s="68"/>
    </x:row>
    <x:row r="13" ht="26" customHeight="1">
      <x:c r="A13" s="68"/>
      <x:c r="B13" s="68"/>
      <x:c r="C13" s="68"/>
    </x:row>
    <x:row r="14" ht="26" customHeight="1">
      <x:c r="A14" s="68"/>
      <x:c r="B14" s="68"/>
      <x:c r="C14" s="68"/>
    </x:row>
    <x:row r="16" ht="27" customHeight="1">
      <x:c r="A16" s="38" t="s">
        <x:v>27</x:v>
      </x:c>
      <x:c r="B16" s="38"/>
      <x:c r="C16" s="38"/>
      <x:c r="D16" s="38"/>
      <x:c r="E16" s="38"/>
      <x:c r="F16" s="38"/>
    </x:row>
    <x:row r="17" ht="26" customHeight="1">
      <x:c r="A17" s="40" t="s">
        <x:v>28</x:v>
      </x:c>
      <x:c r="B17" s="40" t="s">
        <x:v>29</x:v>
      </x:c>
      <x:c r="C17" s="40" t="s">
        <x:v>30</x:v>
      </x:c>
      <x:c r="D17" s="40" t="s">
        <x:v>31</x:v>
      </x:c>
      <x:c r="E17" s="40" t="s">
        <x:v>32</x:v>
      </x:c>
      <x:c r="F17" s="40" t="s">
        <x:v>25</x:v>
      </x:c>
    </x:row>
    <x:row r="18" ht="24" customHeight="1">
      <x:c r="A18" s="41" t="s">
        <x:v>33</x:v>
      </x:c>
      <x:c r="B18" s="41" t="n">
        <x:f>COUNTIF(赛事明细!$A$4:$A$1000,A18)</x:f>
        <x:v>10</x:v>
      </x:c>
      <x:c r="C18" s="41" t="n">
        <x:f>COUNTIFS(赛事明细!$A$4:$A$1000,A18,赛事明细!$P$4:$P$1000,"已结算")</x:f>
        <x:v>10</x:v>
      </x:c>
      <x:c r="D18" s="75" t="n">
        <x:f>IF(C18=0,"",IFERROR((COUNTIFS(赛事明细!$A$4:$A$1000,A18,赛事明细!$P$4:$P$1000,"已结算",赛事明细!$Q$4:$Q$1000,"红")+0.5*COUNTIFS(赛事明细!$A$4:$A$1000,A18,赛事明细!$P$4:$P$1000,"已结算",赛事明细!$Q$4:$Q$1000,"半红"))/(COUNTIFS(赛事明细!$A$4:$A$1000,A18,赛事明细!$P$4:$P$1000,"已结算",赛事明细!$Q$4:$Q$1000,"红")+0.5*COUNTIFS(赛事明细!$A$4:$A$1000,A18,赛事明细!$P$4:$P$1000,"已结算",赛事明细!$Q$4:$Q$1000,"半红")+COUNTIFS(赛事明细!$A$4:$A$1000,A18,赛事明细!$P$4:$P$1000,"已结算",赛事明细!$Q$4:$Q$1000,"黑")+0.5*COUNTIFS(赛事明细!$A$4:$A$1000,A18,赛事明细!$P$4:$P$1000,"已结算",赛事明细!$Q$4:$Q$1000,"半黑")),""))</x:f>
        <x:v>0.4444444444444444</x:v>
      </x:c>
      <x:c r="E18" s="43" t="n">
        <x:f>SUMIFS(赛事明细!$S$4:$S$1000,赛事明细!$A$4:$A$1000,A18,赛事明细!$P$4:$P$1000,"已结算")</x:f>
        <x:v>-1.4899999999999998</x:v>
      </x:c>
      <x:c r="F18" s="75" t="n">
        <x:f>IF(C18=0,"",IFERROR(E18/C18,""))</x:f>
        <x:v>-0.14899999999999997</x:v>
      </x:c>
    </x:row>
    <x:row r="19" ht="24" customHeight="1"/>
    <x:row r="20" ht="42" customHeight="1">
      <x:c r="A20" s="76" t="s">
        <x:v>34</x:v>
      </x:c>
      <x:c r="B20" s="76"/>
      <x:c r="C20" s="76"/>
      <x:c r="D20" s="76"/>
      <x:c r="E20" s="76"/>
      <x:c r="F20" s="76"/>
    </x:row>
    <x:row r="21" ht="24" customHeight="1"/>
    <x:row r="23" ht="42" customHeight="1">
      <x:c r="A23" s="77" t="s">
        <x:v>34</x:v>
      </x:c>
    </x:row>
  </x:sheetData>
  <x:mergeCells>
    <x:mergeCell ref="A1:F1"/>
    <x:mergeCell ref="D3:F3"/>
    <x:mergeCell ref="A16:F16"/>
    <x:mergeCell ref="A20:F20"/>
    <x:mergeCell ref="A23:F23"/>
    <x:mergeCell ref="D11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13" customWidth="1"/>
    <x:col min="2" max="2" width="19" customWidth="1"/>
    <x:col min="3" max="3" width="23" customWidth="1"/>
    <x:col min="4" max="5" width="11" customWidth="1"/>
    <x:col min="6" max="6" width="30" customWidth="1"/>
    <x:col min="7" max="9" width="10" customWidth="1"/>
    <x:col min="10" max="10" width="19" customWidth="1"/>
    <x:col min="11" max="12" width="18" customWidth="1"/>
    <x:col min="13" max="13" width="11" customWidth="1"/>
    <x:col min="14" max="14" width="26" customWidth="1"/>
    <x:col min="15" max="16" width="12" customWidth="1"/>
    <x:col min="17" max="17" width="10" customWidth="1"/>
    <x:col min="18" max="19" width="11" customWidth="1"/>
    <x:col min="20" max="20" width="37" customWidth="1"/>
    <x:col min="21" max="23" width="11" customWidth="1"/>
    <x:col min="24" max="42" width="15" customWidth="1"/>
    <x:col min="43" max="43" width="18" customWidth="1"/>
    <x:col min="44" max="49" width="15" customWidth="1"/>
    <x:col min="50" max="50" width="38" customWidth="1"/>
    <x:col min="51" max="51" width="24" customWidth="1"/>
  </x:cols>
  <x:sheetData>
    <x:row r="1" ht="28" customHeight="1">
      <x:c r="A1" s="1" t="s">
        <x:v>35</x:v>
      </x:c>
    </x:row>
    <x:row r="2" ht="32" customHeight="1">
      <x:c r="A2" s="28" t="s">
        <x:v>36</x:v>
      </x:c>
    </x:row>
    <x:row r="3" ht="32" customHeight="1">
      <x:c r="A3" s="51" t="s">
        <x:v>37</x:v>
      </x:c>
      <x:c r="B3" s="51" t="s">
        <x:v>38</x:v>
      </x:c>
      <x:c r="C3" s="51" t="s">
        <x:v>39</x:v>
      </x:c>
      <x:c r="D3" s="51" t="s">
        <x:v>40</x:v>
      </x:c>
      <x:c r="E3" s="51" t="s">
        <x:v>41</x:v>
      </x:c>
      <x:c r="F3" s="51" t="s">
        <x:v>42</x:v>
      </x:c>
      <x:c r="G3" s="51" t="s">
        <x:v>43</x:v>
      </x:c>
      <x:c r="H3" s="51" t="s">
        <x:v>44</x:v>
      </x:c>
      <x:c r="I3" s="51" t="s">
        <x:v>45</x:v>
      </x:c>
      <x:c r="J3" s="51" t="s">
        <x:v>46</x:v>
      </x:c>
      <x:c r="K3" s="51" t="s">
        <x:v>47</x:v>
      </x:c>
      <x:c r="L3" s="51" t="s">
        <x:v>48</x:v>
      </x:c>
      <x:c r="M3" s="51" t="s">
        <x:v>49</x:v>
      </x:c>
      <x:c r="N3" s="51" t="s">
        <x:v>50</x:v>
      </x:c>
      <x:c r="O3" s="51" t="s">
        <x:v>51</x:v>
      </x:c>
      <x:c r="P3" s="51" t="s">
        <x:v>52</x:v>
      </x:c>
      <x:c r="Q3" s="51" t="s">
        <x:v>53</x:v>
      </x:c>
      <x:c r="R3" s="51" t="s">
        <x:v>54</x:v>
      </x:c>
      <x:c r="S3" s="51" t="s">
        <x:v>32</x:v>
      </x:c>
      <x:c r="T3" s="51" t="s">
        <x:v>55</x:v>
      </x:c>
      <x:c r="U3" s="51" t="s">
        <x:v>56</x:v>
      </x:c>
      <x:c r="V3" s="51" t="s">
        <x:v>57</x:v>
      </x:c>
      <x:c r="W3" s="51" t="s">
        <x:v>58</x:v>
      </x:c>
      <x:c r="X3" s="52" t="s">
        <x:v>59</x:v>
      </x:c>
      <x:c r="Y3" s="52" t="s">
        <x:v>60</x:v>
      </x:c>
      <x:c r="Z3" s="52" t="s">
        <x:v>61</x:v>
      </x:c>
      <x:c r="AA3" s="52" t="s">
        <x:v>62</x:v>
      </x:c>
      <x:c r="AB3" s="52" t="s">
        <x:v>63</x:v>
      </x:c>
      <x:c r="AC3" s="52" t="s">
        <x:v>64</x:v>
      </x:c>
      <x:c r="AD3" s="52" t="s">
        <x:v>65</x:v>
      </x:c>
      <x:c r="AE3" s="52" t="s">
        <x:v>66</x:v>
      </x:c>
      <x:c r="AF3" s="52" t="s">
        <x:v>67</x:v>
      </x:c>
      <x:c r="AG3" s="52" t="s">
        <x:v>68</x:v>
      </x:c>
      <x:c r="AH3" s="52" t="s">
        <x:v>69</x:v>
      </x:c>
      <x:c r="AI3" s="52" t="s">
        <x:v>70</x:v>
      </x:c>
      <x:c r="AJ3" s="52" t="s">
        <x:v>71</x:v>
      </x:c>
      <x:c r="AK3" s="52" t="s">
        <x:v>72</x:v>
      </x:c>
      <x:c r="AL3" s="52" t="s">
        <x:v>73</x:v>
      </x:c>
      <x:c r="AM3" s="52" t="s">
        <x:v>74</x:v>
      </x:c>
      <x:c r="AN3" s="52" t="s">
        <x:v>75</x:v>
      </x:c>
      <x:c r="AO3" s="52" t="s">
        <x:v>76</x:v>
      </x:c>
      <x:c r="AP3" s="52" t="s">
        <x:v>77</x:v>
      </x:c>
      <x:c r="AQ3" s="52" t="s">
        <x:v>78</x:v>
      </x:c>
      <x:c r="AR3" s="52" t="s">
        <x:v>79</x:v>
      </x:c>
      <x:c r="AS3" s="52" t="s">
        <x:v>80</x:v>
      </x:c>
      <x:c r="AT3" s="52" t="s">
        <x:v>81</x:v>
      </x:c>
      <x:c r="AU3" s="52" t="s">
        <x:v>82</x:v>
      </x:c>
      <x:c r="AV3" s="52" t="s">
        <x:v>83</x:v>
      </x:c>
      <x:c r="AW3" s="52" t="s">
        <x:v>84</x:v>
      </x:c>
      <x:c r="AX3" s="52" t="s">
        <x:v>85</x:v>
      </x:c>
      <x:c r="AY3" s="52" t="s">
        <x:v>86</x:v>
      </x:c>
    </x:row>
    <x:row r="4" ht="22" customHeight="1">
      <x:c r="A4" s="53" t="s">
        <x:v>87</x:v>
      </x:c>
      <x:c r="B4" s="53" t="s">
        <x:v>88</x:v>
      </x:c>
      <x:c r="C4" s="53" t="s">
        <x:v>89</x:v>
      </x:c>
      <x:c r="D4" s="53" t="s">
        <x:v>90</x:v>
      </x:c>
      <x:c r="E4" s="53" t="s">
        <x:v>91</x:v>
      </x:c>
      <x:c r="F4" s="54" t="s">
        <x:v>92</x:v>
      </x:c>
      <x:c r="G4" s="54">
        <x:v>0.74</x:v>
      </x:c>
      <x:c r="H4" s="54">
        <x:v>-1.75</x:v>
      </x:c>
      <x:c r="I4" s="54">
        <x:v>0.96</x:v>
      </x:c>
      <x:c r="J4" s="53" t="s">
        <x:v>93</x:v>
      </x:c>
      <x:c r="K4" s="53" t="s">
        <x:v>94</x:v>
      </x:c>
      <x:c r="L4" s="55" t="s">
        <x:v>95</x:v>
      </x:c>
      <x:c r="M4" s="55">
        <x:v>0.565</x:v>
      </x:c>
      <x:c r="N4" s="53" t="s">
        <x:v>96</x:v>
      </x:c>
      <x:c r="O4" s="53" t="s">
        <x:v>97</x:v>
      </x:c>
      <x:c r="P4" s="53" t="s">
        <x:v>30</x:v>
      </x:c>
      <x:c r="Q4" s="56" t="s">
        <x:v>11</x:v>
      </x:c>
      <x:c r="R4" s="56">
        <x:v>0.96</x:v>
      </x:c>
      <x:c r="S4" s="56" t="n">
        <x:f t="shared" ref="S4:S67" si="0">IF(OR(Q4="",Q4="待结算"),"",IF(Q4="红",R4,IF(Q4="半红",R4*0.5,IF(Q4="走",0,IF(Q4="半黑",-0.5,-1)))))</x:f>
        <x:v>0.96</x:v>
      </x:c>
      <x:c r="T4" s="53" t="s">
        <x:v>98</x:v>
      </x:c>
      <x:c r="U4" s="53" t="str">
        <x:f t="shared" ref="U4:U35" si="1">IF(Q4="","",IF(Q4="待结算","待结算",IF(Q4="红","黑",IF(Q4="半红","半黑",IF(Q4="走","走",IF(Q4="半黑","半红","红"))))))</x:f>
        <x:v>黑</x:v>
      </x:c>
      <x:c r="V4" s="56" t="n">
        <x:f t="shared" ref="V4:V35" si="2">IF(OR(Q4="",Q4="待结算"),"",IF(L4=LEFT(F4,FIND(" vs ",F4)-1),I4,G4))</x:f>
        <x:v>0.74</x:v>
      </x:c>
      <x:c r="W4" s="56" t="n">
        <x:f t="shared" ref="W4:W67" si="3">IF(OR(U4="",U4="待结算"),"",IF(U4="红",V4,IF(U4="半红",V4*0.5,IF(U4="走",0,IF(U4="半黑",-0.5,-1)))))</x:f>
        <x:v>-1</x:v>
      </x:c>
      <x:c r="X4" s="57">
        <x:v>0.79</x:v>
      </x:c>
      <x:c r="Y4" s="57">
        <x:v>-1.5</x:v>
      </x:c>
      <x:c r="Z4" s="57">
        <x:v>0.91</x:v>
      </x:c>
      <x:c r="AA4" s="57">
        <x:v>-1.5</x:v>
      </x:c>
      <x:c r="AB4" s="57">
        <x:v>0.91</x:v>
      </x:c>
      <x:c r="AC4" s="57">
        <x:v>0.96</x:v>
      </x:c>
      <x:c r="AD4" s="57">
        <x:v>7.88</x:v>
      </x:c>
      <x:c r="AE4" s="57">
        <x:v>4.93</x:v>
      </x:c>
      <x:c r="AF4" s="57">
        <x:v>1.28</x:v>
      </x:c>
      <x:c r="AG4" s="58">
        <x:v>0.110993309891784</x:v>
      </x:c>
      <x:c r="AH4" s="58">
        <x:v>0.0609933098917844</x:v>
      </x:c>
      <x:c r="AI4" s="58">
        <x:v>0.114225308262075</x:v>
      </x:c>
      <x:c r="AJ4" s="58">
        <x:v>0.182575137749524</x:v>
      </x:c>
      <x:c r="AK4" s="58">
        <x:v>0.703199553988401</x:v>
      </x:c>
      <x:c r="AL4" s="57">
        <x:v>0.75</x:v>
      </x:c>
      <x:c r="AM4" s="57">
        <x:v>2.19</x:v>
      </x:c>
      <x:c r="AN4" s="57">
        <x:v>0.000216147213896626</x:v>
      </x:c>
      <x:c r="AO4" s="57">
        <x:v>1.50648189813399</x:v>
      </x:c>
      <x:c r="AP4" s="57">
        <x:v>-0.546481898133994</x:v>
      </x:c>
      <x:c r="AQ4" s="59" t="s">
        <x:v>99</x:v>
      </x:c>
      <x:c r="AR4" s="57">
        <x:v>-1.75</x:v>
      </x:c>
      <x:c r="AS4" s="57">
        <x:v>0.356653905160698</x:v>
      </x:c>
      <x:c r="AT4" s="57">
        <x:v>0.53729265202339</x:v>
      </x:c>
      <x:c r="AU4" s="57">
        <x:v>8.19</x:v>
      </x:c>
      <x:c r="AV4" s="57">
        <x:v>5.25</x:v>
      </x:c>
      <x:c r="AW4" s="57">
        <x:v>1.26</x:v>
      </x:c>
      <x:c r="AX4" s="59" t="s">
        <x:v>100</x:v>
      </x:c>
      <x:c r="AY4" s="59" t="s">
        <x:v>101</x:v>
      </x:c>
    </x:row>
    <x:row r="5" ht="22" customHeight="1">
      <x:c r="A5" s="53" t="s">
        <x:v>87</x:v>
      </x:c>
      <x:c r="B5" s="53" t="s">
        <x:v>102</x:v>
      </x:c>
      <x:c r="C5" s="53" t="s">
        <x:v>89</x:v>
      </x:c>
      <x:c r="D5" s="53" t="s">
        <x:v>90</x:v>
      </x:c>
      <x:c r="E5" s="53" t="s">
        <x:v>103</x:v>
      </x:c>
      <x:c r="F5" s="54" t="s">
        <x:v>104</x:v>
      </x:c>
      <x:c r="G5" s="54">
        <x:v>0.89</x:v>
      </x:c>
      <x:c r="H5" s="54">
        <x:v>-0.5</x:v>
      </x:c>
      <x:c r="I5" s="54">
        <x:v>0.81</x:v>
      </x:c>
      <x:c r="J5" s="53" t="s">
        <x:v>105</x:v>
      </x:c>
      <x:c r="K5" s="53" t="s">
        <x:v>106</x:v>
      </x:c>
      <x:c r="L5" s="55" t="s">
        <x:v>107</x:v>
      </x:c>
      <x:c r="M5" s="55">
        <x:v>0.598</x:v>
      </x:c>
      <x:c r="N5" s="53" t="s">
        <x:v>96</x:v>
      </x:c>
      <x:c r="O5" s="53" t="s">
        <x:v>108</x:v>
      </x:c>
      <x:c r="P5" s="53" t="s">
        <x:v>30</x:v>
      </x:c>
      <x:c r="Q5" s="56" t="s">
        <x:v>23</x:v>
      </x:c>
      <x:c r="R5" s="56">
        <x:v>0.81</x:v>
      </x:c>
      <x:c r="S5" s="56">
        <x:f t="shared" si="0"/>
        <x:v>-1</x:v>
      </x:c>
      <x:c r="T5" s="53" t="s">
        <x:v>98</x:v>
      </x:c>
      <x:c r="U5" s="53" t="str">
        <x:f t="shared" si="1"/>
        <x:v>红</x:v>
      </x:c>
      <x:c r="V5" s="56">
        <x:f t="shared" si="2"/>
        <x:v>0.89</x:v>
      </x:c>
      <x:c r="W5" s="56">
        <x:f t="shared" si="3"/>
        <x:v>0.89</x:v>
      </x:c>
      <x:c r="X5" s="57">
        <x:v>0.74</x:v>
      </x:c>
      <x:c r="Y5" s="57">
        <x:v>-0.5</x:v>
      </x:c>
      <x:c r="Z5" s="57">
        <x:v>0.96</x:v>
      </x:c>
      <x:c r="AA5" s="57">
        <x:v>-0.5</x:v>
      </x:c>
      <x:c r="AB5" s="57">
        <x:v>0.96</x:v>
      </x:c>
      <x:c r="AC5" s="57">
        <x:v>0.81</x:v>
      </x:c>
      <x:c r="AD5" s="57">
        <x:v>3.41</x:v>
      </x:c>
      <x:c r="AE5" s="57">
        <x:v>3.83</x:v>
      </x:c>
      <x:c r="AF5" s="57">
        <x:v>1.85</x:v>
      </x:c>
      <x:c r="AG5" s="58">
        <x:v>0.0948922782494752</x:v>
      </x:c>
      <x:c r="AH5" s="58">
        <x:v>0.0448922782494752</x:v>
      </x:c>
      <x:c r="AI5" s="58">
        <x:v>0.267839254865939</x:v>
      </x:c>
      <x:c r="AJ5" s="58">
        <x:v>0.238467848327115</x:v>
      </x:c>
      <x:c r="AK5" s="58">
        <x:v>0.493692896806946</x:v>
      </x:c>
      <x:c r="AL5" s="57">
        <x:v>1.2</x:v>
      </x:c>
      <x:c r="AM5" s="57">
        <x:v>1.71</x:v>
      </x:c>
      <x:c r="AN5" s="57">
        <x:v>0.00032959436059833</x:v>
      </x:c>
      <x:c r="AO5" s="57">
        <x:v>1.02727507463988</x:v>
      </x:c>
      <x:c r="AP5" s="57">
        <x:v>-0.217275074639875</x:v>
      </x:c>
      <x:c r="AQ5" s="59" t="s">
        <x:v>99</x:v>
      </x:c>
      <x:c r="AR5" s="57">
        <x:v>-0.5</x:v>
      </x:c>
      <x:c r="AS5" s="57">
        <x:v>0.493272971443029</x:v>
      </x:c>
      <x:c r="AT5" s="57">
        <x:v>0.506727028556971</x:v>
      </x:c>
      <x:c r="AU5" s="57">
        <x:v>2.99</x:v>
      </x:c>
      <x:c r="AV5" s="57">
        <x:v>3.7</x:v>
      </x:c>
      <x:c r="AW5" s="57">
        <x:v>2.01</x:v>
      </x:c>
      <x:c r="AX5" s="59" t="s">
        <x:v>100</x:v>
      </x:c>
      <x:c r="AY5" s="59" t="s">
        <x:v>101</x:v>
      </x:c>
    </x:row>
    <x:row r="6" ht="22" customHeight="1">
      <x:c r="A6" s="53" t="s">
        <x:v>87</x:v>
      </x:c>
      <x:c r="B6" s="53" t="s">
        <x:v>102</x:v>
      </x:c>
      <x:c r="C6" s="53" t="s">
        <x:v>109</x:v>
      </x:c>
      <x:c r="D6" s="53" t="s">
        <x:v>90</x:v>
      </x:c>
      <x:c r="E6" s="53" t="s">
        <x:v>110</x:v>
      </x:c>
      <x:c r="F6" s="54" t="s">
        <x:v>111</x:v>
      </x:c>
      <x:c r="G6" s="54">
        <x:v>0.82</x:v>
      </x:c>
      <x:c r="H6" s="54">
        <x:v>0.25</x:v>
      </x:c>
      <x:c r="I6" s="54">
        <x:v>1.07</x:v>
      </x:c>
      <x:c r="J6" s="53" t="s">
        <x:v>112</x:v>
      </x:c>
      <x:c r="K6" s="53" t="s">
        <x:v>106</x:v>
      </x:c>
      <x:c r="L6" s="55" t="s">
        <x:v>113</x:v>
      </x:c>
      <x:c r="M6" s="55">
        <x:v>0.588</x:v>
      </x:c>
      <x:c r="N6" s="53" t="s">
        <x:v>96</x:v>
      </x:c>
      <x:c r="O6" s="53" t="s">
        <x:v>114</x:v>
      </x:c>
      <x:c r="P6" s="53" t="s">
        <x:v>30</x:v>
      </x:c>
      <x:c r="Q6" s="56" t="s">
        <x:v>23</x:v>
      </x:c>
      <x:c r="R6" s="56">
        <x:v>0.82</x:v>
      </x:c>
      <x:c r="S6" s="56">
        <x:f t="shared" si="0"/>
        <x:v>-1</x:v>
      </x:c>
      <x:c r="T6" s="53" t="s">
        <x:v>98</x:v>
      </x:c>
      <x:c r="U6" s="53" t="str">
        <x:f t="shared" si="1"/>
        <x:v>红</x:v>
      </x:c>
      <x:c r="V6" s="56">
        <x:f t="shared" si="2"/>
        <x:v>1.07</x:v>
      </x:c>
      <x:c r="W6" s="56">
        <x:f t="shared" si="3"/>
        <x:v>1.07</x:v>
      </x:c>
      <x:c r="X6" s="57">
        <x:v>0.87</x:v>
      </x:c>
      <x:c r="Y6" s="57">
        <x:v>0.25</x:v>
      </x:c>
      <x:c r="Z6" s="57">
        <x:v>1.01</x:v>
      </x:c>
      <x:c r="AA6" s="57">
        <x:v>-0.25</x:v>
      </x:c>
      <x:c r="AB6" s="57">
        <x:v>0.87</x:v>
      </x:c>
      <x:c r="AC6" s="57">
        <x:v>0.82</x:v>
      </x:c>
      <x:c r="AD6" s="57">
        <x:v>2.07</x:v>
      </x:c>
      <x:c r="AE6" s="57">
        <x:v>3.22</x:v>
      </x:c>
      <x:c r="AF6" s="57">
        <x:v>3.51</x:v>
      </x:c>
      <x:c r="AG6" s="58">
        <x:v>0.0785510785510786</x:v>
      </x:c>
      <x:c r="AH6" s="58">
        <x:v>0.0285510785510786</x:v>
      </x:c>
      <x:c r="AI6" s="58">
        <x:v>0.447908121410993</x:v>
      </x:c>
      <x:c r="AJ6" s="58">
        <x:v>0.287940935192781</x:v>
      </x:c>
      <x:c r="AK6" s="58">
        <x:v>0.264150943396226</x:v>
      </x:c>
      <x:c r="AL6" s="57">
        <x:v>1.26</x:v>
      </x:c>
      <x:c r="AM6" s="57">
        <x:v>0.9</x:v>
      </x:c>
      <x:c r="AN6" s="57">
        <x:v>0.000932723595482343</x:v>
      </x:c>
      <x:c r="AO6" s="57">
        <x:v>0.916228460334715</x:v>
      </x:c>
      <x:c r="AP6" s="57">
        <x:v>-0.0962284603347155</x:v>
      </x:c>
      <x:c r="AQ6" s="59" t="s">
        <x:v>99</x:v>
      </x:c>
      <x:c r="AR6" s="57">
        <x:v>-0.25</x:v>
      </x:c>
      <x:c r="AS6" s="57">
        <x:v>0.446659238446295</x:v>
      </x:c>
      <x:c r="AT6" s="57">
        <x:v>0.409241906335926</x:v>
      </x:c>
      <x:c r="AU6" s="57">
        <x:v>2.11</x:v>
      </x:c>
      <x:c r="AV6" s="57">
        <x:v>3.22</x:v>
      </x:c>
      <x:c r="AW6" s="57">
        <x:v>3.55</x:v>
      </x:c>
      <x:c r="AX6" s="59" t="s">
        <x:v>100</x:v>
      </x:c>
      <x:c r="AY6" s="59" t="s">
        <x:v>101</x:v>
      </x:c>
    </x:row>
    <x:row r="7" ht="22" customHeight="1">
      <x:c r="A7" s="53" t="s">
        <x:v>87</x:v>
      </x:c>
      <x:c r="B7" s="53" t="s">
        <x:v>115</x:v>
      </x:c>
      <x:c r="C7" s="53" t="s">
        <x:v>89</x:v>
      </x:c>
      <x:c r="D7" s="53" t="s">
        <x:v>116</x:v>
      </x:c>
      <x:c r="E7" s="53" t="s">
        <x:v>117</x:v>
      </x:c>
      <x:c r="F7" s="54" t="s">
        <x:v>118</x:v>
      </x:c>
      <x:c r="G7" s="54">
        <x:v>0.97</x:v>
      </x:c>
      <x:c r="H7" s="54">
        <x:v>-1</x:v>
      </x:c>
      <x:c r="I7" s="54">
        <x:v>0.89</x:v>
      </x:c>
      <x:c r="J7" s="53" t="s">
        <x:v>119</x:v>
      </x:c>
      <x:c r="K7" s="53" t="s">
        <x:v>94</x:v>
      </x:c>
      <x:c r="L7" s="55" t="s">
        <x:v>120</x:v>
      </x:c>
      <x:c r="M7" s="55">
        <x:v>0.565</x:v>
      </x:c>
      <x:c r="N7" s="53" t="s">
        <x:v>96</x:v>
      </x:c>
      <x:c r="O7" s="53" t="s">
        <x:v>114</x:v>
      </x:c>
      <x:c r="P7" s="53" t="s">
        <x:v>30</x:v>
      </x:c>
      <x:c r="Q7" s="56" t="s">
        <x:v>11</x:v>
      </x:c>
      <x:c r="R7" s="56">
        <x:v>0.89</x:v>
      </x:c>
      <x:c r="S7" s="56">
        <x:f t="shared" si="0"/>
        <x:v>0.89</x:v>
      </x:c>
      <x:c r="T7" s="53" t="s">
        <x:v>98</x:v>
      </x:c>
      <x:c r="U7" s="53" t="str">
        <x:f t="shared" si="1"/>
        <x:v>黑</x:v>
      </x:c>
      <x:c r="V7" s="56">
        <x:f t="shared" si="2"/>
        <x:v>0.97</x:v>
      </x:c>
      <x:c r="W7" s="56">
        <x:f t="shared" si="3"/>
        <x:v>-1</x:v>
      </x:c>
      <x:c r="X7" s="57">
        <x:v>0.98</x:v>
      </x:c>
      <x:c r="Y7" s="57">
        <x:v>-0.75</x:v>
      </x:c>
      <x:c r="Z7" s="57">
        <x:v>0.78</x:v>
      </x:c>
      <x:c r="AA7" s="57">
        <x:v>-0.75</x:v>
      </x:c>
      <x:c r="AB7" s="57">
        <x:v>0.78</x:v>
      </x:c>
      <x:c r="AC7" s="57">
        <x:v>0.89</x:v>
      </x:c>
      <x:c r="AD7" s="57">
        <x:v>5.05</x:v>
      </x:c>
      <x:c r="AE7" s="57">
        <x:v>3.82</x:v>
      </x:c>
      <x:c r="AF7" s="57">
        <x:v>1.57</x:v>
      </x:c>
      <x:c r="AG7" s="58">
        <x:v>0.0967425818514756</x:v>
      </x:c>
      <x:c r="AH7" s="58">
        <x:v>0.0467425818514755</x:v>
      </x:c>
      <x:c r="AI7" s="58">
        <x:v>0.18055267047798</x:v>
      </x:c>
      <x:c r="AJ7" s="58">
        <x:v>0.23868873976801</x:v>
      </x:c>
      <x:c r="AK7" s="58">
        <x:v>0.580758589754011</x:v>
      </x:c>
      <x:c r="AL7" s="57">
        <x:v>0.83</x:v>
      </x:c>
      <x:c r="AM7" s="57">
        <x:v>1.7</x:v>
      </x:c>
      <x:c r="AN7" s="57">
        <x:v>0.000391834636110093</x:v>
      </x:c>
      <x:c r="AO7" s="57">
        <x:v>1.29452419844511</x:v>
      </x:c>
      <x:c r="AP7" s="57">
        <x:v>-0.404524198445106</x:v>
      </x:c>
      <x:c r="AQ7" s="59" t="s">
        <x:v>99</x:v>
      </x:c>
      <x:c r="AR7" s="57">
        <x:v>-1</x:v>
      </x:c>
      <x:c r="AS7" s="57">
        <x:v>0.324135064345254</x:v>
      </x:c>
      <x:c r="AT7" s="57">
        <x:v>0.419600684359492</x:v>
      </x:c>
      <x:c r="AU7" s="57">
        <x:v>5.2</x:v>
      </x:c>
      <x:c r="AV7" s="57">
        <x:v>4.08</x:v>
      </x:c>
      <x:c r="AW7" s="57">
        <x:v>1.52</x:v>
      </x:c>
      <x:c r="AX7" s="59" t="s">
        <x:v>100</x:v>
      </x:c>
      <x:c r="AY7" s="59" t="s">
        <x:v>101</x:v>
      </x:c>
    </x:row>
    <x:row r="8" ht="22" customHeight="1">
      <x:c r="A8" s="53" t="s">
        <x:v>87</x:v>
      </x:c>
      <x:c r="B8" s="53" t="s">
        <x:v>121</x:v>
      </x:c>
      <x:c r="C8" s="53" t="s">
        <x:v>89</x:v>
      </x:c>
      <x:c r="D8" s="53" t="s">
        <x:v>116</x:v>
      </x:c>
      <x:c r="E8" s="53" t="s">
        <x:v>122</x:v>
      </x:c>
      <x:c r="F8" s="54" t="s">
        <x:v>123</x:v>
      </x:c>
      <x:c r="G8" s="54">
        <x:v>1.06</x:v>
      </x:c>
      <x:c r="H8" s="54">
        <x:v>-0.25</x:v>
      </x:c>
      <x:c r="I8" s="54">
        <x:v>0.82</x:v>
      </x:c>
      <x:c r="J8" s="53" t="s">
        <x:v>124</x:v>
      </x:c>
      <x:c r="K8" s="53" t="s">
        <x:v>106</x:v>
      </x:c>
      <x:c r="L8" s="55" t="s">
        <x:v>125</x:v>
      </x:c>
      <x:c r="M8" s="55">
        <x:v>0.598</x:v>
      </x:c>
      <x:c r="N8" s="53" t="s">
        <x:v>96</x:v>
      </x:c>
      <x:c r="O8" s="53" t="s">
        <x:v>126</x:v>
      </x:c>
      <x:c r="P8" s="53" t="s">
        <x:v>30</x:v>
      </x:c>
      <x:c r="Q8" s="56" t="s">
        <x:v>20</x:v>
      </x:c>
      <x:c r="R8" s="56">
        <x:v>0.82</x:v>
      </x:c>
      <x:c r="S8" s="56">
        <x:f t="shared" si="0"/>
        <x:v>-0.5</x:v>
      </x:c>
      <x:c r="T8" s="53" t="s">
        <x:v>98</x:v>
      </x:c>
      <x:c r="U8" s="53" t="str">
        <x:f t="shared" si="1"/>
        <x:v>半红</x:v>
      </x:c>
      <x:c r="V8" s="56">
        <x:f t="shared" si="2"/>
        <x:v>1.06</x:v>
      </x:c>
      <x:c r="W8" s="56">
        <x:f t="shared" si="3"/>
        <x:v>0.53</x:v>
      </x:c>
      <x:c r="X8" s="57">
        <x:v>0.83</x:v>
      </x:c>
      <x:c r="Y8" s="57">
        <x:v>-0.25</x:v>
      </x:c>
      <x:c r="Z8" s="57">
        <x:v>0.99</x:v>
      </x:c>
      <x:c r="AA8" s="57">
        <x:v>-0.25</x:v>
      </x:c>
      <x:c r="AB8" s="57">
        <x:v>0.99</x:v>
      </x:c>
      <x:c r="AC8" s="57">
        <x:v>0.82</x:v>
      </x:c>
      <x:c r="AD8" s="57">
        <x:v>2.67</x:v>
      </x:c>
      <x:c r="AE8" s="57">
        <x:v>4.01</x:v>
      </x:c>
      <x:c r="AF8" s="57">
        <x:v>2.1</x:v>
      </x:c>
      <x:c r="AG8" s="58">
        <x:v>0.10009886999996</x:v>
      </x:c>
      <x:c r="AH8" s="58">
        <x:v>0.0500988699999601</x:v>
      </x:c>
      <x:c r="AI8" s="58">
        <x:v>0.340452886026513</x:v>
      </x:c>
      <x:c r="AJ8" s="58">
        <x:v>0.226685587454063</x:v>
      </x:c>
      <x:c r="AK8" s="58">
        <x:v>0.432861526519424</x:v>
      </x:c>
      <x:c r="AL8" s="57">
        <x:v>1.57</x:v>
      </x:c>
      <x:c r="AM8" s="57">
        <x:v>1.79</x:v>
      </x:c>
      <x:c r="AN8" s="57">
        <x:v>0.000270148946624056</x:v>
      </x:c>
      <x:c r="AO8" s="57">
        <x:v>1.04971383511937</x:v>
      </x:c>
      <x:c r="AP8" s="57">
        <x:v>-0.229713835119368</x:v>
      </x:c>
      <x:c r="AQ8" s="59" t="s">
        <x:v>99</x:v>
      </x:c>
      <x:c r="AR8" s="57">
        <x:v>-0.25</x:v>
      </x:c>
      <x:c r="AS8" s="57">
        <x:v>0.432604441285386</x:v>
      </x:c>
      <x:c r="AT8" s="57">
        <x:v>0.454110867151355</x:v>
      </x:c>
      <x:c r="AU8" s="57">
        <x:v>2.81</x:v>
      </x:c>
      <x:c r="AV8" s="57">
        <x:v>4.25</x:v>
      </x:c>
      <x:c r="AW8" s="57">
        <x:v>2</x:v>
      </x:c>
      <x:c r="AX8" s="59" t="s">
        <x:v>100</x:v>
      </x:c>
      <x:c r="AY8" s="59" t="s">
        <x:v>101</x:v>
      </x:c>
    </x:row>
    <x:row r="9" ht="22" customHeight="1">
      <x:c r="A9" s="53" t="s">
        <x:v>87</x:v>
      </x:c>
      <x:c r="B9" s="53" t="s">
        <x:v>127</x:v>
      </x:c>
      <x:c r="C9" s="53" t="s">
        <x:v>128</x:v>
      </x:c>
      <x:c r="D9" s="53" t="s">
        <x:v>90</x:v>
      </x:c>
      <x:c r="E9" s="53" t="s">
        <x:v>129</x:v>
      </x:c>
      <x:c r="F9" s="54" t="s">
        <x:v>130</x:v>
      </x:c>
      <x:c r="G9" s="54">
        <x:v>0.78</x:v>
      </x:c>
      <x:c r="H9" s="54">
        <x:v>0</x:v>
      </x:c>
      <x:c r="I9" s="54">
        <x:v>0.92</x:v>
      </x:c>
      <x:c r="J9" s="53" t="s">
        <x:v>131</x:v>
      </x:c>
      <x:c r="K9" s="53" t="s">
        <x:v>132</x:v>
      </x:c>
      <x:c r="L9" s="55" t="s">
        <x:v>133</x:v>
      </x:c>
      <x:c r="M9" s="55">
        <x:v>0.62</x:v>
      </x:c>
      <x:c r="N9" s="53" t="s">
        <x:v>96</x:v>
      </x:c>
      <x:c r="O9" s="53" t="s">
        <x:v>134</x:v>
      </x:c>
      <x:c r="P9" s="53" t="s">
        <x:v>30</x:v>
      </x:c>
      <x:c r="Q9" s="56" t="s">
        <x:v>17</x:v>
      </x:c>
      <x:c r="R9" s="56">
        <x:v>0.92</x:v>
      </x:c>
      <x:c r="S9" s="56">
        <x:f t="shared" si="0"/>
        <x:v>0</x:v>
      </x:c>
      <x:c r="T9" s="53" t="s">
        <x:v>98</x:v>
      </x:c>
      <x:c r="U9" s="53" t="str">
        <x:f t="shared" si="1"/>
        <x:v>走</x:v>
      </x:c>
      <x:c r="V9" s="56">
        <x:f t="shared" si="2"/>
        <x:v>0.78</x:v>
      </x:c>
      <x:c r="W9" s="56">
        <x:f t="shared" si="3"/>
        <x:v>0</x:v>
      </x:c>
      <x:c r="X9" s="57">
        <x:v>0.73</x:v>
      </x:c>
      <x:c r="Y9" s="57">
        <x:v>-0.25</x:v>
      </x:c>
      <x:c r="Z9" s="57">
        <x:v>0.97</x:v>
      </x:c>
      <x:c r="AA9" s="57">
        <x:v>-0.25</x:v>
      </x:c>
      <x:c r="AB9" s="57">
        <x:v>0.97</x:v>
      </x:c>
      <x:c r="AC9" s="57">
        <x:v>0.92</x:v>
      </x:c>
      <x:c r="AD9" s="57">
        <x:v>3.1</x:v>
      </x:c>
      <x:c r="AE9" s="57">
        <x:v>2.97</x:v>
      </x:c>
      <x:c r="AF9" s="57">
        <x:v>2.28</x:v>
      </x:c>
      <x:c r="AG9" s="58">
        <x:v>0.0978774730896972</x:v>
      </x:c>
      <x:c r="AH9" s="58">
        <x:v>0.0478774730896972</x:v>
      </x:c>
      <x:c r="AI9" s="58">
        <x:v>0.293822082216032</x:v>
      </x:c>
      <x:c r="AJ9" s="58">
        <x:v>0.306682981437609</x:v>
      </x:c>
      <x:c r="AK9" s="58">
        <x:v>0.399494936346359</x:v>
      </x:c>
      <x:c r="AL9" s="57">
        <x:v>0.9</x:v>
      </x:c>
      <x:c r="AM9" s="57">
        <x:v>1.1</x:v>
      </x:c>
      <x:c r="AN9" s="57">
        <x:v>0.000512019842104459</x:v>
      </x:c>
      <x:c r="AO9" s="57">
        <x:v>0.738031999505181</x:v>
      </x:c>
      <x:c r="AP9" s="57">
        <x:v>0.181968000494819</x:v>
      </x:c>
      <x:c r="AQ9" s="59" t="s">
        <x:v>135</x:v>
      </x:c>
      <x:c r="AR9" s="57">
        <x:v>0</x:v>
      </x:c>
      <x:c r="AS9" s="57">
        <x:v>0.399094903496339</x:v>
      </x:c>
      <x:c r="AT9" s="57">
        <x:v>0.294544809619731</x:v>
      </x:c>
      <x:c r="AU9" s="57">
        <x:v>2.8</x:v>
      </x:c>
      <x:c r="AV9" s="57">
        <x:v>2.71</x:v>
      </x:c>
      <x:c r="AW9" s="57">
        <x:v>2.65</x:v>
      </x:c>
      <x:c r="AX9" s="59" t="s">
        <x:v>100</x:v>
      </x:c>
      <x:c r="AY9" s="59" t="s">
        <x:v>101</x:v>
      </x:c>
    </x:row>
    <x:row r="10" ht="22" customHeight="1">
      <x:c r="A10" s="53" t="s">
        <x:v>87</x:v>
      </x:c>
      <x:c r="B10" s="53" t="s">
        <x:v>127</x:v>
      </x:c>
      <x:c r="C10" s="53" t="s">
        <x:v>136</x:v>
      </x:c>
      <x:c r="D10" s="53" t="s">
        <x:v>116</x:v>
      </x:c>
      <x:c r="E10" s="53" t="s">
        <x:v>137</x:v>
      </x:c>
      <x:c r="F10" s="54" t="s">
        <x:v>138</x:v>
      </x:c>
      <x:c r="G10" s="54">
        <x:v>0.89</x:v>
      </x:c>
      <x:c r="H10" s="54">
        <x:v>1</x:v>
      </x:c>
      <x:c r="I10" s="54">
        <x:v>0.99</x:v>
      </x:c>
      <x:c r="J10" s="53" t="s">
        <x:v>139</x:v>
      </x:c>
      <x:c r="K10" s="53" t="s">
        <x:v>94</x:v>
      </x:c>
      <x:c r="L10" s="55" t="s">
        <x:v>140</x:v>
      </x:c>
      <x:c r="M10" s="55">
        <x:v>0.564</x:v>
      </x:c>
      <x:c r="N10" s="53" t="s">
        <x:v>96</x:v>
      </x:c>
      <x:c r="O10" s="53" t="s">
        <x:v>141</x:v>
      </x:c>
      <x:c r="P10" s="53" t="s">
        <x:v>30</x:v>
      </x:c>
      <x:c r="Q10" s="56" t="s">
        <x:v>23</x:v>
      </x:c>
      <x:c r="R10" s="56">
        <x:v>0.99</x:v>
      </x:c>
      <x:c r="S10" s="56">
        <x:f t="shared" si="0"/>
        <x:v>-1</x:v>
      </x:c>
      <x:c r="T10" s="53" t="s">
        <x:v>98</x:v>
      </x:c>
      <x:c r="U10" s="53" t="str">
        <x:f t="shared" si="1"/>
        <x:v>红</x:v>
      </x:c>
      <x:c r="V10" s="56">
        <x:f t="shared" si="2"/>
        <x:v>0.89</x:v>
      </x:c>
      <x:c r="W10" s="56">
        <x:f t="shared" si="3"/>
        <x:v>0.89</x:v>
      </x:c>
      <x:c r="X10" s="57">
        <x:v>0.95</x:v>
      </x:c>
      <x:c r="Y10" s="57">
        <x:v>0.75</x:v>
      </x:c>
      <x:c r="Z10" s="57">
        <x:v>0.87</x:v>
      </x:c>
      <x:c r="AA10" s="57">
        <x:v>0.75</x:v>
      </x:c>
      <x:c r="AB10" s="57">
        <x:v>0.87</x:v>
      </x:c>
      <x:c r="AC10" s="57">
        <x:v>0.99</x:v>
      </x:c>
      <x:c r="AD10" s="57">
        <x:v>1.7</x:v>
      </x:c>
      <x:c r="AE10" s="57">
        <x:v>3.94</x:v>
      </x:c>
      <x:c r="AF10" s="57">
        <x:v>4.04</x:v>
      </x:c>
      <x:c r="AG10" s="58">
        <x:v>0.0895671531918794</x:v>
      </x:c>
      <x:c r="AH10" s="58">
        <x:v>0.0395671531918794</x:v>
      </x:c>
      <x:c r="AI10" s="58">
        <x:v>0.539879797582385</x:v>
      </x:c>
      <x:c r="AJ10" s="58">
        <x:v>0.232943059870572</x:v>
      </x:c>
      <x:c r="AK10" s="58">
        <x:v>0.227177142547043</x:v>
      </x:c>
      <x:c r="AL10" s="57">
        <x:v>1.78</x:v>
      </x:c>
      <x:c r="AM10" s="57">
        <x:v>1.07</x:v>
      </x:c>
      <x:c r="AN10" s="57">
        <x:v>0.000167287586283385</x:v>
      </x:c>
      <x:c r="AO10" s="57">
        <x:v>0.6576106092944</x:v>
      </x:c>
      <x:c r="AP10" s="57">
        <x:v>0.3323893907056</x:v>
      </x:c>
      <x:c r="AQ10" s="59" t="s">
        <x:v>142</x:v>
      </x:c>
      <x:c r="AR10" s="57">
        <x:v>1</x:v>
      </x:c>
      <x:c r="AS10" s="57">
        <x:v>0.45995058119829</x:v>
      </x:c>
      <x:c r="AT10" s="57">
        <x:v>0.302468381947121</x:v>
      </x:c>
      <x:c r="AU10" s="57">
        <x:v>1.54</x:v>
      </x:c>
      <x:c r="AV10" s="57">
        <x:v>4.35</x:v>
      </x:c>
      <x:c r="AW10" s="57">
        <x:v>5</x:v>
      </x:c>
      <x:c r="AX10" s="59" t="s">
        <x:v>100</x:v>
      </x:c>
      <x:c r="AY10" s="59" t="s">
        <x:v>101</x:v>
      </x:c>
    </x:row>
    <x:row r="11" ht="22" customHeight="1">
      <x:c r="A11" s="53" t="s">
        <x:v>87</x:v>
      </x:c>
      <x:c r="B11" s="53" t="s">
        <x:v>143</x:v>
      </x:c>
      <x:c r="C11" s="53" t="s">
        <x:v>144</x:v>
      </x:c>
      <x:c r="D11" s="53" t="s">
        <x:v>116</x:v>
      </x:c>
      <x:c r="E11" s="53" t="s">
        <x:v>145</x:v>
      </x:c>
      <x:c r="F11" s="54" t="s">
        <x:v>146</x:v>
      </x:c>
      <x:c r="G11" s="54">
        <x:v>0.78</x:v>
      </x:c>
      <x:c r="H11" s="54">
        <x:v>0</x:v>
      </x:c>
      <x:c r="I11" s="54">
        <x:v>1.11</x:v>
      </x:c>
      <x:c r="J11" s="53" t="s">
        <x:v>147</x:v>
      </x:c>
      <x:c r="K11" s="53" t="s">
        <x:v>106</x:v>
      </x:c>
      <x:c r="L11" s="55" t="s">
        <x:v>148</x:v>
      </x:c>
      <x:c r="M11" s="55">
        <x:v>0.588</x:v>
      </x:c>
      <x:c r="N11" s="53" t="s">
        <x:v>96</x:v>
      </x:c>
      <x:c r="O11" s="53" t="s">
        <x:v>149</x:v>
      </x:c>
      <x:c r="P11" s="53" t="s">
        <x:v>30</x:v>
      </x:c>
      <x:c r="Q11" s="56" t="s">
        <x:v>17</x:v>
      </x:c>
      <x:c r="R11" s="56">
        <x:v>0.78</x:v>
      </x:c>
      <x:c r="S11" s="56">
        <x:f t="shared" si="0"/>
        <x:v>0</x:v>
      </x:c>
      <x:c r="T11" s="53" t="s">
        <x:v>98</x:v>
      </x:c>
      <x:c r="U11" s="53" t="str">
        <x:f t="shared" si="1"/>
        <x:v>走</x:v>
      </x:c>
      <x:c r="V11" s="56">
        <x:f t="shared" si="2"/>
        <x:v>1.11</x:v>
      </x:c>
      <x:c r="W11" s="56">
        <x:f t="shared" si="3"/>
        <x:v>0</x:v>
      </x:c>
      <x:c r="X11" s="57">
        <x:v>0.87</x:v>
      </x:c>
      <x:c r="Y11" s="57">
        <x:v>0</x:v>
      </x:c>
      <x:c r="Z11" s="57">
        <x:v>0.95</x:v>
      </x:c>
      <x:c r="AA11" s="57">
        <x:v>0</x:v>
      </x:c>
      <x:c r="AB11" s="57">
        <x:v>0.87</x:v>
      </x:c>
      <x:c r="AC11" s="57">
        <x:v>0.78</x:v>
      </x:c>
      <x:c r="AD11" s="57">
        <x:v>2.5</x:v>
      </x:c>
      <x:c r="AE11" s="57">
        <x:v>3.33</x:v>
      </x:c>
      <x:c r="AF11" s="57">
        <x:v>2.59</x:v>
      </x:c>
      <x:c r="AG11" s="58">
        <x:v>0.0864006864006863</x:v>
      </x:c>
      <x:c r="AH11" s="58">
        <x:v>0.0364006864006863</x:v>
      </x:c>
      <x:c r="AI11" s="58">
        <x:v>0.368188279892592</x:v>
      </x:c>
      <x:c r="AJ11" s="58">
        <x:v>0.276417627546991</x:v>
      </x:c>
      <x:c r="AK11" s="58">
        <x:v>0.355394092560417</x:v>
      </x:c>
      <x:c r="AL11" s="57">
        <x:v>1.22</x:v>
      </x:c>
      <x:c r="AM11" s="57">
        <x:v>1.19</x:v>
      </x:c>
      <x:c r="AN11" s="57">
        <x:v>0.000794874776329453</x:v>
      </x:c>
      <x:c r="AO11" s="57">
        <x:v>0.96066587348234</x:v>
      </x:c>
      <x:c r="AP11" s="57">
        <x:v>-0.18066587348234</x:v>
      </x:c>
      <x:c r="AQ11" s="59" t="s">
        <x:v>150</x:v>
      </x:c>
      <x:c r="AR11" s="57">
        <x:v>0</x:v>
      </x:c>
      <x:c r="AS11" s="57">
        <x:v>0.369311022480183</x:v>
      </x:c>
      <x:c r="AT11" s="57">
        <x:v>0.354784495997581</x:v>
      </x:c>
      <x:c r="AU11" s="57">
        <x:v>2.48</x:v>
      </x:c>
      <x:c r="AV11" s="57">
        <x:v>3.29</x:v>
      </x:c>
      <x:c r="AW11" s="57">
        <x:v>2.69</x:v>
      </x:c>
      <x:c r="AX11" s="59" t="s">
        <x:v>100</x:v>
      </x:c>
      <x:c r="AY11" s="59" t="s">
        <x:v>101</x:v>
      </x:c>
    </x:row>
    <x:row r="12" ht="22" customHeight="1">
      <x:c r="A12" s="53" t="s">
        <x:v>87</x:v>
      </x:c>
      <x:c r="B12" s="53" t="s">
        <x:v>143</x:v>
      </x:c>
      <x:c r="C12" s="53" t="s">
        <x:v>89</x:v>
      </x:c>
      <x:c r="D12" s="53" t="s">
        <x:v>90</x:v>
      </x:c>
      <x:c r="E12" s="53" t="s">
        <x:v>151</x:v>
      </x:c>
      <x:c r="F12" s="54" t="s">
        <x:v>152</x:v>
      </x:c>
      <x:c r="G12" s="54">
        <x:v>0.75</x:v>
      </x:c>
      <x:c r="H12" s="54">
        <x:v>0.25</x:v>
      </x:c>
      <x:c r="I12" s="54">
        <x:v>0.95</x:v>
      </x:c>
      <x:c r="J12" s="53" t="s">
        <x:v>153</x:v>
      </x:c>
      <x:c r="K12" s="53" t="s">
        <x:v>106</x:v>
      </x:c>
      <x:c r="L12" s="55" t="s">
        <x:v>154</x:v>
      </x:c>
      <x:c r="M12" s="55">
        <x:v>0.598</x:v>
      </x:c>
      <x:c r="N12" s="53" t="s">
        <x:v>96</x:v>
      </x:c>
      <x:c r="O12" s="53" t="s">
        <x:v>155</x:v>
      </x:c>
      <x:c r="P12" s="53" t="s">
        <x:v>30</x:v>
      </x:c>
      <x:c r="Q12" s="56" t="s">
        <x:v>23</x:v>
      </x:c>
      <x:c r="R12" s="56">
        <x:v>0.75</x:v>
      </x:c>
      <x:c r="S12" s="56">
        <x:f t="shared" si="0"/>
        <x:v>-1</x:v>
      </x:c>
      <x:c r="T12" s="53" t="s">
        <x:v>98</x:v>
      </x:c>
      <x:c r="U12" s="53" t="str">
        <x:f t="shared" si="1"/>
        <x:v>红</x:v>
      </x:c>
      <x:c r="V12" s="56">
        <x:f t="shared" si="2"/>
        <x:v>0.95</x:v>
      </x:c>
      <x:c r="W12" s="56">
        <x:f t="shared" si="3"/>
        <x:v>0.95</x:v>
      </x:c>
      <x:c r="X12" s="57">
        <x:v>0.77</x:v>
      </x:c>
      <x:c r="Y12" s="57">
        <x:v>0.25</x:v>
      </x:c>
      <x:c r="Z12" s="57">
        <x:v>0.93</x:v>
      </x:c>
      <x:c r="AA12" s="57">
        <x:v>-0.25</x:v>
      </x:c>
      <x:c r="AB12" s="57">
        <x:v>0.77</x:v>
      </x:c>
      <x:c r="AC12" s="57">
        <x:v>0.75</x:v>
      </x:c>
      <x:c r="AD12" s="57">
        <x:v>2.02</x:v>
      </x:c>
      <x:c r="AE12" s="57">
        <x:v>3.75</x:v>
      </x:c>
      <x:c r="AF12" s="57">
        <x:v>2.92</x:v>
      </x:c>
      <x:c r="AG12" s="58">
        <x:v>0.104181925041819</x:v>
      </x:c>
      <x:c r="AH12" s="58">
        <x:v>0.0541819250418192</x:v>
      </x:c>
      <x:c r="AI12" s="58">
        <x:v>0.448340525889106</x:v>
      </x:c>
      <x:c r="AJ12" s="58">
        <x:v>0.241506096612265</x:v>
      </x:c>
      <x:c r="AK12" s="58">
        <x:v>0.310153377498628</x:v>
      </x:c>
      <x:c r="AL12" s="57">
        <x:v>1.63</x:v>
      </x:c>
      <x:c r="AM12" s="57">
        <x:v>1.32</x:v>
      </x:c>
      <x:c r="AN12" s="57">
        <x:v>0.000702746991985162</x:v>
      </x:c>
      <x:c r="AO12" s="57">
        <x:v>0.964709359941434</x:v>
      </x:c>
      <x:c r="AP12" s="57">
        <x:v>-0.214709359941434</x:v>
      </x:c>
      <x:c r="AQ12" s="59" t="s">
        <x:v>99</x:v>
      </x:c>
      <x:c r="AR12" s="57">
        <x:v>-0.25</x:v>
      </x:c>
      <x:c r="AS12" s="57">
        <x:v>0.447359827438378</x:v>
      </x:c>
      <x:c r="AT12" s="57">
        <x:v>0.431572212791588</x:v>
      </x:c>
      <x:c r="AU12" s="57">
        <x:v>1.92</x:v>
      </x:c>
      <x:c r="AV12" s="57">
        <x:v>3.7</x:v>
      </x:c>
      <x:c r="AW12" s="57">
        <x:v>3.2</x:v>
      </x:c>
      <x:c r="AX12" s="59" t="s">
        <x:v>100</x:v>
      </x:c>
      <x:c r="AY12" s="59" t="s">
        <x:v>101</x:v>
      </x:c>
    </x:row>
    <x:row r="13" ht="22" customHeight="1">
      <x:c r="A13" s="53" t="s">
        <x:v>87</x:v>
      </x:c>
      <x:c r="B13" s="53" t="s">
        <x:v>143</x:v>
      </x:c>
      <x:c r="C13" s="53" t="s">
        <x:v>144</x:v>
      </x:c>
      <x:c r="D13" s="53" t="s">
        <x:v>116</x:v>
      </x:c>
      <x:c r="E13" s="53" t="s">
        <x:v>156</x:v>
      </x:c>
      <x:c r="F13" s="54" t="s">
        <x:v>157</x:v>
      </x:c>
      <x:c r="G13" s="54">
        <x:v>0.86</x:v>
      </x:c>
      <x:c r="H13" s="54">
        <x:v>0.5</x:v>
      </x:c>
      <x:c r="I13" s="54">
        <x:v>1.02</x:v>
      </x:c>
      <x:c r="J13" s="53" t="s">
        <x:v>158</x:v>
      </x:c>
      <x:c r="K13" s="53" t="s">
        <x:v>159</x:v>
      </x:c>
      <x:c r="L13" s="55" t="s">
        <x:v>160</x:v>
      </x:c>
      <x:c r="M13" s="55">
        <x:v>0.598</x:v>
      </x:c>
      <x:c r="N13" s="53" t="s">
        <x:v>96</x:v>
      </x:c>
      <x:c r="O13" s="53" t="s">
        <x:v>161</x:v>
      </x:c>
      <x:c r="P13" s="53" t="s">
        <x:v>30</x:v>
      </x:c>
      <x:c r="Q13" s="56" t="s">
        <x:v>23</x:v>
      </x:c>
      <x:c r="R13" s="56">
        <x:v>1.02</x:v>
      </x:c>
      <x:c r="S13" s="56">
        <x:f t="shared" si="0"/>
        <x:v>-1</x:v>
      </x:c>
      <x:c r="T13" s="53" t="s">
        <x:v>98</x:v>
      </x:c>
      <x:c r="U13" s="53" t="str">
        <x:f t="shared" si="1"/>
        <x:v>红</x:v>
      </x:c>
      <x:c r="V13" s="56">
        <x:f t="shared" si="2"/>
        <x:v>0.86</x:v>
      </x:c>
      <x:c r="W13" s="56">
        <x:f t="shared" si="3"/>
        <x:v>0.86</x:v>
      </x:c>
      <x:c r="X13" s="57">
        <x:v>0.91</x:v>
      </x:c>
      <x:c r="Y13" s="57">
        <x:v>0.5</x:v>
      </x:c>
      <x:c r="Z13" s="57">
        <x:v>0.97</x:v>
      </x:c>
      <x:c r="AA13" s="57">
        <x:v>0.5</x:v>
      </x:c>
      <x:c r="AB13" s="57">
        <x:v>0.97</x:v>
      </x:c>
      <x:c r="AC13" s="57">
        <x:v>1.02</x:v>
      </x:c>
      <x:c r="AD13" s="57">
        <x:v>1.97</x:v>
      </x:c>
      <x:c r="AE13" s="57">
        <x:v>3.53</x:v>
      </x:c>
      <x:c r="AF13" s="57">
        <x:v>3.61</x:v>
      </x:c>
      <x:c r="AG13" s="58">
        <x:v>0.0679086424274469</x:v>
      </x:c>
      <x:c r="AH13" s="58">
        <x:v>0.0179086424274469</x:v>
      </x:c>
      <x:c r="AI13" s="58">
        <x:v>0.475334867638227</x:v>
      </x:c>
      <x:c r="AJ13" s="58">
        <x:v>0.265271866642297</x:v>
      </x:c>
      <x:c r="AK13" s="58">
        <x:v>0.259393265719476</x:v>
      </x:c>
      <x:c r="AL13" s="57">
        <x:v>1.44</x:v>
      </x:c>
      <x:c r="AM13" s="57">
        <x:v>0.99</x:v>
      </x:c>
      <x:c r="AN13" s="57">
        <x:v>0.000613869725267988</x:v>
      </x:c>
      <x:c r="AO13" s="57">
        <x:v>0.903259608842704</x:v>
      </x:c>
      <x:c r="AP13" s="57">
        <x:v>0.116740391157296</x:v>
      </x:c>
      <x:c r="AQ13" s="59" t="s">
        <x:v>142</x:v>
      </x:c>
      <x:c r="AR13" s="57">
        <x:v>0.5</x:v>
      </x:c>
      <x:c r="AS13" s="57">
        <x:v>0.525414397149982</x:v>
      </x:c>
      <x:c r="AT13" s="57">
        <x:v>0.474585602850018</x:v>
      </x:c>
      <x:c r="AU13" s="57">
        <x:v>1.84</x:v>
      </x:c>
      <x:c r="AV13" s="57">
        <x:v>3.64</x:v>
      </x:c>
      <x:c r="AW13" s="57">
        <x:v>4.04</x:v>
      </x:c>
      <x:c r="AX13" s="59" t="s">
        <x:v>100</x:v>
      </x:c>
      <x:c r="AY13" s="59" t="s">
        <x:v>101</x:v>
      </x:c>
    </x:row>
    <x:row r="14" ht="22" customHeight="1">
      <x:c r="A14" s="53" t="s">
        <x:v>87</x:v>
      </x:c>
      <x:c r="B14" s="53" t="s">
        <x:v>143</x:v>
      </x:c>
      <x:c r="C14" s="53" t="s">
        <x:v>144</x:v>
      </x:c>
      <x:c r="D14" s="53" t="s">
        <x:v>116</x:v>
      </x:c>
      <x:c r="E14" s="53" t="s">
        <x:v>145</x:v>
      </x:c>
      <x:c r="F14" s="54" t="s">
        <x:v>162</x:v>
      </x:c>
      <x:c r="G14" s="54">
        <x:v>0.99</x:v>
      </x:c>
      <x:c r="H14" s="54">
        <x:v>0.25</x:v>
      </x:c>
      <x:c r="I14" s="54">
        <x:v>0.89</x:v>
      </x:c>
      <x:c r="J14" s="53" t="s">
        <x:v>163</x:v>
      </x:c>
      <x:c r="K14" s="53" t="s">
        <x:v>132</x:v>
      </x:c>
      <x:c r="L14" s="55" t="s">
        <x:v>164</x:v>
      </x:c>
      <x:c r="M14" s="55">
        <x:v>0.632</x:v>
      </x:c>
      <x:c r="N14" s="53" t="s">
        <x:v>96</x:v>
      </x:c>
      <x:c r="O14" s="53" t="s">
        <x:v>126</x:v>
      </x:c>
      <x:c r="P14" s="53" t="s">
        <x:v>30</x:v>
      </x:c>
      <x:c r="Q14" s="56" t="s">
        <x:v>20</x:v>
      </x:c>
      <x:c r="R14" s="56">
        <x:v>0.99</x:v>
      </x:c>
      <x:c r="S14" s="56">
        <x:f t="shared" si="0"/>
        <x:v>-0.5</x:v>
      </x:c>
      <x:c r="T14" s="53" t="s">
        <x:v>98</x:v>
      </x:c>
      <x:c r="U14" s="53" t="str">
        <x:f t="shared" si="1"/>
        <x:v>半红</x:v>
      </x:c>
      <x:c r="V14" s="56">
        <x:f t="shared" si="2"/>
        <x:v>0.89</x:v>
      </x:c>
      <x:c r="W14" s="56">
        <x:f t="shared" si="3"/>
        <x:v>0.445</x:v>
      </x:c>
      <x:c r="X14" s="57">
        <x:v>0.95</x:v>
      </x:c>
      <x:c r="Y14" s="57">
        <x:v>0.5</x:v>
      </x:c>
      <x:c r="Z14" s="57">
        <x:v>0.87</x:v>
      </x:c>
      <x:c r="AA14" s="57">
        <x:v>-0.5</x:v>
      </x:c>
      <x:c r="AB14" s="57">
        <x:v>0.95</x:v>
      </x:c>
      <x:c r="AC14" s="57">
        <x:v>0.99</x:v>
      </x:c>
      <x:c r="AD14" s="57">
        <x:v>1.88</x:v>
      </x:c>
      <x:c r="AE14" s="57">
        <x:v>3.51</x:v>
      </x:c>
      <x:c r="AF14" s="57">
        <x:v>3.72</x:v>
      </x:c>
      <x:c r="AG14" s="58">
        <x:v>0.0856323828183814</x:v>
      </x:c>
      <x:c r="AH14" s="58">
        <x:v>0.0356323828183814</x:v>
      </x:c>
      <x:c r="AI14" s="58">
        <x:v>0.489958573487032</x:v>
      </x:c>
      <x:c r="AJ14" s="58">
        <x:v>0.26242795389049</x:v>
      </x:c>
      <x:c r="AK14" s="58">
        <x:v>0.247613472622478</x:v>
      </x:c>
      <x:c r="AL14" s="57">
        <x:v>1.48</x:v>
      </x:c>
      <x:c r="AM14" s="57">
        <x:v>0.97</x:v>
      </x:c>
      <x:c r="AN14" s="57">
        <x:v>3.67190716901043e-5</x:v>
      </x:c>
      <x:c r="AO14" s="57">
        <x:v>0.773018677457928</x:v>
      </x:c>
      <x:c r="AP14" s="57">
        <x:v>0.216981322542072</x:v>
      </x:c>
      <x:c r="AQ14" s="59" t="s">
        <x:v>165</x:v>
      </x:c>
      <x:c r="AR14" s="57">
        <x:v>-0.25</x:v>
      </x:c>
      <x:c r="AS14" s="57">
        <x:v>0.490010403858919</x:v>
      </x:c>
      <x:c r="AT14" s="57">
        <x:v>0.378787194331647</x:v>
      </x:c>
      <x:c r="AU14" s="57">
        <x:v>2.13</x:v>
      </x:c>
      <x:c r="AV14" s="57">
        <x:v>3.4</x:v>
      </x:c>
      <x:c r="AW14" s="57">
        <x:v>3.21</x:v>
      </x:c>
      <x:c r="AX14" s="59" t="s">
        <x:v>100</x:v>
      </x:c>
      <x:c r="AY14" s="59" t="s">
        <x:v>101</x:v>
      </x:c>
    </x:row>
    <x:row r="15" ht="22" customHeight="1">
      <x:c r="A15" s="53" t="s">
        <x:v>87</x:v>
      </x:c>
      <x:c r="B15" s="53" t="s">
        <x:v>143</x:v>
      </x:c>
      <x:c r="C15" s="53" t="s">
        <x:v>144</x:v>
      </x:c>
      <x:c r="D15" s="53" t="s">
        <x:v>116</x:v>
      </x:c>
      <x:c r="E15" s="53" t="s">
        <x:v>145</x:v>
      </x:c>
      <x:c r="F15" s="54" t="s">
        <x:v>166</x:v>
      </x:c>
      <x:c r="G15" s="54">
        <x:v>1.04</x:v>
      </x:c>
      <x:c r="H15" s="54">
        <x:v>0</x:v>
      </x:c>
      <x:c r="I15" s="54">
        <x:v>0.84</x:v>
      </x:c>
      <x:c r="J15" s="53" t="s">
        <x:v>167</x:v>
      </x:c>
      <x:c r="K15" s="53" t="s">
        <x:v>106</x:v>
      </x:c>
      <x:c r="L15" s="55" t="s">
        <x:v>168</x:v>
      </x:c>
      <x:c r="M15" s="55">
        <x:v>0.588</x:v>
      </x:c>
      <x:c r="N15" s="53" t="s">
        <x:v>96</x:v>
      </x:c>
      <x:c r="O15" s="53" t="s">
        <x:v>169</x:v>
      </x:c>
      <x:c r="P15" s="53" t="s">
        <x:v>30</x:v>
      </x:c>
      <x:c r="Q15" s="56" t="s">
        <x:v>11</x:v>
      </x:c>
      <x:c r="R15" s="56">
        <x:v>0.84</x:v>
      </x:c>
      <x:c r="S15" s="56">
        <x:f t="shared" si="0"/>
        <x:v>0.84</x:v>
      </x:c>
      <x:c r="T15" s="53" t="s">
        <x:v>98</x:v>
      </x:c>
      <x:c r="U15" s="53" t="str">
        <x:f t="shared" si="1"/>
        <x:v>黑</x:v>
      </x:c>
      <x:c r="V15" s="56">
        <x:f t="shared" si="2"/>
        <x:v>1.04</x:v>
      </x:c>
      <x:c r="W15" s="56">
        <x:f t="shared" si="3"/>
        <x:v>-1</x:v>
      </x:c>
      <x:c r="X15" s="57">
        <x:v>0.91</x:v>
      </x:c>
      <x:c r="Y15" s="57">
        <x:v>0</x:v>
      </x:c>
      <x:c r="Z15" s="57">
        <x:v>0.91</x:v>
      </x:c>
      <x:c r="AA15" s="57">
        <x:v>0</x:v>
      </x:c>
      <x:c r="AB15" s="57">
        <x:v>0.91</x:v>
      </x:c>
      <x:c r="AC15" s="57">
        <x:v>0.84</x:v>
      </x:c>
      <x:c r="AD15" s="57">
        <x:v>2.56</x:v>
      </x:c>
      <x:c r="AE15" s="57">
        <x:v>3.41</x:v>
      </x:c>
      <x:c r="AF15" s="57">
        <x:v>2.48</x:v>
      </x:c>
      <x:c r="AG15" s="58">
        <x:v>0.0871059384164223</x:v>
      </x:c>
      <x:c r="AH15" s="58">
        <x:v>0.0371059384164223</x:v>
      </x:c>
      <x:c r="AI15" s="58">
        <x:v>0.359325605900948</x:v>
      </x:c>
      <x:c r="AJ15" s="58">
        <x:v>0.269757639620653</x:v>
      </x:c>
      <x:c r="AK15" s="58">
        <x:v>0.370916754478398</x:v>
      </x:c>
      <x:c r="AL15" s="57">
        <x:v>1.24</x:v>
      </x:c>
      <x:c r="AM15" s="57">
        <x:v>1.26</x:v>
      </x:c>
      <x:c r="AN15" s="57">
        <x:v>0.000862227685632162</x:v>
      </x:c>
      <x:c r="AO15" s="57">
        <x:v>0.974219275545952</x:v>
      </x:c>
      <x:c r="AP15" s="57">
        <x:v>-0.134219275545952</x:v>
      </x:c>
      <x:c r="AQ15" s="59" t="s">
        <x:v>150</x:v>
      </x:c>
      <x:c r="AR15" s="57">
        <x:v>0</x:v>
      </x:c>
      <x:c r="AS15" s="57">
        <x:v>0.369751269967008</x:v>
      </x:c>
      <x:c r="AT15" s="57">
        <x:v>0.360218814359454</x:v>
      </x:c>
      <x:c r="AU15" s="57">
        <x:v>2.58</x:v>
      </x:c>
      <x:c r="AV15" s="57">
        <x:v>3.48</x:v>
      </x:c>
      <x:c r="AW15" s="57">
        <x:v>2.48</x:v>
      </x:c>
      <x:c r="AX15" s="59" t="s">
        <x:v>100</x:v>
      </x:c>
      <x:c r="AY15" s="59" t="s">
        <x:v>101</x:v>
      </x:c>
    </x:row>
    <x:row r="16" ht="22" customHeight="1">
      <x:c r="A16" s="53" t="s">
        <x:v>87</x:v>
      </x:c>
      <x:c r="B16" s="53" t="s">
        <x:v>143</x:v>
      </x:c>
      <x:c r="C16" s="53" t="s">
        <x:v>144</x:v>
      </x:c>
      <x:c r="D16" s="53" t="s">
        <x:v>116</x:v>
      </x:c>
      <x:c r="E16" s="53" t="s">
        <x:v>156</x:v>
      </x:c>
      <x:c r="F16" s="54" t="s">
        <x:v>170</x:v>
      </x:c>
      <x:c r="G16" s="54">
        <x:v>0.8</x:v>
      </x:c>
      <x:c r="H16" s="54">
        <x:v>0.25</x:v>
      </x:c>
      <x:c r="I16" s="54">
        <x:v>1.08</x:v>
      </x:c>
      <x:c r="J16" s="53" t="s">
        <x:v>171</x:v>
      </x:c>
      <x:c r="K16" s="53" t="s">
        <x:v>132</x:v>
      </x:c>
      <x:c r="L16" s="55" t="s">
        <x:v>172</x:v>
      </x:c>
      <x:c r="M16" s="55">
        <x:v>0.632</x:v>
      </x:c>
      <x:c r="N16" s="53" t="s">
        <x:v>96</x:v>
      </x:c>
      <x:c r="O16" s="53" t="s">
        <x:v>173</x:v>
      </x:c>
      <x:c r="P16" s="53" t="s">
        <x:v>30</x:v>
      </x:c>
      <x:c r="Q16" s="56" t="s">
        <x:v>11</x:v>
      </x:c>
      <x:c r="R16" s="56">
        <x:v>0.8</x:v>
      </x:c>
      <x:c r="S16" s="56">
        <x:f t="shared" si="0"/>
        <x:v>0.8</x:v>
      </x:c>
      <x:c r="T16" s="53" t="s">
        <x:v>98</x:v>
      </x:c>
      <x:c r="U16" s="53" t="str">
        <x:f t="shared" si="1"/>
        <x:v>黑</x:v>
      </x:c>
      <x:c r="V16" s="56">
        <x:f t="shared" si="2"/>
        <x:v>1.08</x:v>
      </x:c>
      <x:c r="W16" s="56">
        <x:f t="shared" si="3"/>
        <x:v>-1</x:v>
      </x:c>
      <x:c r="X16" s="57">
        <x:v>1</x:v>
      </x:c>
      <x:c r="Y16" s="57">
        <x:v>0.5</x:v>
      </x:c>
      <x:c r="Z16" s="57">
        <x:v>0.88</x:v>
      </x:c>
      <x:c r="AA16" s="57">
        <x:v>-0.5</x:v>
      </x:c>
      <x:c r="AB16" s="57">
        <x:v>1</x:v>
      </x:c>
      <x:c r="AC16" s="57">
        <x:v>0.8</x:v>
      </x:c>
      <x:c r="AD16" s="57">
        <x:v>1.89</x:v>
      </x:c>
      <x:c r="AE16" s="57">
        <x:v>3.6</x:v>
      </x:c>
      <x:c r="AF16" s="57">
        <x:v>3.77</x:v>
      </x:c>
      <x:c r="AG16" s="58">
        <x:v>0.0721302962682273</x:v>
      </x:c>
      <x:c r="AH16" s="58">
        <x:v>0.0221302962682273</x:v>
      </x:c>
      <x:c r="AI16" s="58">
        <x:v>0.493503943449946</x:v>
      </x:c>
      <x:c r="AJ16" s="58">
        <x:v>0.259089570311222</x:v>
      </x:c>
      <x:c r="AK16" s="58">
        <x:v>0.247406486238832</x:v>
      </x:c>
      <x:c r="AL16" s="57">
        <x:v>1.51</x:v>
      </x:c>
      <x:c r="AM16" s="57">
        <x:v>0.99</x:v>
      </x:c>
      <x:c r="AN16" s="57">
        <x:v>0.00047005825505793</x:v>
      </x:c>
      <x:c r="AO16" s="57">
        <x:v>0.765828020337945</x:v>
      </x:c>
      <x:c r="AP16" s="57">
        <x:v>0.0341719796620555</x:v>
      </x:c>
      <x:c r="AQ16" s="59" t="s">
        <x:v>174</x:v>
      </x:c>
      <x:c r="AR16" s="57">
        <x:v>-0.25</x:v>
      </x:c>
      <x:c r="AS16" s="57">
        <x:v>0.492962348557797</x:v>
      </x:c>
      <x:c r="AT16" s="57">
        <x:v>0.377524379497161</x:v>
      </x:c>
      <x:c r="AU16" s="57">
        <x:v>2.04</x:v>
      </x:c>
      <x:c r="AV16" s="57">
        <x:v>3.6</x:v>
      </x:c>
      <x:c r="AW16" s="57">
        <x:v>3.41</x:v>
      </x:c>
      <x:c r="AX16" s="59" t="s">
        <x:v>100</x:v>
      </x:c>
      <x:c r="AY16" s="59" t="s">
        <x:v>101</x:v>
      </x:c>
    </x:row>
    <x:row r="17" ht="22" customHeight="1">
      <x:c r="A17" s="53" t="s">
        <x:v>87</x:v>
      </x:c>
      <x:c r="B17" s="53" t="s">
        <x:v>143</x:v>
      </x:c>
      <x:c r="C17" s="53" t="s">
        <x:v>144</x:v>
      </x:c>
      <x:c r="D17" s="53" t="s">
        <x:v>116</x:v>
      </x:c>
      <x:c r="E17" s="53" t="s">
        <x:v>156</x:v>
      </x:c>
      <x:c r="F17" s="54" t="s">
        <x:v>175</x:v>
      </x:c>
      <x:c r="G17" s="54">
        <x:v>0.79</x:v>
      </x:c>
      <x:c r="H17" s="54">
        <x:v>0.75</x:v>
      </x:c>
      <x:c r="I17" s="54">
        <x:v>1.09</x:v>
      </x:c>
      <x:c r="J17" s="53" t="s">
        <x:v>176</x:v>
      </x:c>
      <x:c r="K17" s="53" t="s">
        <x:v>106</x:v>
      </x:c>
      <x:c r="L17" s="55" t="s">
        <x:v>177</x:v>
      </x:c>
      <x:c r="M17" s="55">
        <x:v>0.588</x:v>
      </x:c>
      <x:c r="N17" s="53" t="s">
        <x:v>96</x:v>
      </x:c>
      <x:c r="O17" s="53" t="s">
        <x:v>178</x:v>
      </x:c>
      <x:c r="P17" s="53" t="s">
        <x:v>30</x:v>
      </x:c>
      <x:c r="Q17" s="56" t="s">
        <x:v>14</x:v>
      </x:c>
      <x:c r="R17" s="56">
        <x:v>0.79</x:v>
      </x:c>
      <x:c r="S17" s="56">
        <x:f t="shared" si="0"/>
        <x:v>0.395</x:v>
      </x:c>
      <x:c r="T17" s="53" t="s">
        <x:v>98</x:v>
      </x:c>
      <x:c r="U17" s="53" t="str">
        <x:f t="shared" si="1"/>
        <x:v>半黑</x:v>
      </x:c>
      <x:c r="V17" s="56">
        <x:f t="shared" si="2"/>
        <x:v>1.09</x:v>
      </x:c>
      <x:c r="W17" s="56">
        <x:f t="shared" si="3"/>
        <x:v>-0.5</x:v>
      </x:c>
      <x:c r="X17" s="57">
        <x:v>0.89</x:v>
      </x:c>
      <x:c r="Y17" s="57">
        <x:v>0.75</x:v>
      </x:c>
      <x:c r="Z17" s="57">
        <x:v>0.99</x:v>
      </x:c>
      <x:c r="AA17" s="57">
        <x:v>-0.75</x:v>
      </x:c>
      <x:c r="AB17" s="57">
        <x:v>0.89</x:v>
      </x:c>
      <x:c r="AC17" s="57">
        <x:v>0.79</x:v>
      </x:c>
      <x:c r="AD17" s="57">
        <x:v>1.59</x:v>
      </x:c>
      <x:c r="AE17" s="57">
        <x:v>4</x:v>
      </x:c>
      <x:c r="AF17" s="57">
        <x:v>5.33</x:v>
      </x:c>
      <x:c r="AG17" s="58">
        <x:v>0.0665480783980554</x:v>
      </x:c>
      <x:c r="AH17" s="58">
        <x:v>0.0165480783980554</x:v>
      </x:c>
      <x:c r="AI17" s="58">
        <x:v>0.589688200980785</x:v>
      </x:c>
      <x:c r="AJ17" s="58">
        <x:v>0.234401059889862</x:v>
      </x:c>
      <x:c r="AK17" s="58">
        <x:v>0.175910739129353</x:v>
      </x:c>
      <x:c r="AL17" s="57">
        <x:v>1.74</x:v>
      </x:c>
      <x:c r="AM17" s="57">
        <x:v>0.83</x:v>
      </x:c>
      <x:c r="AN17" s="57">
        <x:v>0.000290933748030517</x:v>
      </x:c>
      <x:c r="AO17" s="57">
        <x:v>0.887561788988263</x:v>
      </x:c>
      <x:c r="AP17" s="57">
        <x:v>-0.0975617889882632</x:v>
      </x:c>
      <x:c r="AQ17" s="59" t="s">
        <x:v>99</x:v>
      </x:c>
      <x:c r="AR17" s="57">
        <x:v>-0.75</x:v>
      </x:c>
      <x:c r="AS17" s="57">
        <x:v>0.462109734668879</x:v>
      </x:c>
      <x:c r="AT17" s="57">
        <x:v>0.410150942811602</x:v>
      </x:c>
      <x:c r="AU17" s="57">
        <x:v>1.65</x:v>
      </x:c>
      <x:c r="AV17" s="57">
        <x:v>3.91</x:v>
      </x:c>
      <x:c r="AW17" s="57">
        <x:v>5.02</x:v>
      </x:c>
      <x:c r="AX17" s="59" t="s">
        <x:v>100</x:v>
      </x:c>
      <x:c r="AY17" s="59" t="s">
        <x:v>101</x:v>
      </x:c>
    </x:row>
    <x:row r="18" ht="22" customHeight="1">
      <x:c r="A18" s="53" t="s">
        <x:v>87</x:v>
      </x:c>
      <x:c r="B18" s="53" t="s">
        <x:v>179</x:v>
      </x:c>
      <x:c r="C18" s="53" t="s">
        <x:v>109</x:v>
      </x:c>
      <x:c r="D18" s="53" t="s">
        <x:v>90</x:v>
      </x:c>
      <x:c r="E18" s="53" t="s">
        <x:v>180</x:v>
      </x:c>
      <x:c r="F18" s="54" t="s">
        <x:v>181</x:v>
      </x:c>
      <x:c r="G18" s="54">
        <x:v>1</x:v>
      </x:c>
      <x:c r="H18" s="54">
        <x:v>1</x:v>
      </x:c>
      <x:c r="I18" s="54">
        <x:v>0.76</x:v>
      </x:c>
      <x:c r="J18" s="53" t="s">
        <x:v>182</x:v>
      </x:c>
      <x:c r="K18" s="53" t="s">
        <x:v>132</x:v>
      </x:c>
      <x:c r="L18" s="55" t="s">
        <x:v>183</x:v>
      </x:c>
      <x:c r="M18" s="55">
        <x:v>0.632</x:v>
      </x:c>
      <x:c r="N18" s="53" t="s">
        <x:v>96</x:v>
      </x:c>
      <x:c r="O18" s="53" t="s">
        <x:v>126</x:v>
      </x:c>
      <x:c r="P18" s="53" t="s">
        <x:v>30</x:v>
      </x:c>
      <x:c r="Q18" s="56" t="s">
        <x:v>23</x:v>
      </x:c>
      <x:c r="R18" s="56">
        <x:v>1</x:v>
      </x:c>
      <x:c r="S18" s="56">
        <x:f t="shared" si="0"/>
        <x:v>-1</x:v>
      </x:c>
      <x:c r="T18" s="53" t="s">
        <x:v>98</x:v>
      </x:c>
      <x:c r="U18" s="53" t="str">
        <x:f t="shared" si="1"/>
        <x:v>红</x:v>
      </x:c>
      <x:c r="V18" s="56">
        <x:f t="shared" si="2"/>
        <x:v>0.76</x:v>
      </x:c>
      <x:c r="W18" s="56">
        <x:f t="shared" si="3"/>
        <x:v>0.76</x:v>
      </x:c>
      <x:c r="X18" s="57">
        <x:v>0.81</x:v>
      </x:c>
      <x:c r="Y18" s="57">
        <x:v>1.25</x:v>
      </x:c>
      <x:c r="Z18" s="57">
        <x:v>1.01</x:v>
      </x:c>
      <x:c r="AA18" s="57">
        <x:v>-1.25</x:v>
      </x:c>
      <x:c r="AB18" s="57">
        <x:v>0.81</x:v>
      </x:c>
      <x:c r="AC18" s="57">
        <x:v>1</x:v>
      </x:c>
      <x:c r="AD18" s="57">
        <x:v>1.36</x:v>
      </x:c>
      <x:c r="AE18" s="57">
        <x:v>4.27</x:v>
      </x:c>
      <x:c r="AF18" s="57">
        <x:v>7.15</x:v>
      </x:c>
      <x:c r="AG18" s="58">
        <x:v>0.109346294977925</x:v>
      </x:c>
      <x:c r="AH18" s="58">
        <x:v>0.0593462949779247</x:v>
      </x:c>
      <x:c r="AI18" s="58">
        <x:v>0.662817481769018</x:v>
      </x:c>
      <x:c r="AJ18" s="58">
        <x:v>0.211108144076315</x:v>
      </x:c>
      <x:c r="AK18" s="58">
        <x:v>0.126074374154666</x:v>
      </x:c>
      <x:c r="AL18" s="57">
        <x:v>1.89</x:v>
      </x:c>
      <x:c r="AM18" s="57">
        <x:v>0.68</x:v>
      </x:c>
      <x:c r="AN18" s="57">
        <x:v>0.00055172212979906</x:v>
      </x:c>
      <x:c r="AO18" s="57">
        <x:v>0.840154245179126</x:v>
      </x:c>
      <x:c r="AP18" s="57">
        <x:v>0.159845754820874</x:v>
      </x:c>
      <x:c r="AQ18" s="59" t="s">
        <x:v>165</x:v>
      </x:c>
      <x:c r="AR18" s="57">
        <x:v>-1</x:v>
      </x:c>
      <x:c r="AS18" s="57">
        <x:v>0.402253316444673</x:v>
      </x:c>
      <x:c r="AT18" s="57">
        <x:v>0.337954831448374</x:v>
      </x:c>
      <x:c r="AU18" s="57">
        <x:v>1.49</x:v>
      </x:c>
      <x:c r="AV18" s="57">
        <x:v>3.86</x:v>
      </x:c>
      <x:c r="AW18" s="57">
        <x:v>5.79</x:v>
      </x:c>
      <x:c r="AX18" s="59" t="s">
        <x:v>100</x:v>
      </x:c>
      <x:c r="AY18" s="59" t="s">
        <x:v>101</x:v>
      </x:c>
    </x:row>
    <x:row r="19" ht="22" customHeight="1">
      <x:c r="A19" s="53" t="s">
        <x:v>87</x:v>
      </x:c>
      <x:c r="B19" s="53" t="s">
        <x:v>179</x:v>
      </x:c>
      <x:c r="C19" s="53" t="s">
        <x:v>144</x:v>
      </x:c>
      <x:c r="D19" s="53" t="s">
        <x:v>116</x:v>
      </x:c>
      <x:c r="E19" s="53" t="s">
        <x:v>156</x:v>
      </x:c>
      <x:c r="F19" s="54" t="s">
        <x:v>184</x:v>
      </x:c>
      <x:c r="G19" s="54">
        <x:v>0.82</x:v>
      </x:c>
      <x:c r="H19" s="54">
        <x:v>0</x:v>
      </x:c>
      <x:c r="I19" s="54">
        <x:v>1.06</x:v>
      </x:c>
      <x:c r="J19" s="53" t="s">
        <x:v>185</x:v>
      </x:c>
      <x:c r="K19" s="53" t="s">
        <x:v>106</x:v>
      </x:c>
      <x:c r="L19" s="55" t="s">
        <x:v>186</x:v>
      </x:c>
      <x:c r="M19" s="55">
        <x:v>0.588</x:v>
      </x:c>
      <x:c r="N19" s="53" t="s">
        <x:v>96</x:v>
      </x:c>
      <x:c r="O19" s="53" t="s">
        <x:v>126</x:v>
      </x:c>
      <x:c r="P19" s="53" t="s">
        <x:v>30</x:v>
      </x:c>
      <x:c r="Q19" s="56" t="s">
        <x:v>17</x:v>
      </x:c>
      <x:c r="R19" s="56">
        <x:v>0.82</x:v>
      </x:c>
      <x:c r="S19" s="56">
        <x:f t="shared" si="0"/>
        <x:v>0</x:v>
      </x:c>
      <x:c r="T19" s="53" t="s">
        <x:v>98</x:v>
      </x:c>
      <x:c r="U19" s="53" t="str">
        <x:f t="shared" si="1"/>
        <x:v>走</x:v>
      </x:c>
      <x:c r="V19" s="56">
        <x:f t="shared" si="2"/>
        <x:v>1.06</x:v>
      </x:c>
      <x:c r="W19" s="56">
        <x:f t="shared" si="3"/>
        <x:v>0</x:v>
      </x:c>
      <x:c r="X19" s="57">
        <x:v>0.85</x:v>
      </x:c>
      <x:c r="Y19" s="57">
        <x:v>0</x:v>
      </x:c>
      <x:c r="Z19" s="57">
        <x:v>1.03</x:v>
      </x:c>
      <x:c r="AA19" s="57">
        <x:v>0</x:v>
      </x:c>
      <x:c r="AB19" s="57">
        <x:v>0.85</x:v>
      </x:c>
      <x:c r="AC19" s="57">
        <x:v>0.82</x:v>
      </x:c>
      <x:c r="AD19" s="57">
        <x:v>2.36</x:v>
      </x:c>
      <x:c r="AE19" s="57">
        <x:v>3.36</x:v>
      </x:c>
      <x:c r="AF19" s="57">
        <x:v>2.84</x:v>
      </x:c>
      <x:c r="AG19" s="58">
        <x:v>0.0734605372347077</x:v>
      </x:c>
      <x:c r="AH19" s="58">
        <x:v>0.0234605372347077</x:v>
      </x:c>
      <x:c r="AI19" s="58">
        <x:v>0.394731616917069</x:v>
      </x:c>
      <x:c r="AJ19" s="58">
        <x:v>0.277251969025084</x:v>
      </x:c>
      <x:c r="AK19" s="58">
        <x:v>0.328016414057846</x:v>
      </x:c>
      <x:c r="AL19" s="57">
        <x:v>1.26</x:v>
      </x:c>
      <x:c r="AM19" s="57">
        <x:v>1.12</x:v>
      </x:c>
      <x:c r="AN19" s="57">
        <x:v>0.000570915463494458</x:v>
      </x:c>
      <x:c r="AO19" s="57">
        <x:v>0.827807026155794</x:v>
      </x:c>
      <x:c r="AP19" s="57">
        <x:v>-0.00780702615579365</x:v>
      </x:c>
      <x:c r="AQ19" s="59" t="s">
        <x:v>174</x:v>
      </x:c>
      <x:c r="AR19" s="57">
        <x:v>0</x:v>
      </x:c>
      <x:c r="AS19" s="57">
        <x:v>0.395481582877733</x:v>
      </x:c>
      <x:c r="AT19" s="57">
        <x:v>0.327382433021402</x:v>
      </x:c>
      <x:c r="AU19" s="57">
        <x:v>2.48</x:v>
      </x:c>
      <x:c r="AV19" s="57">
        <x:v>3.4</x:v>
      </x:c>
      <x:c r="AW19" s="57">
        <x:v>2.73</x:v>
      </x:c>
      <x:c r="AX19" s="59" t="s">
        <x:v>100</x:v>
      </x:c>
      <x:c r="AY19" s="59" t="s">
        <x:v>101</x:v>
      </x:c>
    </x:row>
    <x:row r="20" ht="22" customHeight="1">
      <x:c r="A20" s="53" t="s">
        <x:v>87</x:v>
      </x:c>
      <x:c r="B20" s="53" t="s">
        <x:v>179</x:v>
      </x:c>
      <x:c r="C20" s="53" t="s">
        <x:v>109</x:v>
      </x:c>
      <x:c r="D20" s="53" t="s">
        <x:v>90</x:v>
      </x:c>
      <x:c r="E20" s="53" t="s">
        <x:v>110</x:v>
      </x:c>
      <x:c r="F20" s="54" t="s">
        <x:v>187</x:v>
      </x:c>
      <x:c r="G20" s="54">
        <x:v>1.02</x:v>
      </x:c>
      <x:c r="H20" s="54">
        <x:v>0.75</x:v>
      </x:c>
      <x:c r="I20" s="54">
        <x:v>0.87</x:v>
      </x:c>
      <x:c r="J20" s="53" t="s">
        <x:v>188</x:v>
      </x:c>
      <x:c r="K20" s="53" t="s">
        <x:v>189</x:v>
      </x:c>
      <x:c r="L20" s="55" t="s">
        <x:v>190</x:v>
      </x:c>
      <x:c r="M20" s="55">
        <x:v>0.56</x:v>
      </x:c>
      <x:c r="N20" s="53" t="s">
        <x:v>96</x:v>
      </x:c>
      <x:c r="O20" s="53" t="s">
        <x:v>191</x:v>
      </x:c>
      <x:c r="P20" s="53" t="s">
        <x:v>30</x:v>
      </x:c>
      <x:c r="Q20" s="56" t="s">
        <x:v>23</x:v>
      </x:c>
      <x:c r="R20" s="56">
        <x:v>1.02</x:v>
      </x:c>
      <x:c r="S20" s="56">
        <x:f t="shared" si="0"/>
        <x:v>-1</x:v>
      </x:c>
      <x:c r="T20" s="53" t="s">
        <x:v>98</x:v>
      </x:c>
      <x:c r="U20" s="53" t="str">
        <x:f t="shared" si="1"/>
        <x:v>红</x:v>
      </x:c>
      <x:c r="V20" s="56">
        <x:f t="shared" si="2"/>
        <x:v>0.87</x:v>
      </x:c>
      <x:c r="W20" s="56">
        <x:f t="shared" si="3"/>
        <x:v>0.87</x:v>
      </x:c>
      <x:c r="X20" s="57">
        <x:v>0.88</x:v>
      </x:c>
      <x:c r="Y20" s="57">
        <x:v>0.5</x:v>
      </x:c>
      <x:c r="Z20" s="57">
        <x:v>1</x:v>
      </x:c>
      <x:c r="AA20" s="57">
        <x:v>-0.5</x:v>
      </x:c>
      <x:c r="AB20" s="57">
        <x:v>0.88</x:v>
      </x:c>
      <x:c r="AC20" s="57">
        <x:v>1.02</x:v>
      </x:c>
      <x:c r="AD20" s="57">
        <x:v>1.9</x:v>
      </x:c>
      <x:c r="AE20" s="57">
        <x:v>3.33</x:v>
      </x:c>
      <x:c r="AF20" s="57">
        <x:v>4.02</x:v>
      </x:c>
      <x:c r="AG20" s="58">
        <x:v>0.0753723086794571</x:v>
      </x:c>
      <x:c r="AH20" s="58">
        <x:v>0.0253723086794571</x:v>
      </x:c>
      <x:c r="AI20" s="58">
        <x:v>0.489426578335454</x:v>
      </x:c>
      <x:c r="AJ20" s="58">
        <x:v>0.279252402053262</x:v>
      </x:c>
      <x:c r="AK20" s="58">
        <x:v>0.231321019611284</x:v>
      </x:c>
      <x:c r="AL20" s="57">
        <x:v>1.36</x:v>
      </x:c>
      <x:c r="AM20" s="57">
        <x:v>0.84</x:v>
      </x:c>
      <x:c r="AN20" s="57">
        <x:v>0.0005759674287845</x:v>
      </x:c>
      <x:c r="AO20" s="57">
        <x:v>1.40646197604902</x:v>
      </x:c>
      <x:c r="AP20" s="57">
        <x:v>-0.386461976049023</x:v>
      </x:c>
      <x:c r="AQ20" s="59" t="s">
        <x:v>99</x:v>
      </x:c>
      <x:c r="AR20" s="57">
        <x:v>-0.75</x:v>
      </x:c>
      <x:c r="AS20" s="57">
        <x:v>0.362605081910504</x:v>
      </x:c>
      <x:c r="AT20" s="57">
        <x:v>0.509990260029266</x:v>
      </x:c>
      <x:c r="AU20" s="57">
        <x:v>1.78</x:v>
      </x:c>
      <x:c r="AV20" s="57">
        <x:v>3.46</x:v>
      </x:c>
      <x:c r="AW20" s="57">
        <x:v>4.65</x:v>
      </x:c>
      <x:c r="AX20" s="59" t="s">
        <x:v>100</x:v>
      </x:c>
      <x:c r="AY20" s="59" t="s">
        <x:v>101</x:v>
      </x:c>
    </x:row>
    <x:row r="21" ht="22" customHeight="1">
      <x:c r="A21" s="53" t="s">
        <x:v>87</x:v>
      </x:c>
      <x:c r="B21" s="53" t="s">
        <x:v>179</x:v>
      </x:c>
      <x:c r="C21" s="53" t="s">
        <x:v>128</x:v>
      </x:c>
      <x:c r="D21" s="53" t="s">
        <x:v>116</x:v>
      </x:c>
      <x:c r="E21" s="53" t="s">
        <x:v>192</x:v>
      </x:c>
      <x:c r="F21" s="54" t="s">
        <x:v>193</x:v>
      </x:c>
      <x:c r="G21" s="54">
        <x:v>0.98</x:v>
      </x:c>
      <x:c r="H21" s="54">
        <x:v>0.75</x:v>
      </x:c>
      <x:c r="I21" s="54">
        <x:v>0.84</x:v>
      </x:c>
      <x:c r="J21" s="53" t="s">
        <x:v>194</x:v>
      </x:c>
      <x:c r="K21" s="53" t="s">
        <x:v>195</x:v>
      </x:c>
      <x:c r="L21" s="55" t="s">
        <x:v>196</x:v>
      </x:c>
      <x:c r="M21" s="55">
        <x:v>0.554</x:v>
      </x:c>
      <x:c r="N21" s="53" t="s">
        <x:v>96</x:v>
      </x:c>
      <x:c r="O21" s="53" t="s">
        <x:v>197</x:v>
      </x:c>
      <x:c r="P21" s="53" t="s">
        <x:v>30</x:v>
      </x:c>
      <x:c r="Q21" s="56" t="s">
        <x:v>11</x:v>
      </x:c>
      <x:c r="R21" s="56">
        <x:v>0.98</x:v>
      </x:c>
      <x:c r="S21" s="56">
        <x:f t="shared" si="0"/>
        <x:v>0.98</x:v>
      </x:c>
      <x:c r="T21" s="53" t="s">
        <x:v>98</x:v>
      </x:c>
      <x:c r="U21" s="53" t="str">
        <x:f t="shared" si="1"/>
        <x:v>黑</x:v>
      </x:c>
      <x:c r="V21" s="56">
        <x:f t="shared" si="2"/>
        <x:v>0.84</x:v>
      </x:c>
      <x:c r="W21" s="56">
        <x:f t="shared" si="3"/>
        <x:v>-1</x:v>
      </x:c>
      <x:c r="X21" s="57">
        <x:v>0.96</x:v>
      </x:c>
      <x:c r="Y21" s="57">
        <x:v>0.75</x:v>
      </x:c>
      <x:c r="Z21" s="57">
        <x:v>0.86</x:v>
      </x:c>
      <x:c r="AA21" s="57">
        <x:v>-0.75</x:v>
      </x:c>
      <x:c r="AB21" s="57">
        <x:v>0.96</x:v>
      </x:c>
      <x:c r="AC21" s="57">
        <x:v>0.98</x:v>
      </x:c>
      <x:c r="AD21" s="57">
        <x:v>1.73</x:v>
      </x:c>
      <x:c r="AE21" s="57">
        <x:v>3.43</x:v>
      </x:c>
      <x:c r="AF21" s="57">
        <x:v>4.46</x:v>
      </x:c>
      <x:c r="AG21" s="58">
        <x:v>0.0937951182220693</x:v>
      </x:c>
      <x:c r="AH21" s="58">
        <x:v>0.0437951182220693</x:v>
      </x:c>
      <x:c r="AI21" s="58">
        <x:v>0.528467052422489</x:v>
      </x:c>
      <x:c r="AJ21" s="58">
        <x:v>0.266544606615425</x:v>
      </x:c>
      <x:c r="AK21" s="58">
        <x:v>0.204988340962087</x:v>
      </x:c>
      <x:c r="AL21" s="57">
        <x:v>1.46</x:v>
      </x:c>
      <x:c r="AM21" s="57">
        <x:v>0.8</x:v>
      </x:c>
      <x:c r="AN21" s="57">
        <x:v>0.000637026519623859</x:v>
      </x:c>
      <x:c r="AO21" s="57">
        <x:v>1.18881639816656</x:v>
      </x:c>
      <x:c r="AP21" s="57">
        <x:v>-0.208816398166558</x:v>
      </x:c>
      <x:c r="AQ21" s="59" t="s">
        <x:v>99</x:v>
      </x:c>
      <x:c r="AR21" s="57">
        <x:v>-0.75</x:v>
      </x:c>
      <x:c r="AS21" s="57">
        <x:v>0.397376069899834</x:v>
      </x:c>
      <x:c r="AT21" s="57">
        <x:v>0.472407188135903</x:v>
      </x:c>
      <x:c r="AU21" s="57">
        <x:v>1.74</x:v>
      </x:c>
      <x:c r="AV21" s="57">
        <x:v>3.41</x:v>
      </x:c>
      <x:c r="AW21" s="57">
        <x:v>4.48</x:v>
      </x:c>
      <x:c r="AX21" s="59" t="s">
        <x:v>100</x:v>
      </x:c>
      <x:c r="AY21" s="59" t="s">
        <x:v>101</x:v>
      </x:c>
    </x:row>
    <x:row r="22" ht="22" customHeight="1">
      <x:c r="A22" s="53" t="s">
        <x:v>87</x:v>
      </x:c>
      <x:c r="B22" s="53" t="s">
        <x:v>179</x:v>
      </x:c>
      <x:c r="C22" s="53" t="s">
        <x:v>144</x:v>
      </x:c>
      <x:c r="D22" s="53" t="s">
        <x:v>116</x:v>
      </x:c>
      <x:c r="E22" s="53" t="s">
        <x:v>156</x:v>
      </x:c>
      <x:c r="F22" s="54" t="s">
        <x:v>198</x:v>
      </x:c>
      <x:c r="G22" s="54">
        <x:v>1.03</x:v>
      </x:c>
      <x:c r="H22" s="54">
        <x:v>-0.25</x:v>
      </x:c>
      <x:c r="I22" s="54">
        <x:v>0.85</x:v>
      </x:c>
      <x:c r="J22" s="53" t="s">
        <x:v>199</x:v>
      </x:c>
      <x:c r="K22" s="53" t="s">
        <x:v>159</x:v>
      </x:c>
      <x:c r="L22" s="55" t="s">
        <x:v>200</x:v>
      </x:c>
      <x:c r="M22" s="55">
        <x:v>0.598</x:v>
      </x:c>
      <x:c r="N22" s="53" t="s">
        <x:v>96</x:v>
      </x:c>
      <x:c r="O22" s="53" t="s">
        <x:v>201</x:v>
      </x:c>
      <x:c r="P22" s="53" t="s">
        <x:v>30</x:v>
      </x:c>
      <x:c r="Q22" s="56" t="s">
        <x:v>11</x:v>
      </x:c>
      <x:c r="R22" s="56">
        <x:v>1.03</x:v>
      </x:c>
      <x:c r="S22" s="56">
        <x:f t="shared" si="0"/>
        <x:v>1.03</x:v>
      </x:c>
      <x:c r="T22" s="53" t="s">
        <x:v>98</x:v>
      </x:c>
      <x:c r="U22" s="53" t="str">
        <x:f t="shared" si="1"/>
        <x:v>黑</x:v>
      </x:c>
      <x:c r="V22" s="56">
        <x:f t="shared" si="2"/>
        <x:v>0.85</x:v>
      </x:c>
      <x:c r="W22" s="56">
        <x:f t="shared" si="3"/>
        <x:v>-1</x:v>
      </x:c>
      <x:c r="X22" s="57">
        <x:v>0.85</x:v>
      </x:c>
      <x:c r="Y22" s="57">
        <x:v>-0.25</x:v>
      </x:c>
      <x:c r="Z22" s="57">
        <x:v>1.03</x:v>
      </x:c>
      <x:c r="AA22" s="57">
        <x:v>0.25</x:v>
      </x:c>
      <x:c r="AB22" s="57">
        <x:v>0.85</x:v>
      </x:c>
      <x:c r="AC22" s="57">
        <x:v>1.03</x:v>
      </x:c>
      <x:c r="AD22" s="57">
        <x:v>2.78</x:v>
      </x:c>
      <x:c r="AE22" s="57">
        <x:v>3.4</x:v>
      </x:c>
      <x:c r="AF22" s="57">
        <x:v>2.4</x:v>
      </x:c>
      <x:c r="AG22" s="58">
        <x:v>0.0704965439413177</x:v>
      </x:c>
      <x:c r="AH22" s="58">
        <x:v>0.0204965439413177</x:v>
      </x:c>
      <x:c r="AI22" s="58">
        <x:v>0.336023719321364</x:v>
      </x:c>
      <x:c r="AJ22" s="58">
        <x:v>0.274748805798056</x:v>
      </x:c>
      <x:c r="AK22" s="58">
        <x:v>0.38922747488058</x:v>
      </x:c>
      <x:c r="AL22" s="57">
        <x:v>1.16</x:v>
      </x:c>
      <x:c r="AM22" s="57">
        <x:v>1.27</x:v>
      </x:c>
      <x:c r="AN22" s="57">
        <x:v>0.00047522330511054</x:v>
      </x:c>
      <x:c r="AO22" s="57">
        <x:v>0.82260356005251</x:v>
      </x:c>
      <x:c r="AP22" s="57">
        <x:v>0.20739643994749</x:v>
      </x:c>
      <x:c r="AQ22" s="59" t="s">
        <x:v>142</x:v>
      </x:c>
      <x:c r="AR22" s="57">
        <x:v>0.25</x:v>
      </x:c>
      <x:c r="AS22" s="57">
        <x:v>0.473475771543062</x:v>
      </x:c>
      <x:c r="AT22" s="57">
        <x:v>0.389482855269932</x:v>
      </x:c>
      <x:c r="AU22" s="57">
        <x:v>3.26</x:v>
      </x:c>
      <x:c r="AV22" s="57">
        <x:v>3.5</x:v>
      </x:c>
      <x:c r="AW22" s="57">
        <x:v>2.12</x:v>
      </x:c>
      <x:c r="AX22" s="59" t="s">
        <x:v>100</x:v>
      </x:c>
      <x:c r="AY22" s="59" t="s">
        <x:v>101</x:v>
      </x:c>
    </x:row>
    <x:row r="23" ht="22" customHeight="1">
      <x:c r="A23" s="53" t="s">
        <x:v>87</x:v>
      </x:c>
      <x:c r="B23" s="53" t="s">
        <x:v>202</x:v>
      </x:c>
      <x:c r="C23" s="53" t="s">
        <x:v>128</x:v>
      </x:c>
      <x:c r="D23" s="53" t="s">
        <x:v>90</x:v>
      </x:c>
      <x:c r="E23" s="53" t="s">
        <x:v>129</x:v>
      </x:c>
      <x:c r="F23" s="54" t="s">
        <x:v>203</x:v>
      </x:c>
      <x:c r="G23" s="54">
        <x:v>0.77</x:v>
      </x:c>
      <x:c r="H23" s="54">
        <x:v>0.25</x:v>
      </x:c>
      <x:c r="I23" s="54">
        <x:v>0.93</x:v>
      </x:c>
      <x:c r="J23" s="53" t="s">
        <x:v>204</x:v>
      </x:c>
      <x:c r="K23" s="53" t="s">
        <x:v>106</x:v>
      </x:c>
      <x:c r="L23" s="55" t="s">
        <x:v>205</x:v>
      </x:c>
      <x:c r="M23" s="55">
        <x:v>0.594</x:v>
      </x:c>
      <x:c r="N23" s="53" t="s">
        <x:v>96</x:v>
      </x:c>
      <x:c r="O23" s="53" t="s">
        <x:v>126</x:v>
      </x:c>
      <x:c r="P23" s="53" t="s">
        <x:v>30</x:v>
      </x:c>
      <x:c r="Q23" s="56" t="s">
        <x:v>20</x:v>
      </x:c>
      <x:c r="R23" s="56">
        <x:v>0.77</x:v>
      </x:c>
      <x:c r="S23" s="56">
        <x:f t="shared" si="0"/>
        <x:v>-0.5</x:v>
      </x:c>
      <x:c r="T23" s="53" t="s">
        <x:v>98</x:v>
      </x:c>
      <x:c r="U23" s="53" t="str">
        <x:f t="shared" si="1"/>
        <x:v>半红</x:v>
      </x:c>
      <x:c r="V23" s="56">
        <x:f t="shared" si="2"/>
        <x:v>0.93</x:v>
      </x:c>
      <x:c r="W23" s="56">
        <x:f t="shared" si="3"/>
        <x:v>0.465</x:v>
      </x:c>
      <x:c r="X23" s="57">
        <x:v>0.75</x:v>
      </x:c>
      <x:c r="Y23" s="57">
        <x:v>0.25</x:v>
      </x:c>
      <x:c r="Z23" s="57">
        <x:v>0.95</x:v>
      </x:c>
      <x:c r="AA23" s="57">
        <x:v>-0.25</x:v>
      </x:c>
      <x:c r="AB23" s="57">
        <x:v>0.75</x:v>
      </x:c>
      <x:c r="AC23" s="57">
        <x:v>0.77</x:v>
      </x:c>
      <x:c r="AD23" s="57">
        <x:v>2.1</x:v>
      </x:c>
      <x:c r="AE23" s="57">
        <x:v>3.06</x:v>
      </x:c>
      <x:c r="AF23" s="57">
        <x:v>3.35</x:v>
      </x:c>
      <x:c r="AG23" s="58">
        <x:v>0.101495324497958</x:v>
      </x:c>
      <x:c r="AH23" s="58">
        <x:v>0.0514953244979584</x:v>
      </x:c>
      <x:c r="AI23" s="58">
        <x:v>0.432312753036437</x:v>
      </x:c>
      <x:c r="AJ23" s="58">
        <x:v>0.296685222672065</x:v>
      </x:c>
      <x:c r="AK23" s="58">
        <x:v>0.271002024291498</x:v>
      </x:c>
      <x:c r="AL23" s="57">
        <x:v>1.19</x:v>
      </x:c>
      <x:c r="AM23" s="57">
        <x:v>0.88</x:v>
      </x:c>
      <x:c r="AN23" s="57">
        <x:v>0.000889414182060365</x:v>
      </x:c>
      <x:c r="AO23" s="57">
        <x:v>0.975108821719557</x:v>
      </x:c>
      <x:c r="AP23" s="57">
        <x:v>-0.205108821719557</x:v>
      </x:c>
      <x:c r="AQ23" s="59" t="s">
        <x:v>99</x:v>
      </x:c>
      <x:c r="AR23" s="57">
        <x:v>-0.25</x:v>
      </x:c>
      <x:c r="AS23" s="57">
        <x:v>0.431059198652608</x:v>
      </x:c>
      <x:c r="AT23" s="57">
        <x:v>0.420329627289521</x:v>
      </x:c>
      <x:c r="AU23" s="57">
        <x:v>2.06</x:v>
      </x:c>
      <x:c r="AV23" s="57">
        <x:v>3.03</x:v>
      </x:c>
      <x:c r="AW23" s="57">
        <x:v>3.45</x:v>
      </x:c>
      <x:c r="AX23" s="59" t="s">
        <x:v>100</x:v>
      </x:c>
      <x:c r="AY23" s="59" t="s">
        <x:v>101</x:v>
      </x:c>
    </x:row>
    <x:row r="24" ht="22" customHeight="1">
      <x:c r="A24" s="53" t="s">
        <x:v>87</x:v>
      </x:c>
      <x:c r="B24" s="53" t="s">
        <x:v>206</x:v>
      </x:c>
      <x:c r="C24" s="53" t="s">
        <x:v>128</x:v>
      </x:c>
      <x:c r="D24" s="53" t="s">
        <x:v>116</x:v>
      </x:c>
      <x:c r="E24" s="53" t="s">
        <x:v>207</x:v>
      </x:c>
      <x:c r="F24" s="54" t="s">
        <x:v>208</x:v>
      </x:c>
      <x:c r="G24" s="54">
        <x:v>0.96</x:v>
      </x:c>
      <x:c r="H24" s="54">
        <x:v>0.25</x:v>
      </x:c>
      <x:c r="I24" s="54">
        <x:v>0.74</x:v>
      </x:c>
      <x:c r="J24" s="53" t="s">
        <x:v>209</x:v>
      </x:c>
      <x:c r="K24" s="53" t="s">
        <x:v>195</x:v>
      </x:c>
      <x:c r="L24" s="55" t="s">
        <x:v>210</x:v>
      </x:c>
      <x:c r="M24" s="55">
        <x:v>0.554</x:v>
      </x:c>
      <x:c r="N24" s="53" t="s">
        <x:v>96</x:v>
      </x:c>
      <x:c r="O24" s="53" t="s">
        <x:v>191</x:v>
      </x:c>
      <x:c r="P24" s="53" t="s">
        <x:v>30</x:v>
      </x:c>
      <x:c r="Q24" s="56" t="s">
        <x:v>23</x:v>
      </x:c>
      <x:c r="R24" s="56">
        <x:v>0.96</x:v>
      </x:c>
      <x:c r="S24" s="56">
        <x:f t="shared" si="0"/>
        <x:v>-1</x:v>
      </x:c>
      <x:c r="T24" s="53" t="s">
        <x:v>98</x:v>
      </x:c>
      <x:c r="U24" s="53" t="str">
        <x:f t="shared" si="1"/>
        <x:v>红</x:v>
      </x:c>
      <x:c r="V24" s="56">
        <x:f t="shared" si="2"/>
        <x:v>0.74</x:v>
      </x:c>
      <x:c r="W24" s="56">
        <x:f t="shared" si="3"/>
        <x:v>0.74</x:v>
      </x:c>
      <x:c r="X24" s="57">
        <x:v>0.95</x:v>
      </x:c>
      <x:c r="Y24" s="57">
        <x:v>0.25</x:v>
      </x:c>
      <x:c r="Z24" s="57">
        <x:v>0.75</x:v>
      </x:c>
      <x:c r="AA24" s="57">
        <x:v>-0.25</x:v>
      </x:c>
      <x:c r="AB24" s="57">
        <x:v>0.95</x:v>
      </x:c>
      <x:c r="AC24" s="57">
        <x:v>0.96</x:v>
      </x:c>
      <x:c r="AD24" s="57">
        <x:v>2.22</x:v>
      </x:c>
      <x:c r="AE24" s="57">
        <x:v>3.01</x:v>
      </x:c>
      <x:c r="AF24" s="57">
        <x:v>3.01</x:v>
      </x:c>
      <x:c r="AG24" s="58">
        <x:v>0.114902277692975</x:v>
      </x:c>
      <x:c r="AH24" s="58">
        <x:v>0.0649022776929753</x:v>
      </x:c>
      <x:c r="AI24" s="58">
        <x:v>0.404026845637584</x:v>
      </x:c>
      <x:c r="AJ24" s="58">
        <x:v>0.297986577181208</x:v>
      </x:c>
      <x:c r="AK24" s="58">
        <x:v>0.297986577181208</x:v>
      </x:c>
      <x:c r="AL24" s="57">
        <x:v>1.15</x:v>
      </x:c>
      <x:c r="AM24" s="57">
        <x:v>0.94</x:v>
      </x:c>
      <x:c r="AN24" s="57">
        <x:v>0.000722902646433118</x:v>
      </x:c>
      <x:c r="AO24" s="57">
        <x:v>1.10203811462196</x:v>
      </x:c>
      <x:c r="AP24" s="57">
        <x:v>-0.142038114621963</x:v>
      </x:c>
      <x:c r="AQ24" s="59" t="s">
        <x:v>99</x:v>
      </x:c>
      <x:c r="AR24" s="57">
        <x:v>-0.25</x:v>
      </x:c>
      <x:c r="AS24" s="57">
        <x:v>0.404803956178846</x:v>
      </x:c>
      <x:c r="AT24" s="57">
        <x:v>0.446109388658847</x:v>
      </x:c>
      <x:c r="AU24" s="57">
        <x:v>2.27</x:v>
      </x:c>
      <x:c r="AV24" s="57">
        <x:v>2.94</x:v>
      </x:c>
      <x:c r="AW24" s="57">
        <x:v>2.99</x:v>
      </x:c>
      <x:c r="AX24" s="59" t="s">
        <x:v>100</x:v>
      </x:c>
      <x:c r="AY24" s="59" t="s">
        <x:v>101</x:v>
      </x:c>
    </x:row>
    <x:row r="25" ht="22" customHeight="1">
      <x:c r="A25" s="53" t="s">
        <x:v>87</x:v>
      </x:c>
      <x:c r="B25" s="53" t="s">
        <x:v>211</x:v>
      </x:c>
      <x:c r="C25" s="53" t="s">
        <x:v>128</x:v>
      </x:c>
      <x:c r="D25" s="53" t="s">
        <x:v>116</x:v>
      </x:c>
      <x:c r="E25" s="53" t="s">
        <x:v>212</x:v>
      </x:c>
      <x:c r="F25" s="54" t="s">
        <x:v>213</x:v>
      </x:c>
      <x:c r="G25" s="54">
        <x:v>0.81</x:v>
      </x:c>
      <x:c r="H25" s="54">
        <x:v>-0.25</x:v>
      </x:c>
      <x:c r="I25" s="54">
        <x:v>1.07</x:v>
      </x:c>
      <x:c r="J25" s="53" t="s">
        <x:v>214</x:v>
      </x:c>
      <x:c r="K25" s="53" t="s">
        <x:v>189</x:v>
      </x:c>
      <x:c r="L25" s="55" t="s">
        <x:v>215</x:v>
      </x:c>
      <x:c r="M25" s="55">
        <x:v>0.574</x:v>
      </x:c>
      <x:c r="N25" s="53" t="s">
        <x:v>96</x:v>
      </x:c>
      <x:c r="O25" s="53" t="s">
        <x:v>149</x:v>
      </x:c>
      <x:c r="P25" s="53" t="s">
        <x:v>30</x:v>
      </x:c>
      <x:c r="Q25" s="56" t="s">
        <x:v>20</x:v>
      </x:c>
      <x:c r="R25" s="56">
        <x:v>1.07</x:v>
      </x:c>
      <x:c r="S25" s="56">
        <x:f t="shared" si="0"/>
        <x:v>-0.5</x:v>
      </x:c>
      <x:c r="T25" s="53" t="s">
        <x:v>98</x:v>
      </x:c>
      <x:c r="U25" s="53" t="str">
        <x:f t="shared" si="1"/>
        <x:v>半红</x:v>
      </x:c>
      <x:c r="V25" s="56">
        <x:f t="shared" si="2"/>
        <x:v>0.81</x:v>
      </x:c>
      <x:c r="W25" s="56">
        <x:f t="shared" si="3"/>
        <x:v>0.405</x:v>
      </x:c>
      <x:c r="X25" s="57">
        <x:v>1.11</x:v>
      </x:c>
      <x:c r="Y25" s="57">
        <x:v>0</x:v>
      </x:c>
      <x:c r="Z25" s="57">
        <x:v>0.78</x:v>
      </x:c>
      <x:c r="AA25" s="57">
        <x:v>0</x:v>
      </x:c>
      <x:c r="AB25" s="57">
        <x:v>0.78</x:v>
      </x:c>
      <x:c r="AC25" s="57">
        <x:v>1.07</x:v>
      </x:c>
      <x:c r="AD25" s="57">
        <x:v>3.05</x:v>
      </x:c>
      <x:c r="AE25" s="57">
        <x:v>2.83</x:v>
      </x:c>
      <x:c r="AF25" s="57">
        <x:v>2.48</x:v>
      </x:c>
      <x:c r="AG25" s="58">
        <x:v>0.0844515493699933</x:v>
      </x:c>
      <x:c r="AH25" s="58">
        <x:v>0.0344515493699933</x:v>
      </x:c>
      <x:c r="AI25" s="58">
        <x:v>0.302336100353667</x:v>
      </x:c>
      <x:c r="AJ25" s="58">
        <x:v>0.325839260098476</x:v>
      </x:c>
      <x:c r="AK25" s="58">
        <x:v>0.371824639547857</x:v>
      </x:c>
      <x:c r="AL25" s="57">
        <x:v>0.84</x:v>
      </x:c>
      <x:c r="AM25" s="57">
        <x:v>0.97</x:v>
      </x:c>
      <x:c r="AN25" s="57">
        <x:v>0.000848107486528689</x:v>
      </x:c>
      <x:c r="AO25" s="57">
        <x:v>1.24872274298847</x:v>
      </x:c>
      <x:c r="AP25" s="57">
        <x:v>-0.178722742988472</x:v>
      </x:c>
      <x:c r="AQ25" s="59" t="s">
        <x:v>99</x:v>
      </x:c>
      <x:c r="AR25" s="57">
        <x:v>-0.25</x:v>
      </x:c>
      <x:c r="AS25" s="57">
        <x:v>0.372044421321084</x:v>
      </x:c>
      <x:c r="AT25" s="57">
        <x:v>0.464580330305622</x:v>
      </x:c>
      <x:c r="AU25" s="57">
        <x:v>3.06</x:v>
      </x:c>
      <x:c r="AV25" s="57">
        <x:v>2.93</x:v>
      </x:c>
      <x:c r="AW25" s="57">
        <x:v>2.44</x:v>
      </x:c>
      <x:c r="AX25" s="59" t="s">
        <x:v>100</x:v>
      </x:c>
      <x:c r="AY25" s="59" t="s">
        <x:v>101</x:v>
      </x:c>
    </x:row>
    <x:row r="26" ht="22" customHeight="1">
      <x:c r="A26" s="53" t="s">
        <x:v>87</x:v>
      </x:c>
      <x:c r="B26" s="53" t="s">
        <x:v>216</x:v>
      </x:c>
      <x:c r="C26" s="53" t="s">
        <x:v>89</x:v>
      </x:c>
      <x:c r="D26" s="53" t="s">
        <x:v>90</x:v>
      </x:c>
      <x:c r="E26" s="53" t="s">
        <x:v>217</x:v>
      </x:c>
      <x:c r="F26" s="54" t="s">
        <x:v>218</x:v>
      </x:c>
      <x:c r="G26" s="54">
        <x:v>0.82</x:v>
      </x:c>
      <x:c r="H26" s="54">
        <x:v>0.25</x:v>
      </x:c>
      <x:c r="I26" s="54">
        <x:v>0.94</x:v>
      </x:c>
      <x:c r="J26" s="53" t="s">
        <x:v>219</x:v>
      </x:c>
      <x:c r="K26" s="53" t="s">
        <x:v>106</x:v>
      </x:c>
      <x:c r="L26" s="55" t="s">
        <x:v>220</x:v>
      </x:c>
      <x:c r="M26" s="55">
        <x:v>0.598</x:v>
      </x:c>
      <x:c r="N26" s="53" t="s">
        <x:v>96</x:v>
      </x:c>
      <x:c r="O26" s="53" t="s">
        <x:v>114</x:v>
      </x:c>
      <x:c r="P26" s="53" t="s">
        <x:v>30</x:v>
      </x:c>
      <x:c r="Q26" s="56" t="s">
        <x:v>23</x:v>
      </x:c>
      <x:c r="R26" s="56">
        <x:v>0.82</x:v>
      </x:c>
      <x:c r="S26" s="56">
        <x:f t="shared" si="0"/>
        <x:v>-1</x:v>
      </x:c>
      <x:c r="T26" s="53" t="s">
        <x:v>98</x:v>
      </x:c>
      <x:c r="U26" s="53" t="str">
        <x:f t="shared" si="1"/>
        <x:v>红</x:v>
      </x:c>
      <x:c r="V26" s="56">
        <x:f t="shared" si="2"/>
        <x:v>0.94</x:v>
      </x:c>
      <x:c r="W26" s="56">
        <x:f t="shared" si="3"/>
        <x:v>0.94</x:v>
      </x:c>
      <x:c r="X26" s="57">
        <x:v>0.78</x:v>
      </x:c>
      <x:c r="Y26" s="57">
        <x:v>0.25</x:v>
      </x:c>
      <x:c r="Z26" s="57">
        <x:v>0.98</x:v>
      </x:c>
      <x:c r="AA26" s="57">
        <x:v>-0.25</x:v>
      </x:c>
      <x:c r="AB26" s="57">
        <x:v>0.78</x:v>
      </x:c>
      <x:c r="AC26" s="57">
        <x:v>0.82</x:v>
      </x:c>
      <x:c r="AD26" s="57">
        <x:v>2.02</x:v>
      </x:c>
      <x:c r="AE26" s="57">
        <x:v>3.5</x:v>
      </x:c>
      <x:c r="AF26" s="57">
        <x:v>3.12</x:v>
      </x:c>
      <x:c r="AG26" s="58">
        <x:v>0.101276611177601</x:v>
      </x:c>
      <x:c r="AH26" s="58">
        <x:v>0.0512766111776013</x:v>
      </x:c>
      <x:c r="AI26" s="58">
        <x:v>0.449523307701174</x:v>
      </x:c>
      <x:c r="AJ26" s="58">
        <x:v>0.259439166158963</x:v>
      </x:c>
      <x:c r="AK26" s="58">
        <x:v>0.291037526139863</x:v>
      </x:c>
      <x:c r="AL26" s="57">
        <x:v>1.47</x:v>
      </x:c>
      <x:c r="AM26" s="57">
        <x:v>1.13</x:v>
      </x:c>
      <x:c r="AN26" s="57">
        <x:v>3.89658275802409e-5</x:v>
      </x:c>
      <x:c r="AO26" s="57">
        <x:v>0.935859308340532</x:v>
      </x:c>
      <x:c r="AP26" s="57">
        <x:v>-0.115859308340532</x:v>
      </x:c>
      <x:c r="AQ26" s="59" t="s">
        <x:v>99</x:v>
      </x:c>
      <x:c r="AR26" s="57">
        <x:v>-0.25</x:v>
      </x:c>
      <x:c r="AS26" s="57">
        <x:v>0.449570207081013</x:v>
      </x:c>
      <x:c r="AT26" s="57">
        <x:v>0.420734463049347</x:v>
      </x:c>
      <x:c r="AU26" s="57">
        <x:v>2.03</x:v>
      </x:c>
      <x:c r="AV26" s="57">
        <x:v>3.44</x:v>
      </x:c>
      <x:c r="AW26" s="57">
        <x:v>3.11</x:v>
      </x:c>
      <x:c r="AX26" s="59" t="s">
        <x:v>100</x:v>
      </x:c>
      <x:c r="AY26" s="59" t="s">
        <x:v>101</x:v>
      </x:c>
    </x:row>
    <x:row r="27" ht="22" customHeight="1">
      <x:c r="A27" s="53" t="s">
        <x:v>87</x:v>
      </x:c>
      <x:c r="B27" s="53" t="s">
        <x:v>221</x:v>
      </x:c>
      <x:c r="C27" s="53" t="s">
        <x:v>128</x:v>
      </x:c>
      <x:c r="D27" s="53" t="s">
        <x:v>116</x:v>
      </x:c>
      <x:c r="E27" s="53" t="s">
        <x:v>222</x:v>
      </x:c>
      <x:c r="F27" s="54" t="s">
        <x:v>223</x:v>
      </x:c>
      <x:c r="G27" s="54">
        <x:v>0.83</x:v>
      </x:c>
      <x:c r="H27" s="54">
        <x:v>0.75</x:v>
      </x:c>
      <x:c r="I27" s="54">
        <x:v>1.05</x:v>
      </x:c>
      <x:c r="J27" s="53" t="s">
        <x:v>224</x:v>
      </x:c>
      <x:c r="K27" s="53" t="s">
        <x:v>106</x:v>
      </x:c>
      <x:c r="L27" s="55" t="s">
        <x:v>225</x:v>
      </x:c>
      <x:c r="M27" s="55">
        <x:v>0.594</x:v>
      </x:c>
      <x:c r="N27" s="53" t="s">
        <x:v>96</x:v>
      </x:c>
      <x:c r="O27" s="53" t="s">
        <x:v>149</x:v>
      </x:c>
      <x:c r="P27" s="53" t="s">
        <x:v>30</x:v>
      </x:c>
      <x:c r="Q27" s="56" t="s">
        <x:v>23</x:v>
      </x:c>
      <x:c r="R27" s="56">
        <x:v>0.83</x:v>
      </x:c>
      <x:c r="S27" s="56">
        <x:f t="shared" si="0"/>
        <x:v>-1</x:v>
      </x:c>
      <x:c r="T27" s="53" t="s">
        <x:v>98</x:v>
      </x:c>
      <x:c r="U27" s="53" t="str">
        <x:f t="shared" si="1"/>
        <x:v>红</x:v>
      </x:c>
      <x:c r="V27" s="56">
        <x:f t="shared" si="2"/>
        <x:v>1.05</x:v>
      </x:c>
      <x:c r="W27" s="56">
        <x:f t="shared" si="3"/>
        <x:v>1.05</x:v>
      </x:c>
      <x:c r="X27" s="57">
        <x:v>0.78</x:v>
      </x:c>
      <x:c r="Y27" s="57">
        <x:v>0.75</x:v>
      </x:c>
      <x:c r="Z27" s="57">
        <x:v>1.04</x:v>
      </x:c>
      <x:c r="AA27" s="57">
        <x:v>-0.75</x:v>
      </x:c>
      <x:c r="AB27" s="57">
        <x:v>0.78</x:v>
      </x:c>
      <x:c r="AC27" s="57">
        <x:v>0.83</x:v>
      </x:c>
      <x:c r="AD27" s="57">
        <x:v>1.6</x:v>
      </x:c>
      <x:c r="AE27" s="57">
        <x:v>3.75</x:v>
      </x:c>
      <x:c r="AF27" s="57">
        <x:v>4.8</x:v>
      </x:c>
      <x:c r="AG27" s="58">
        <x:v>0.0999999999999999</x:v>
      </x:c>
      <x:c r="AH27" s="58">
        <x:v>0.0499999999999999</x:v>
      </x:c>
      <x:c r="AI27" s="58">
        <x:v>0.568181818181818</x:v>
      </x:c>
      <x:c r="AJ27" s="58">
        <x:v>0.242424242424242</x:v>
      </x:c>
      <x:c r="AK27" s="58">
        <x:v>0.189393939393939</x:v>
      </x:c>
      <x:c r="AL27" s="57">
        <x:v>1.67</x:v>
      </x:c>
      <x:c r="AM27" s="57">
        <x:v>0.85</x:v>
      </x:c>
      <x:c r="AN27" s="57">
        <x:v>0.000242371980381105</x:v>
      </x:c>
      <x:c r="AO27" s="57">
        <x:v>0.980555101073842</x:v>
      </x:c>
      <x:c r="AP27" s="57">
        <x:v>-0.150555101073842</x:v>
      </x:c>
      <x:c r="AQ27" s="59" t="s">
        <x:v>99</x:v>
      </x:c>
      <x:c r="AR27" s="57">
        <x:v>-0.75</x:v>
      </x:c>
      <x:c r="AS27" s="57">
        <x:v>0.440491435762958</x:v>
      </x:c>
      <x:c r="AT27" s="57">
        <x:v>0.431926124316709</x:v>
      </x:c>
      <x:c r="AU27" s="57">
        <x:v>1.57</x:v>
      </x:c>
      <x:c r="AV27" s="57">
        <x:v>3.85</x:v>
      </x:c>
      <x:c r="AW27" s="57">
        <x:v>4.9</x:v>
      </x:c>
      <x:c r="AX27" s="59" t="s">
        <x:v>226</x:v>
      </x:c>
      <x:c r="AY27" s="59" t="s">
        <x:v>101</x:v>
      </x:c>
    </x:row>
    <x:row r="28" ht="22" customHeight="1">
      <x:c r="A28" s="53" t="s">
        <x:v>87</x:v>
      </x:c>
      <x:c r="B28" s="53" t="s">
        <x:v>221</x:v>
      </x:c>
      <x:c r="C28" s="53" t="s">
        <x:v>128</x:v>
      </x:c>
      <x:c r="D28" s="53" t="s">
        <x:v>90</x:v>
      </x:c>
      <x:c r="E28" s="53" t="s">
        <x:v>227</x:v>
      </x:c>
      <x:c r="F28" s="54" t="s">
        <x:v>228</x:v>
      </x:c>
      <x:c r="G28" s="54">
        <x:v>0.8</x:v>
      </x:c>
      <x:c r="H28" s="54">
        <x:v>0</x:v>
      </x:c>
      <x:c r="I28" s="54">
        <x:v>1.09</x:v>
      </x:c>
      <x:c r="J28" s="53" t="s">
        <x:v>229</x:v>
      </x:c>
      <x:c r="K28" s="53" t="s">
        <x:v>106</x:v>
      </x:c>
      <x:c r="L28" s="55" t="s">
        <x:v>230</x:v>
      </x:c>
      <x:c r="M28" s="55">
        <x:v>0.594</x:v>
      </x:c>
      <x:c r="N28" s="53" t="s">
        <x:v>96</x:v>
      </x:c>
      <x:c r="O28" s="53" t="s">
        <x:v>231</x:v>
      </x:c>
      <x:c r="P28" s="53" t="s">
        <x:v>30</x:v>
      </x:c>
      <x:c r="Q28" s="56" t="s">
        <x:v>11</x:v>
      </x:c>
      <x:c r="R28" s="56">
        <x:v>0.8</x:v>
      </x:c>
      <x:c r="S28" s="56">
        <x:f t="shared" si="0"/>
        <x:v>0.8</x:v>
      </x:c>
      <x:c r="T28" s="53" t="s">
        <x:v>98</x:v>
      </x:c>
      <x:c r="U28" s="53" t="str">
        <x:f t="shared" si="1"/>
        <x:v>黑</x:v>
      </x:c>
      <x:c r="V28" s="56">
        <x:f t="shared" si="2"/>
        <x:v>1.09</x:v>
      </x:c>
      <x:c r="W28" s="56">
        <x:f t="shared" si="3"/>
        <x:v>-1</x:v>
      </x:c>
      <x:c r="X28" s="57">
        <x:v>0.77</x:v>
      </x:c>
      <x:c r="Y28" s="57">
        <x:v>0</x:v>
      </x:c>
      <x:c r="Z28" s="57">
        <x:v>1.12</x:v>
      </x:c>
      <x:c r="AA28" s="57">
        <x:v>0</x:v>
      </x:c>
      <x:c r="AB28" s="57">
        <x:v>0.77</x:v>
      </x:c>
      <x:c r="AC28" s="57">
        <x:v>0.8</x:v>
      </x:c>
      <x:c r="AD28" s="57">
        <x:v>2.52</x:v>
      </x:c>
      <x:c r="AE28" s="57">
        <x:v>2.88</x:v>
      </x:c>
      <x:c r="AF28" s="57">
        <x:v>2.97</x:v>
      </x:c>
      <x:c r="AG28" s="58">
        <x:v>0.0807479557479558</x:v>
      </x:c>
      <x:c r="AH28" s="58">
        <x:v>0.0307479557479558</x:v>
      </x:c>
      <x:c r="AI28" s="58">
        <x:v>0.367176634214186</x:v>
      </x:c>
      <x:c r="AJ28" s="58">
        <x:v>0.321279554937413</x:v>
      </x:c>
      <x:c r="AK28" s="58">
        <x:v>0.3115438108484</x:v>
      </x:c>
      <x:c r="AL28" s="57">
        <x:v>0.98</x:v>
      </x:c>
      <x:c r="AM28" s="57">
        <x:v>0.88</x:v>
      </x:c>
      <x:c r="AN28" s="57">
        <x:v>0.000789635777959625</x:v>
      </x:c>
      <x:c r="AO28" s="57">
        <x:v>0.852703450402444</x:v>
      </x:c>
      <x:c r="AP28" s="57">
        <x:v>-0.0527034504024444</x:v>
      </x:c>
      <x:c r="AQ28" s="59" t="s">
        <x:v>150</x:v>
      </x:c>
      <x:c r="AR28" s="57">
        <x:v>0</x:v>
      </x:c>
      <x:c r="AS28" s="57">
        <x:v>0.366060860018672</x:v>
      </x:c>
      <x:c r="AT28" s="57">
        <x:v>0.312141358395208</x:v>
      </x:c>
      <x:c r="AU28" s="57">
        <x:v>2.44</x:v>
      </x:c>
      <x:c r="AV28" s="57">
        <x:v>3.05</x:v>
      </x:c>
      <x:c r="AW28" s="57">
        <x:v>2.94</x:v>
      </x:c>
      <x:c r="AX28" s="59" t="s">
        <x:v>226</x:v>
      </x:c>
      <x:c r="AY28" s="59" t="s">
        <x:v>101</x:v>
      </x:c>
    </x:row>
    <x:row r="29" ht="22" customHeight="1">
      <x:c r="A29" s="53" t="s">
        <x:v>87</x:v>
      </x:c>
      <x:c r="B29" s="53" t="s">
        <x:v>232</x:v>
      </x:c>
      <x:c r="C29" s="53" t="s">
        <x:v>128</x:v>
      </x:c>
      <x:c r="D29" s="53" t="s">
        <x:v>116</x:v>
      </x:c>
      <x:c r="E29" s="53" t="s">
        <x:v>233</x:v>
      </x:c>
      <x:c r="F29" s="54" t="s">
        <x:v>234</x:v>
      </x:c>
      <x:c r="G29" s="54">
        <x:v>0.98</x:v>
      </x:c>
      <x:c r="H29" s="54">
        <x:v>-0.25</x:v>
      </x:c>
      <x:c r="I29" s="54">
        <x:v>0.91</x:v>
      </x:c>
      <x:c r="J29" s="53" t="s">
        <x:v>235</x:v>
      </x:c>
      <x:c r="K29" s="53" t="s">
        <x:v>94</x:v>
      </x:c>
      <x:c r="L29" s="55" t="s">
        <x:v>236</x:v>
      </x:c>
      <x:c r="M29" s="55">
        <x:v>0.538</x:v>
      </x:c>
      <x:c r="N29" s="53" t="s">
        <x:v>96</x:v>
      </x:c>
      <x:c r="O29" s="53" t="s">
        <x:v>169</x:v>
      </x:c>
      <x:c r="P29" s="53" t="s">
        <x:v>30</x:v>
      </x:c>
      <x:c r="Q29" s="56" t="s">
        <x:v>23</x:v>
      </x:c>
      <x:c r="R29" s="56">
        <x:v>0.98</x:v>
      </x:c>
      <x:c r="S29" s="56">
        <x:f t="shared" si="0"/>
        <x:v>-1</x:v>
      </x:c>
      <x:c r="T29" s="53" t="s">
        <x:v>98</x:v>
      </x:c>
      <x:c r="U29" s="53" t="str">
        <x:f t="shared" si="1"/>
        <x:v>红</x:v>
      </x:c>
      <x:c r="V29" s="56">
        <x:f t="shared" si="2"/>
        <x:v>0.91</x:v>
      </x:c>
      <x:c r="W29" s="56">
        <x:f t="shared" si="3"/>
        <x:v>0.91</x:v>
      </x:c>
      <x:c r="X29" s="57">
        <x:v>0.87</x:v>
      </x:c>
      <x:c r="Y29" s="57">
        <x:v>0</x:v>
      </x:c>
      <x:c r="Z29" s="57">
        <x:v>0.95</x:v>
      </x:c>
      <x:c r="AA29" s="57">
        <x:v>0</x:v>
      </x:c>
      <x:c r="AB29" s="57">
        <x:v>0.87</x:v>
      </x:c>
      <x:c r="AC29" s="57">
        <x:v>0.98</x:v>
      </x:c>
      <x:c r="AD29" s="57">
        <x:v>3.35</x:v>
      </x:c>
      <x:c r="AE29" s="57">
        <x:v>3.05</x:v>
      </x:c>
      <x:c r="AF29" s="57">
        <x:v>2.21</x:v>
      </x:c>
      <x:c r="AG29" s="58">
        <x:v>0.078865002928389</x:v>
      </x:c>
      <x:c r="AH29" s="58">
        <x:v>0.0288650029283891</x:v>
      </x:c>
      <x:c r="AI29" s="58">
        <x:v>0.276686575128789</x:v>
      </x:c>
      <x:c r="AJ29" s="58">
        <x:v>0.303901648092277</x:v>
      </x:c>
      <x:c r="AK29" s="58">
        <x:v>0.419411776778934</x:v>
      </x:c>
      <x:c r="AL29" s="57">
        <x:v>0.87</x:v>
      </x:c>
      <x:c r="AM29" s="57">
        <x:v>1.14</x:v>
      </x:c>
      <x:c r="AN29" s="57">
        <x:v>0.000868868814726995</x:v>
      </x:c>
      <x:c r="AO29" s="57">
        <x:v>0.973889016524272</x:v>
      </x:c>
      <x:c r="AP29" s="57">
        <x:v>0.0061109834757278</x:v>
      </x:c>
      <x:c r="AQ29" s="59" t="s">
        <x:v>174</x:v>
      </x:c>
      <x:c r="AR29" s="57">
        <x:v>0.25</x:v>
      </x:c>
      <x:c r="AS29" s="57">
        <x:v>0.429686247660808</x:v>
      </x:c>
      <x:c r="AT29" s="57">
        <x:v>0.418466717148389</x:v>
      </x:c>
      <x:c r="AU29" s="57">
        <x:v>2.55</x:v>
      </x:c>
      <x:c r="AV29" s="57">
        <x:v>3.2</x:v>
      </x:c>
      <x:c r="AW29" s="57">
        <x:v>2.66</x:v>
      </x:c>
      <x:c r="AX29" s="59" t="s">
        <x:v>226</x:v>
      </x:c>
      <x:c r="AY29" s="59" t="s">
        <x:v>101</x:v>
      </x:c>
    </x:row>
    <x:row r="30" ht="22" customHeight="1">
      <x:c r="A30" s="49" t="s">
        <x:v>237</x:v>
      </x:c>
      <x:c r="B30" s="49" t="s">
        <x:v>238</x:v>
      </x:c>
      <x:c r="C30" s="49" t="s">
        <x:v>239</x:v>
      </x:c>
      <x:c r="D30" s="49" t="s">
        <x:v>116</x:v>
      </x:c>
      <x:c r="E30" s="49" t="s">
        <x:v>240</x:v>
      </x:c>
      <x:c r="F30" s="49" t="s">
        <x:v>241</x:v>
      </x:c>
      <x:c r="G30" s="60">
        <x:v>0.82</x:v>
      </x:c>
      <x:c r="H30" s="60">
        <x:v>1</x:v>
      </x:c>
      <x:c r="I30" s="60">
        <x:v>1.07</x:v>
      </x:c>
      <x:c r="J30" s="49" t="s">
        <x:v>242</x:v>
      </x:c>
      <x:c r="K30" s="49" t="s">
        <x:v>106</x:v>
      </x:c>
      <x:c r="L30" s="49" t="s">
        <x:v>243</x:v>
      </x:c>
      <x:c r="M30" s="61">
        <x:v>0.5874</x:v>
      </x:c>
      <x:c r="N30" s="49" t="s">
        <x:v>96</x:v>
      </x:c>
      <x:c r="O30" s="49" t="s">
        <x:v>141</x:v>
      </x:c>
      <x:c r="P30" s="49" t="s">
        <x:v>30</x:v>
      </x:c>
      <x:c r="Q30" s="49" t="s">
        <x:v>11</x:v>
      </x:c>
      <x:c r="R30" s="50">
        <x:v>0.82</x:v>
      </x:c>
      <x:c r="S30" s="50">
        <x:f t="shared" si="0"/>
        <x:v>0.82</x:v>
      </x:c>
      <x:c r="T30" s="49" t="s">
        <x:v>98</x:v>
      </x:c>
      <x:c r="U30" s="49" t="str">
        <x:f t="shared" si="1"/>
        <x:v>黑</x:v>
      </x:c>
      <x:c r="V30" s="50">
        <x:f t="shared" si="2"/>
        <x:v>1.07</x:v>
      </x:c>
      <x:c r="W30" s="50">
        <x:f t="shared" si="3"/>
        <x:v>-1</x:v>
      </x:c>
      <x:c r="X30" s="57">
        <x:v>0.9</x:v>
      </x:c>
      <x:c r="Y30" s="57">
        <x:v>1</x:v>
      </x:c>
      <x:c r="Z30" s="57">
        <x:v>0.98</x:v>
      </x:c>
      <x:c r="AA30" s="57">
        <x:v>-1</x:v>
      </x:c>
      <x:c r="AB30" s="57">
        <x:v>0.9</x:v>
      </x:c>
      <x:c r="AC30" s="57">
        <x:v>0.82</x:v>
      </x:c>
      <x:c r="AD30" s="57">
        <x:v>1.53</x:v>
      </x:c>
      <x:c r="AE30" s="57">
        <x:v>4.13</x:v>
      </x:c>
      <x:c r="AF30" s="57">
        <x:v>5.36</x:v>
      </x:c>
      <x:c r="AG30" s="58">
        <x:v>0.0822926860262614</x:v>
      </x:c>
      <x:c r="AH30" s="58">
        <x:v>0.0322926860262614</x:v>
      </x:c>
      <x:c r="AI30" s="58">
        <x:v>0.603898353634417</x:v>
      </x:c>
      <x:c r="AJ30" s="58">
        <x:v>0.223720213331878</x:v>
      </x:c>
      <x:c r="AK30" s="58">
        <x:v>0.172381433033705</x:v>
      </x:c>
      <x:c r="AL30" s="57">
        <x:v>1.85</x:v>
      </x:c>
      <x:c r="AM30" s="57">
        <x:v>0.87</x:v>
      </x:c>
      <x:c r="AN30" s="57">
        <x:v>0.000707154103414892</x:v>
      </x:c>
      <x:c r="AO30" s="57">
        <x:v>1.11373500655932</x:v>
      </x:c>
      <x:c r="AP30" s="57">
        <x:v>-0.293735006559321</x:v>
      </x:c>
      <x:c r="AQ30" s="59" t="s">
        <x:v>99</x:v>
      </x:c>
      <x:c r="AR30" s="57">
        <x:v>-1</x:v>
      </x:c>
      <x:c r="AS30" s="57">
        <x:v>0.354785042267458</x:v>
      </x:c>
      <x:c r="AT30" s="57">
        <x:v>0.395136521376896</x:v>
      </x:c>
      <x:c r="AU30" s="57">
        <x:v>1.5</x:v>
      </x:c>
      <x:c r="AV30" s="57">
        <x:v>4.49</x:v>
      </x:c>
      <x:c r="AW30" s="57">
        <x:v>5.63</x:v>
      </x:c>
      <x:c r="AX30" s="59" t="s">
        <x:v>100</x:v>
      </x:c>
      <x:c r="AY30" s="59" t="s">
        <x:v>101</x:v>
      </x:c>
    </x:row>
    <x:row r="31" ht="22" customHeight="1">
      <x:c r="A31" s="49" t="s">
        <x:v>237</x:v>
      </x:c>
      <x:c r="B31" s="49" t="s">
        <x:v>238</x:v>
      </x:c>
      <x:c r="C31" s="49" t="s">
        <x:v>244</x:v>
      </x:c>
      <x:c r="D31" s="49" t="s">
        <x:v>90</x:v>
      </x:c>
      <x:c r="E31" s="49" t="s">
        <x:v>245</x:v>
      </x:c>
      <x:c r="F31" s="49" t="s">
        <x:v>246</x:v>
      </x:c>
      <x:c r="G31" s="60">
        <x:v>0.8</x:v>
      </x:c>
      <x:c r="H31" s="60">
        <x:v>0</x:v>
      </x:c>
      <x:c r="I31" s="60">
        <x:v>1.02</x:v>
      </x:c>
      <x:c r="J31" s="49" t="s">
        <x:v>247</x:v>
      </x:c>
      <x:c r="K31" s="49" t="s">
        <x:v>106</x:v>
      </x:c>
      <x:c r="L31" s="49" t="s">
        <x:v>248</x:v>
      </x:c>
      <x:c r="M31" s="61">
        <x:v>0.5931</x:v>
      </x:c>
      <x:c r="N31" s="49" t="s">
        <x:v>96</x:v>
      </x:c>
      <x:c r="O31" s="49" t="s">
        <x:v>149</x:v>
      </x:c>
      <x:c r="P31" s="49" t="s">
        <x:v>30</x:v>
      </x:c>
      <x:c r="Q31" s="49" t="s">
        <x:v>17</x:v>
      </x:c>
      <x:c r="R31" s="50">
        <x:v>0.8</x:v>
      </x:c>
      <x:c r="S31" s="50">
        <x:f t="shared" si="0"/>
        <x:v>0</x:v>
      </x:c>
      <x:c r="T31" s="49" t="s">
        <x:v>98</x:v>
      </x:c>
      <x:c r="U31" s="49" t="str">
        <x:f t="shared" si="1"/>
        <x:v>走</x:v>
      </x:c>
      <x:c r="V31" s="50">
        <x:f t="shared" si="2"/>
        <x:v>1.02</x:v>
      </x:c>
      <x:c r="W31" s="50">
        <x:f t="shared" si="3"/>
        <x:v>0</x:v>
      </x:c>
      <x:c r="X31" s="57">
        <x:v>0.79</x:v>
      </x:c>
      <x:c r="Y31" s="57">
        <x:v>0</x:v>
      </x:c>
      <x:c r="Z31" s="57">
        <x:v>1.03</x:v>
      </x:c>
      <x:c r="AA31" s="57">
        <x:v>0</x:v>
      </x:c>
      <x:c r="AB31" s="57">
        <x:v>0.79</x:v>
      </x:c>
      <x:c r="AC31" s="57">
        <x:v>0.8</x:v>
      </x:c>
      <x:c r="AD31" s="57">
        <x:v>2.29</x:v>
      </x:c>
      <x:c r="AE31" s="57">
        <x:v>3.34</x:v>
      </x:c>
      <x:c r="AF31" s="57">
        <x:v>2.79</x:v>
      </x:c>
      <x:c r="AG31" s="58">
        <x:v>0.0945053593803145</x:v>
      </x:c>
      <x:c r="AH31" s="58">
        <x:v>0.0445053593803144</x:v>
      </x:c>
      <x:c r="AI31" s="58">
        <x:v>0.398975865184126</x:v>
      </x:c>
      <x:c r="AJ31" s="58">
        <x:v>0.273549320740014</x:v>
      </x:c>
      <x:c r="AK31" s="58">
        <x:v>0.32747481407586</x:v>
      </x:c>
      <x:c r="AL31" s="57">
        <x:v>1.29</x:v>
      </x:c>
      <x:c r="AM31" s="57">
        <x:v>1.14</x:v>
      </x:c>
      <x:c r="AN31" s="57">
        <x:v>0.000334436442883176</x:v>
      </x:c>
      <x:c r="AO31" s="57">
        <x:v>0.818934480760757</x:v>
      </x:c>
      <x:c r="AP31" s="57">
        <x:v>-0.018934480760757</x:v>
      </x:c>
      <x:c r="AQ31" s="59" t="s">
        <x:v>174</x:v>
      </x:c>
      <x:c r="AR31" s="57">
        <x:v>0</x:v>
      </x:c>
      <x:c r="AS31" s="57">
        <x:v>0.3993334552579</x:v>
      </x:c>
      <x:c r="AT31" s="57">
        <x:v>0.327027935832027</x:v>
      </x:c>
      <x:c r="AU31" s="57">
        <x:v>2.42</x:v>
      </x:c>
      <x:c r="AV31" s="57">
        <x:v>3.25</x:v>
      </x:c>
      <x:c r="AW31" s="57">
        <x:v>2.69</x:v>
      </x:c>
      <x:c r="AX31" s="59" t="s">
        <x:v>100</x:v>
      </x:c>
      <x:c r="AY31" s="59" t="s">
        <x:v>101</x:v>
      </x:c>
    </x:row>
    <x:row r="32" ht="22" customHeight="1">
      <x:c r="A32" s="49" t="s">
        <x:v>237</x:v>
      </x:c>
      <x:c r="B32" s="49" t="s">
        <x:v>238</x:v>
      </x:c>
      <x:c r="C32" s="49" t="s">
        <x:v>244</x:v>
      </x:c>
      <x:c r="D32" s="49" t="s">
        <x:v>90</x:v>
      </x:c>
      <x:c r="E32" s="49" t="s">
        <x:v>245</x:v>
      </x:c>
      <x:c r="F32" s="49" t="s">
        <x:v>249</x:v>
      </x:c>
      <x:c r="G32" s="60">
        <x:v>1.03</x:v>
      </x:c>
      <x:c r="H32" s="60">
        <x:v>-0.75</x:v>
      </x:c>
      <x:c r="I32" s="60">
        <x:v>0.79</x:v>
      </x:c>
      <x:c r="J32" s="49" t="s">
        <x:v>250</x:v>
      </x:c>
      <x:c r="K32" s="49" t="s">
        <x:v>132</x:v>
      </x:c>
      <x:c r="L32" s="49" t="s">
        <x:v>251</x:v>
      </x:c>
      <x:c r="M32" s="61">
        <x:v>0.603</x:v>
      </x:c>
      <x:c r="N32" s="49" t="s">
        <x:v>96</x:v>
      </x:c>
      <x:c r="O32" s="49" t="s">
        <x:v>169</x:v>
      </x:c>
      <x:c r="P32" s="49" t="s">
        <x:v>30</x:v>
      </x:c>
      <x:c r="Q32" s="49" t="s">
        <x:v>14</x:v>
      </x:c>
      <x:c r="R32" s="50">
        <x:v>0.79</x:v>
      </x:c>
      <x:c r="S32" s="50">
        <x:f t="shared" si="0"/>
        <x:v>0.395</x:v>
      </x:c>
      <x:c r="T32" s="49" t="s">
        <x:v>98</x:v>
      </x:c>
      <x:c r="U32" s="49" t="str">
        <x:f t="shared" si="1"/>
        <x:v>半黑</x:v>
      </x:c>
      <x:c r="V32" s="50">
        <x:f t="shared" si="2"/>
        <x:v>1.03</x:v>
      </x:c>
      <x:c r="W32" s="50">
        <x:f t="shared" si="3"/>
        <x:v>-0.5</x:v>
      </x:c>
      <x:c r="X32" s="57">
        <x:v>1.02</x:v>
      </x:c>
      <x:c r="Y32" s="57">
        <x:v>-1</x:v>
      </x:c>
      <x:c r="Z32" s="57">
        <x:v>0.8</x:v>
      </x:c>
      <x:c r="AA32" s="57">
        <x:v>-1</x:v>
      </x:c>
      <x:c r="AB32" s="57">
        <x:v>0.8</x:v>
      </x:c>
      <x:c r="AC32" s="57">
        <x:v>0.79</x:v>
      </x:c>
      <x:c r="AD32" s="57">
        <x:v>6.49</x:v>
      </x:c>
      <x:c r="AE32" s="57">
        <x:v>4.44</x:v>
      </x:c>
      <x:c r="AF32" s="57">
        <x:v>1.41</x:v>
      </x:c>
      <x:c r="AG32" s="58">
        <x:v>0.0885282883119163</x:v>
      </x:c>
      <x:c r="AH32" s="58">
        <x:v>0.0385282883119163</x:v>
      </x:c>
      <x:c r="AI32" s="58">
        <x:v>0.14155186097149</x:v>
      </x:c>
      <x:c r="AJ32" s="58">
        <x:v>0.206908012996615</x:v>
      </x:c>
      <x:c r="AK32" s="58">
        <x:v>0.651540126031895</x:v>
      </x:c>
      <x:c r="AL32" s="57">
        <x:v>0.79</x:v>
      </x:c>
      <x:c r="AM32" s="57">
        <x:v>1.97</x:v>
      </x:c>
      <x:c r="AN32" s="57">
        <x:v>0.000572231634076705</x:v>
      </x:c>
      <x:c r="AO32" s="57">
        <x:v>0.664565578970283</x:v>
      </x:c>
      <x:c r="AP32" s="57">
        <x:v>0.125434421029717</x:v>
      </x:c>
      <x:c r="AQ32" s="59" t="s">
        <x:v>165</x:v>
      </x:c>
      <x:c r="AR32" s="57">
        <x:v>-0.75</x:v>
      </x:c>
      <x:c r="AS32" s="57">
        <x:v>0.5255407028246</x:v>
      </x:c>
      <x:c r="AT32" s="57">
        <x:v>0.349256261445079</x:v>
      </x:c>
      <x:c r="AU32" s="57">
        <x:v>4.88</x:v>
      </x:c>
      <x:c r="AV32" s="57">
        <x:v>4.15</x:v>
      </x:c>
      <x:c r="AW32" s="57">
        <x:v>1.56</x:v>
      </x:c>
      <x:c r="AX32" s="59" t="s">
        <x:v>100</x:v>
      </x:c>
      <x:c r="AY32" s="59" t="s">
        <x:v>101</x:v>
      </x:c>
    </x:row>
    <x:row r="33" ht="22" customHeight="1">
      <x:c r="A33" s="49" t="s">
        <x:v>237</x:v>
      </x:c>
      <x:c r="B33" s="49" t="s">
        <x:v>238</x:v>
      </x:c>
      <x:c r="C33" s="49" t="s">
        <x:v>244</x:v>
      </x:c>
      <x:c r="D33" s="49" t="s">
        <x:v>90</x:v>
      </x:c>
      <x:c r="E33" s="49" t="s">
        <x:v>245</x:v>
      </x:c>
      <x:c r="F33" s="49" t="s">
        <x:v>252</x:v>
      </x:c>
      <x:c r="G33" s="60">
        <x:v>0.81</x:v>
      </x:c>
      <x:c r="H33" s="60">
        <x:v>-0.5</x:v>
      </x:c>
      <x:c r="I33" s="60">
        <x:v>1.01</x:v>
      </x:c>
      <x:c r="J33" s="49" t="s">
        <x:v>253</x:v>
      </x:c>
      <x:c r="K33" s="49" t="s">
        <x:v>132</x:v>
      </x:c>
      <x:c r="L33" s="49" t="s">
        <x:v>254</x:v>
      </x:c>
      <x:c r="M33" s="61">
        <x:v>0.6159</x:v>
      </x:c>
      <x:c r="N33" s="49" t="s">
        <x:v>96</x:v>
      </x:c>
      <x:c r="O33" s="49" t="s">
        <x:v>114</x:v>
      </x:c>
      <x:c r="P33" s="49" t="s">
        <x:v>30</x:v>
      </x:c>
      <x:c r="Q33" s="49" t="s">
        <x:v>11</x:v>
      </x:c>
      <x:c r="R33" s="50">
        <x:v>1.01</x:v>
      </x:c>
      <x:c r="S33" s="50">
        <x:f t="shared" si="0"/>
        <x:v>1.01</x:v>
      </x:c>
      <x:c r="T33" s="49" t="s">
        <x:v>98</x:v>
      </x:c>
      <x:c r="U33" s="49" t="str">
        <x:f t="shared" si="1"/>
        <x:v>黑</x:v>
      </x:c>
      <x:c r="V33" s="50">
        <x:f t="shared" si="2"/>
        <x:v>0.81</x:v>
      </x:c>
      <x:c r="W33" s="50">
        <x:f t="shared" si="3"/>
        <x:v>-1</x:v>
      </x:c>
      <x:c r="X33" s="57">
        <x:v>0.84</x:v>
      </x:c>
      <x:c r="Y33" s="57">
        <x:v>-0.75</x:v>
      </x:c>
      <x:c r="Z33" s="57">
        <x:v>0.98</x:v>
      </x:c>
      <x:c r="AA33" s="57">
        <x:v>-0.75</x:v>
      </x:c>
      <x:c r="AB33" s="57">
        <x:v>0.98</x:v>
      </x:c>
      <x:c r="AC33" s="57">
        <x:v>1.01</x:v>
      </x:c>
      <x:c r="AD33" s="57">
        <x:v>4.8</x:v>
      </x:c>
      <x:c r="AE33" s="57">
        <x:v>3.94</x:v>
      </x:c>
      <x:c r="AF33" s="57">
        <x:v>1.59</x:v>
      </x:c>
      <x:c r="AG33" s="58">
        <x:v>0.0910712575423811</x:v>
      </x:c>
      <x:c r="AH33" s="58">
        <x:v>0.0410712575423811</x:v>
      </x:c>
      <x:c r="AI33" s="58">
        <x:v>0.190943837896161</x:v>
      </x:c>
      <x:c r="AJ33" s="58">
        <x:v>0.232621934492785</x:v>
      </x:c>
      <x:c r="AK33" s="58">
        <x:v>0.576434227611053</x:v>
      </x:c>
      <x:c r="AL33" s="57">
        <x:v>0.91</x:v>
      </x:c>
      <x:c r="AM33" s="57">
        <x:v>1.77</x:v>
      </x:c>
      <x:c r="AN33" s="57">
        <x:v>0.00024540280507616</x:v>
      </x:c>
      <x:c r="AO33" s="57">
        <x:v>0.734123676201689</x:v>
      </x:c>
      <x:c r="AP33" s="57">
        <x:v>0.275876323798311</x:v>
      </x:c>
      <x:c r="AQ33" s="59" t="s">
        <x:v>165</x:v>
      </x:c>
      <x:c r="AR33" s="57">
        <x:v>-0.5</x:v>
      </x:c>
      <x:c r="AS33" s="57">
        <x:v>0.576660138906779</x:v>
      </x:c>
      <x:c r="AT33" s="57">
        <x:v>0.423339861093221</x:v>
      </x:c>
      <x:c r="AU33" s="57">
        <x:v>3.53</x:v>
      </x:c>
      <x:c r="AV33" s="57">
        <x:v>3.63</x:v>
      </x:c>
      <x:c r="AW33" s="57">
        <x:v>1.91</x:v>
      </x:c>
      <x:c r="AX33" s="59" t="s">
        <x:v>100</x:v>
      </x:c>
      <x:c r="AY33" s="59" t="s">
        <x:v>101</x:v>
      </x:c>
    </x:row>
    <x:row r="34" ht="22" customHeight="1">
      <x:c r="A34" s="49" t="s">
        <x:v>237</x:v>
      </x:c>
      <x:c r="B34" s="49" t="s">
        <x:v>238</x:v>
      </x:c>
      <x:c r="C34" s="49" t="s">
        <x:v>244</x:v>
      </x:c>
      <x:c r="D34" s="49" t="s">
        <x:v>90</x:v>
      </x:c>
      <x:c r="E34" s="49" t="s">
        <x:v>245</x:v>
      </x:c>
      <x:c r="F34" s="49" t="s">
        <x:v>255</x:v>
      </x:c>
      <x:c r="G34" s="60">
        <x:v>0.96</x:v>
      </x:c>
      <x:c r="H34" s="60">
        <x:v>-0.25</x:v>
      </x:c>
      <x:c r="I34" s="60">
        <x:v>0.86</x:v>
      </x:c>
      <x:c r="J34" s="49" t="s">
        <x:v>256</x:v>
      </x:c>
      <x:c r="K34" s="49" t="s">
        <x:v>132</x:v>
      </x:c>
      <x:c r="L34" s="49" t="s">
        <x:v>257</x:v>
      </x:c>
      <x:c r="M34" s="61">
        <x:v>0.6227</x:v>
      </x:c>
      <x:c r="N34" s="49" t="s">
        <x:v>96</x:v>
      </x:c>
      <x:c r="O34" s="49" t="s">
        <x:v>161</x:v>
      </x:c>
      <x:c r="P34" s="49" t="s">
        <x:v>30</x:v>
      </x:c>
      <x:c r="Q34" s="49" t="s">
        <x:v>23</x:v>
      </x:c>
      <x:c r="R34" s="50">
        <x:v>0.86</x:v>
      </x:c>
      <x:c r="S34" s="50">
        <x:f t="shared" si="0"/>
        <x:v>-1</x:v>
      </x:c>
      <x:c r="T34" s="49" t="s">
        <x:v>98</x:v>
      </x:c>
      <x:c r="U34" s="49" t="str">
        <x:f t="shared" si="1"/>
        <x:v>红</x:v>
      </x:c>
      <x:c r="V34" s="50">
        <x:f t="shared" si="2"/>
        <x:v>0.96</x:v>
      </x:c>
      <x:c r="W34" s="50">
        <x:f t="shared" si="3"/>
        <x:v>0.96</x:v>
      </x:c>
      <x:c r="X34" s="57">
        <x:v>0.79</x:v>
      </x:c>
      <x:c r="Y34" s="57">
        <x:v>-0.5</x:v>
      </x:c>
      <x:c r="Z34" s="57">
        <x:v>1.03</x:v>
      </x:c>
      <x:c r="AA34" s="57">
        <x:v>-0.5</x:v>
      </x:c>
      <x:c r="AB34" s="57">
        <x:v>1.03</x:v>
      </x:c>
      <x:c r="AC34" s="57">
        <x:v>0.86</x:v>
      </x:c>
      <x:c r="AD34" s="57">
        <x:v>4.02</x:v>
      </x:c>
      <x:c r="AE34" s="57">
        <x:v>3.41</x:v>
      </x:c>
      <x:c r="AF34" s="57">
        <x:v>1.82</x:v>
      </x:c>
      <x:c r="AG34" s="58">
        <x:v>0.0914619003208315</x:v>
      </x:c>
      <x:c r="AH34" s="58">
        <x:v>0.0414619003208314</x:v>
      </x:c>
      <x:c r="AI34" s="58">
        <x:v>0.227911041908427</x:v>
      </x:c>
      <x:c r="AJ34" s="58">
        <x:v>0.268681052337794</x:v>
      </x:c>
      <x:c r="AK34" s="58">
        <x:v>0.503407905753779</x:v>
      </x:c>
      <x:c r="AL34" s="57">
        <x:v>0.87</x:v>
      </x:c>
      <x:c r="AM34" s="57">
        <x:v>1.44</x:v>
      </x:c>
      <x:c r="AN34" s="57">
        <x:v>0.000618804046707478</x:v>
      </x:c>
      <x:c r="AO34" s="57">
        <x:v>0.716943238709775</x:v>
      </x:c>
      <x:c r="AP34" s="57">
        <x:v>0.143056761290225</x:v>
      </x:c>
      <x:c r="AQ34" s="59" t="s">
        <x:v>165</x:v>
      </x:c>
      <x:c r="AR34" s="57">
        <x:v>-0.25</x:v>
      </x:c>
      <x:c r="AS34" s="57">
        <x:v>0.504259053959575</x:v>
      </x:c>
      <x:c r="AT34" s="57">
        <x:v>0.361525119294505</x:v>
      </x:c>
      <x:c r="AU34" s="57">
        <x:v>3.42</x:v>
      </x:c>
      <x:c r="AV34" s="57">
        <x:v>3.25</x:v>
      </x:c>
      <x:c r="AW34" s="57">
        <x:v>2.05</x:v>
      </x:c>
      <x:c r="AX34" s="59" t="s">
        <x:v>100</x:v>
      </x:c>
      <x:c r="AY34" s="59" t="s">
        <x:v>101</x:v>
      </x:c>
    </x:row>
    <x:row r="35" ht="22" customHeight="1">
      <x:c r="A35" s="49" t="s">
        <x:v>237</x:v>
      </x:c>
      <x:c r="B35" s="49" t="s">
        <x:v>238</x:v>
      </x:c>
      <x:c r="C35" s="49" t="s">
        <x:v>244</x:v>
      </x:c>
      <x:c r="D35" s="49" t="s">
        <x:v>90</x:v>
      </x:c>
      <x:c r="E35" s="49" t="s">
        <x:v>245</x:v>
      </x:c>
      <x:c r="F35" s="49" t="s">
        <x:v>258</x:v>
      </x:c>
      <x:c r="G35" s="60">
        <x:v>0.96</x:v>
      </x:c>
      <x:c r="H35" s="60">
        <x:v>-1</x:v>
      </x:c>
      <x:c r="I35" s="60">
        <x:v>0.86</x:v>
      </x:c>
      <x:c r="J35" s="49" t="s">
        <x:v>259</x:v>
      </x:c>
      <x:c r="K35" s="49" t="s">
        <x:v>132</x:v>
      </x:c>
      <x:c r="L35" s="49" t="s">
        <x:v>260</x:v>
      </x:c>
      <x:c r="M35" s="61">
        <x:v>0.6022</x:v>
      </x:c>
      <x:c r="N35" s="49" t="s">
        <x:v>96</x:v>
      </x:c>
      <x:c r="O35" s="49" t="s">
        <x:v>169</x:v>
      </x:c>
      <x:c r="P35" s="49" t="s">
        <x:v>30</x:v>
      </x:c>
      <x:c r="Q35" s="49" t="s">
        <x:v>17</x:v>
      </x:c>
      <x:c r="R35" s="50">
        <x:v>0.86</x:v>
      </x:c>
      <x:c r="S35" s="50">
        <x:f t="shared" si="0"/>
        <x:v>0</x:v>
      </x:c>
      <x:c r="T35" s="49" t="s">
        <x:v>98</x:v>
      </x:c>
      <x:c r="U35" s="49" t="str">
        <x:f t="shared" si="1"/>
        <x:v>走</x:v>
      </x:c>
      <x:c r="V35" s="50">
        <x:f t="shared" si="2"/>
        <x:v>0.96</x:v>
      </x:c>
      <x:c r="W35" s="50">
        <x:f t="shared" si="3"/>
        <x:v>0</x:v>
      </x:c>
      <x:c r="X35" s="57">
        <x:v>0.97</x:v>
      </x:c>
      <x:c r="Y35" s="57">
        <x:v>-1.5</x:v>
      </x:c>
      <x:c r="Z35" s="57">
        <x:v>0.85</x:v>
      </x:c>
      <x:c r="AA35" s="57">
        <x:v>-1.5</x:v>
      </x:c>
      <x:c r="AB35" s="57">
        <x:v>0.85</x:v>
      </x:c>
      <x:c r="AC35" s="57">
        <x:v>0.86</x:v>
      </x:c>
      <x:c r="AD35" s="57">
        <x:v>8.4</x:v>
      </x:c>
      <x:c r="AE35" s="57">
        <x:v>4.79</x:v>
      </x:c>
      <x:c r="AF35" s="57">
        <x:v>1.31</x:v>
      </x:c>
      <x:c r="AG35" s="58">
        <x:v>0.0911746648969554</x:v>
      </x:c>
      <x:c r="AH35" s="58">
        <x:v>0.0411746648969554</x:v>
      </x:c>
      <x:c r="AI35" s="58">
        <x:v>0.109100424411761</x:v>
      </x:c>
      <x:c r="AJ35" s="58">
        <x:v>0.191324335085343</x:v>
      </x:c>
      <x:c r="AK35" s="58">
        <x:v>0.699575240502896</x:v>
      </x:c>
      <x:c r="AL35" s="57">
        <x:v>0.66</x:v>
      </x:c>
      <x:c r="AM35" s="57">
        <x:v>2.05</x:v>
      </x:c>
      <x:c r="AN35" s="57">
        <x:v>0.000500873779262875</x:v>
      </x:c>
      <x:c r="AO35" s="57">
        <x:v>0.671776775762812</x:v>
      </x:c>
      <x:c r="AP35" s="57">
        <x:v>0.188223224237188</x:v>
      </x:c>
      <x:c r="AQ35" s="59" t="s">
        <x:v>165</x:v>
      </x:c>
      <x:c r="AR35" s="57">
        <x:v>-1</x:v>
      </x:c>
      <x:c r="AS35" s="57">
        <x:v>0.447430769916634</x:v>
      </x:c>
      <x:c r="AT35" s="57">
        <x:v>0.300573599991669</x:v>
      </x:c>
      <x:c r="AU35" s="57">
        <x:v>5.96</x:v>
      </x:c>
      <x:c r="AV35" s="57">
        <x:v>4.44</x:v>
      </x:c>
      <x:c r="AW35" s="57">
        <x:v>1.44</x:v>
      </x:c>
      <x:c r="AX35" s="59" t="s">
        <x:v>100</x:v>
      </x:c>
      <x:c r="AY35" s="59" t="s">
        <x:v>101</x:v>
      </x:c>
    </x:row>
    <x:row r="36" ht="22" customHeight="1">
      <x:c r="A36" s="49" t="s">
        <x:v>237</x:v>
      </x:c>
      <x:c r="B36" s="49" t="s">
        <x:v>238</x:v>
      </x:c>
      <x:c r="C36" s="49" t="s">
        <x:v>239</x:v>
      </x:c>
      <x:c r="D36" s="49" t="s">
        <x:v>116</x:v>
      </x:c>
      <x:c r="E36" s="49" t="s">
        <x:v>240</x:v>
      </x:c>
      <x:c r="F36" s="49" t="s">
        <x:v>261</x:v>
      </x:c>
      <x:c r="G36" s="60">
        <x:v>0.96</x:v>
      </x:c>
      <x:c r="H36" s="60">
        <x:v>0.5</x:v>
      </x:c>
      <x:c r="I36" s="60">
        <x:v>0.93</x:v>
      </x:c>
      <x:c r="J36" s="49" t="s">
        <x:v>262</x:v>
      </x:c>
      <x:c r="K36" s="49" t="s">
        <x:v>94</x:v>
      </x:c>
      <x:c r="L36" s="49" t="s">
        <x:v>263</x:v>
      </x:c>
      <x:c r="M36" s="61">
        <x:v>0.58</x:v>
      </x:c>
      <x:c r="N36" s="49" t="s">
        <x:v>96</x:v>
      </x:c>
      <x:c r="O36" s="49" t="s">
        <x:v>126</x:v>
      </x:c>
      <x:c r="P36" s="49" t="s">
        <x:v>30</x:v>
      </x:c>
      <x:c r="Q36" s="49" t="s">
        <x:v>11</x:v>
      </x:c>
      <x:c r="R36" s="50">
        <x:v>0.93</x:v>
      </x:c>
      <x:c r="S36" s="50">
        <x:f t="shared" si="0"/>
        <x:v>0.93</x:v>
      </x:c>
      <x:c r="T36" s="49" t="s">
        <x:v>98</x:v>
      </x:c>
      <x:c r="U36" s="49" t="str">
        <x:f t="shared" ref="U36:U45" si="4">IF(Q37="","",IF(Q37="待结算","待结算",IF(Q37="红","黑",IF(Q37="半红","半黑",IF(Q37="走","走",IF(Q37="半黑","半红","红"))))))</x:f>
        <x:v>黑</x:v>
      </x:c>
      <x:c r="V36" s="50" t="n">
        <x:f t="shared" ref="V36:V45" si="5">IF(OR(Q37="",Q37="待结算"),"",IF(L37=LEFT(F37,FIND(" vs ",F37)-1),I37,G37))</x:f>
        <x:v>0.97</x:v>
      </x:c>
      <x:c r="W36" s="50">
        <x:f t="shared" si="3"/>
        <x:v>-1</x:v>
      </x:c>
      <x:c r="X36" s="57">
        <x:v>0.92</x:v>
      </x:c>
      <x:c r="Y36" s="57">
        <x:v>0.25</x:v>
      </x:c>
      <x:c r="Z36" s="57">
        <x:v>0.96</x:v>
      </x:c>
      <x:c r="AA36" s="57">
        <x:v>0.25</x:v>
      </x:c>
      <x:c r="AB36" s="57">
        <x:v>0.96</x:v>
      </x:c>
      <x:c r="AC36" s="57">
        <x:v>0.93</x:v>
      </x:c>
      <x:c r="AD36" s="57">
        <x:v>2.15</x:v>
      </x:c>
      <x:c r="AE36" s="57">
        <x:v>3.33</x:v>
      </x:c>
      <x:c r="AF36" s="57">
        <x:v>3.17</x:v>
      </x:c>
      <x:c r="AG36" s="58">
        <x:v>0.0808739926192792</x:v>
      </x:c>
      <x:c r="AH36" s="58">
        <x:v>0.0308739926192792</x:v>
      </x:c>
      <x:c r="AI36" s="58">
        <x:v>0.430314987913302</x:v>
      </x:c>
      <x:c r="AJ36" s="58">
        <x:v>0.277830998202282</x:v>
      </x:c>
      <x:c r="AK36" s="58">
        <x:v>0.291854013884416</x:v>
      </x:c>
      <x:c r="AL36" s="57">
        <x:v>1.31</x:v>
      </x:c>
      <x:c r="AM36" s="57">
        <x:v>1.03</x:v>
      </x:c>
      <x:c r="AN36" s="57">
        <x:v>0.000764420714146504</x:v>
      </x:c>
      <x:c r="AO36" s="57">
        <x:v>0.753648234092234</x:v>
      </x:c>
      <x:c r="AP36" s="57">
        <x:v>0.176351765907766</x:v>
      </x:c>
      <x:c r="AQ36" s="59" t="s">
        <x:v>142</x:v>
      </x:c>
      <x:c r="AR36" s="57">
        <x:v>0.5</x:v>
      </x:c>
      <x:c r="AS36" s="57">
        <x:v>0.570239789576525</x:v>
      </x:c>
      <x:c r="AT36" s="57">
        <x:v>0.429760210423475</x:v>
      </x:c>
      <x:c r="AU36" s="57">
        <x:v>1.98</x:v>
      </x:c>
      <x:c r="AV36" s="57">
        <x:v>3.53</x:v>
      </x:c>
      <x:c r="AW36" s="57">
        <x:v>3.57</x:v>
      </x:c>
      <x:c r="AX36" s="59" t="s">
        <x:v>100</x:v>
      </x:c>
      <x:c r="AY36" s="59" t="s">
        <x:v>101</x:v>
      </x:c>
    </x:row>
    <x:row r="37" ht="22" customHeight="1">
      <x:c r="A37" s="49" t="s">
        <x:v>237</x:v>
      </x:c>
      <x:c r="B37" s="49" t="s">
        <x:v>238</x:v>
      </x:c>
      <x:c r="C37" s="49" t="s">
        <x:v>239</x:v>
      </x:c>
      <x:c r="D37" s="49" t="s">
        <x:v>116</x:v>
      </x:c>
      <x:c r="E37" s="49" t="s">
        <x:v>240</x:v>
      </x:c>
      <x:c r="F37" s="49" t="s">
        <x:v>264</x:v>
      </x:c>
      <x:c r="G37" s="60">
        <x:v>0.92</x:v>
      </x:c>
      <x:c r="H37" s="60">
        <x:v>-0.75</x:v>
      </x:c>
      <x:c r="I37" s="60">
        <x:v>0.97</x:v>
      </x:c>
      <x:c r="J37" s="49" t="s">
        <x:v>265</x:v>
      </x:c>
      <x:c r="K37" s="49" t="s">
        <x:v>94</x:v>
      </x:c>
      <x:c r="L37" s="49" t="s">
        <x:v>266</x:v>
      </x:c>
      <x:c r="M37" s="61">
        <x:v>0.58</x:v>
      </x:c>
      <x:c r="N37" s="49" t="s">
        <x:v>96</x:v>
      </x:c>
      <x:c r="O37" s="49" t="s">
        <x:v>126</x:v>
      </x:c>
      <x:c r="P37" s="49" t="s">
        <x:v>30</x:v>
      </x:c>
      <x:c r="Q37" s="49" t="s">
        <x:v>11</x:v>
      </x:c>
      <x:c r="R37" s="50">
        <x:v>0.92</x:v>
      </x:c>
      <x:c r="S37" s="50">
        <x:f t="shared" si="0"/>
        <x:v>0.92</x:v>
      </x:c>
      <x:c r="T37" s="49" t="s">
        <x:v>98</x:v>
      </x:c>
      <x:c r="U37" s="49" t="str">
        <x:f t="shared" si="4"/>
        <x:v>黑</x:v>
      </x:c>
      <x:c r="V37" s="50">
        <x:f t="shared" si="5"/>
        <x:v>1</x:v>
      </x:c>
      <x:c r="W37" s="50">
        <x:f t="shared" si="3"/>
        <x:v>-1</x:v>
      </x:c>
      <x:c r="X37" s="57">
        <x:v>0.83</x:v>
      </x:c>
      <x:c r="Y37" s="57">
        <x:v>-0.5</x:v>
      </x:c>
      <x:c r="Z37" s="57">
        <x:v>1.05</x:v>
      </x:c>
      <x:c r="AA37" s="57">
        <x:v>0.5</x:v>
      </x:c>
      <x:c r="AB37" s="57">
        <x:v>0.83</x:v>
      </x:c>
      <x:c r="AC37" s="57">
        <x:v>0.92</x:v>
      </x:c>
      <x:c r="AD37" s="57">
        <x:v>3.3</x:v>
      </x:c>
      <x:c r="AE37" s="57">
        <x:v>3.29</x:v>
      </x:c>
      <x:c r="AF37" s="57">
        <x:v>2.13</x:v>
      </x:c>
      <x:c r="AG37" s="58">
        <x:v>0.0764652388865754</x:v>
      </x:c>
      <x:c r="AH37" s="58">
        <x:v>0.0264652388865754</x:v>
      </x:c>
      <x:c r="AI37" s="58">
        <x:v>0.281504959086034</x:v>
      </x:c>
      <x:c r="AJ37" s="58">
        <x:v>0.282360597259548</x:v>
      </x:c>
      <x:c r="AK37" s="58">
        <x:v>0.436134443654419</x:v>
      </x:c>
      <x:c r="AL37" s="57">
        <x:v>0.97</x:v>
      </x:c>
      <x:c r="AM37" s="57">
        <x:v>1.28</x:v>
      </x:c>
      <x:c r="AN37" s="57">
        <x:v>0.000509525456830421</x:v>
      </x:c>
      <x:c r="AO37" s="57">
        <x:v>0.560692835330413</x:v>
      </x:c>
      <x:c r="AP37" s="57">
        <x:v>0.359307164669587</x:v>
      </x:c>
      <x:c r="AQ37" s="59" t="s">
        <x:v>142</x:v>
      </x:c>
      <x:c r="AR37" s="57">
        <x:v>0.75</x:v>
      </x:c>
      <x:c r="AS37" s="57">
        <x:v>0.564523552790187</x:v>
      </x:c>
      <x:c r="AT37" s="57">
        <x:v>0.316524311424728</x:v>
      </x:c>
      <x:c r="AU37" s="57">
        <x:v>4.44</x:v>
      </x:c>
      <x:c r="AV37" s="57">
        <x:v>3.6</x:v>
      </x:c>
      <x:c r="AW37" s="57">
        <x:v>1.77</x:v>
      </x:c>
      <x:c r="AX37" s="59" t="s">
        <x:v>100</x:v>
      </x:c>
      <x:c r="AY37" s="59" t="s">
        <x:v>101</x:v>
      </x:c>
    </x:row>
    <x:row r="38" ht="22" customHeight="1">
      <x:c r="A38" s="49" t="s">
        <x:v>237</x:v>
      </x:c>
      <x:c r="B38" s="49" t="s">
        <x:v>238</x:v>
      </x:c>
      <x:c r="C38" s="49" t="s">
        <x:v>239</x:v>
      </x:c>
      <x:c r="D38" s="49" t="s">
        <x:v>116</x:v>
      </x:c>
      <x:c r="E38" s="49" t="s">
        <x:v>240</x:v>
      </x:c>
      <x:c r="F38" s="49" t="s">
        <x:v>267</x:v>
      </x:c>
      <x:c r="G38" s="60">
        <x:v>0.89</x:v>
      </x:c>
      <x:c r="H38" s="60">
        <x:v>-0.75</x:v>
      </x:c>
      <x:c r="I38" s="60">
        <x:v>1</x:v>
      </x:c>
      <x:c r="J38" s="49" t="s">
        <x:v>268</x:v>
      </x:c>
      <x:c r="K38" s="49" t="s">
        <x:v>189</x:v>
      </x:c>
      <x:c r="L38" s="49" t="s">
        <x:v>269</x:v>
      </x:c>
      <x:c r="M38" s="61">
        <x:v>0.571</x:v>
      </x:c>
      <x:c r="N38" s="49" t="s">
        <x:v>96</x:v>
      </x:c>
      <x:c r="O38" s="49" t="s">
        <x:v>173</x:v>
      </x:c>
      <x:c r="P38" s="49" t="s">
        <x:v>30</x:v>
      </x:c>
      <x:c r="Q38" s="49" t="s">
        <x:v>11</x:v>
      </x:c>
      <x:c r="R38" s="50">
        <x:v>0.89</x:v>
      </x:c>
      <x:c r="S38" s="50">
        <x:f t="shared" si="0"/>
        <x:v>0.89</x:v>
      </x:c>
      <x:c r="T38" s="49" t="s">
        <x:v>98</x:v>
      </x:c>
      <x:c r="U38" s="49" t="str">
        <x:f t="shared" si="4"/>
        <x:v>黑</x:v>
      </x:c>
      <x:c r="V38" s="50">
        <x:f t="shared" si="5"/>
        <x:v>1.06</x:v>
      </x:c>
      <x:c r="W38" s="50">
        <x:f t="shared" si="3"/>
        <x:v>-1</x:v>
      </x:c>
      <x:c r="X38" s="57">
        <x:v>0.86</x:v>
      </x:c>
      <x:c r="Y38" s="57">
        <x:v>-0.5</x:v>
      </x:c>
      <x:c r="Z38" s="57">
        <x:v>1.02</x:v>
      </x:c>
      <x:c r="AA38" s="57">
        <x:v>0.5</x:v>
      </x:c>
      <x:c r="AB38" s="57">
        <x:v>0.86</x:v>
      </x:c>
      <x:c r="AC38" s="57">
        <x:v>0.89</x:v>
      </x:c>
      <x:c r="AD38" s="57">
        <x:v>3.62</x:v>
      </x:c>
      <x:c r="AE38" s="57">
        <x:v>3.33</x:v>
      </x:c>
      <x:c r="AF38" s="57">
        <x:v>1.98</x:v>
      </x:c>
      <x:c r="AG38" s="58">
        <x:v>0.0815938992734573</x:v>
      </x:c>
      <x:c r="AH38" s="58">
        <x:v>0.0315938992734573</x:v>
      </x:c>
      <x:c r="AI38" s="58">
        <x:v>0.255403709385023</x:v>
      </x:c>
      <x:c r="AJ38" s="58">
        <x:v>0.277646074466602</x:v>
      </x:c>
      <x:c r="AK38" s="58">
        <x:v>0.466950216148376</x:v>
      </x:c>
      <x:c r="AL38" s="57">
        <x:v>0.92</x:v>
      </x:c>
      <x:c r="AM38" s="57">
        <x:v>1.35</x:v>
      </x:c>
      <x:c r="AN38" s="57">
        <x:v>0.000196086944764061</x:v>
      </x:c>
      <x:c r="AO38" s="57">
        <x:v>0.646026038116272</x:v>
      </x:c>
      <x:c r="AP38" s="57">
        <x:v>0.243973961883728</x:v>
      </x:c>
      <x:c r="AQ38" s="59" t="s">
        <x:v>142</x:v>
      </x:c>
      <x:c r="AR38" s="57">
        <x:v>0.75</x:v>
      </x:c>
      <x:c r="AS38" s="57">
        <x:v>0.532802140307428</x:v>
      </x:c>
      <x:c r="AT38" s="57">
        <x:v>0.344204055802677</x:v>
      </x:c>
      <x:c r="AU38" s="57">
        <x:v>4.43</x:v>
      </x:c>
      <x:c r="AV38" s="57">
        <x:v>3.58</x:v>
      </x:c>
      <x:c r="AW38" s="57">
        <x:v>1.77</x:v>
      </x:c>
      <x:c r="AX38" s="59" t="s">
        <x:v>100</x:v>
      </x:c>
      <x:c r="AY38" s="59" t="s">
        <x:v>101</x:v>
      </x:c>
    </x:row>
    <x:row r="39" ht="22" customHeight="1">
      <x:c r="A39" s="49" t="s">
        <x:v>237</x:v>
      </x:c>
      <x:c r="B39" s="49" t="s">
        <x:v>238</x:v>
      </x:c>
      <x:c r="C39" s="49" t="s">
        <x:v>239</x:v>
      </x:c>
      <x:c r="D39" s="49" t="s">
        <x:v>116</x:v>
      </x:c>
      <x:c r="E39" s="49" t="s">
        <x:v>240</x:v>
      </x:c>
      <x:c r="F39" s="49" t="s">
        <x:v>270</x:v>
      </x:c>
      <x:c r="G39" s="60">
        <x:v>0.83</x:v>
      </x:c>
      <x:c r="H39" s="60">
        <x:v>-0.5</x:v>
      </x:c>
      <x:c r="I39" s="60">
        <x:v>1.06</x:v>
      </x:c>
      <x:c r="J39" s="49" t="s">
        <x:v>271</x:v>
      </x:c>
      <x:c r="K39" s="49" t="s">
        <x:v>189</x:v>
      </x:c>
      <x:c r="L39" s="49" t="s">
        <x:v>272</x:v>
      </x:c>
      <x:c r="M39" s="61">
        <x:v>0.571</x:v>
      </x:c>
      <x:c r="N39" s="49" t="s">
        <x:v>96</x:v>
      </x:c>
      <x:c r="O39" s="49" t="s">
        <x:v>273</x:v>
      </x:c>
      <x:c r="P39" s="49" t="s">
        <x:v>30</x:v>
      </x:c>
      <x:c r="Q39" s="49" t="s">
        <x:v>11</x:v>
      </x:c>
      <x:c r="R39" s="50">
        <x:v>0.83</x:v>
      </x:c>
      <x:c r="S39" s="50">
        <x:f t="shared" si="0"/>
        <x:v>0.83</x:v>
      </x:c>
      <x:c r="T39" s="49" t="s">
        <x:v>98</x:v>
      </x:c>
      <x:c r="U39" s="49" t="str">
        <x:f t="shared" si="4"/>
        <x:v>红</x:v>
      </x:c>
      <x:c r="V39" s="50">
        <x:f t="shared" si="5"/>
        <x:v>1.03</x:v>
      </x:c>
      <x:c r="W39" s="50">
        <x:f t="shared" si="3"/>
        <x:v>1.03</x:v>
      </x:c>
      <x:c r="X39" s="57">
        <x:v>1.04</x:v>
      </x:c>
      <x:c r="Y39" s="57">
        <x:v>-0.25</x:v>
      </x:c>
      <x:c r="Z39" s="57">
        <x:v>0.84</x:v>
      </x:c>
      <x:c r="AA39" s="57">
        <x:v>0.25</x:v>
      </x:c>
      <x:c r="AB39" s="57">
        <x:v>1.04</x:v>
      </x:c>
      <x:c r="AC39" s="57">
        <x:v>0.83</x:v>
      </x:c>
      <x:c r="AD39" s="57">
        <x:v>3.3</x:v>
      </x:c>
      <x:c r="AE39" s="57">
        <x:v>3.41</x:v>
      </x:c>
      <x:c r="AF39" s="57">
        <x:v>2.07</x:v>
      </x:c>
      <x:c r="AG39" s="58">
        <x:v>0.0793772224347258</x:v>
      </x:c>
      <x:c r="AH39" s="58">
        <x:v>0.0293772224347258</x:v>
      </x:c>
      <x:c r="AI39" s="58">
        <x:v>0.280745504659404</x:v>
      </x:c>
      <x:c r="AJ39" s="58">
        <x:v>0.271689198057488</x:v>
      </x:c>
      <x:c r="AK39" s="58">
        <x:v>0.447565297283108</x:v>
      </x:c>
      <x:c r="AL39" s="57">
        <x:v>1.02</x:v>
      </x:c>
      <x:c r="AM39" s="57">
        <x:v>1.37</x:v>
      </x:c>
      <x:c r="AN39" s="57">
        <x:v>0.000980416145439636</x:v>
      </x:c>
      <x:c r="AO39" s="57">
        <x:v>0.813517956968429</x:v>
      </x:c>
      <x:c r="AP39" s="57">
        <x:v>0.0164820430315711</x:v>
      </x:c>
      <x:c r="AQ39" s="59" t="s">
        <x:v>174</x:v>
      </x:c>
      <x:c r="AR39" s="57">
        <x:v>0.5</x:v>
      </x:c>
      <x:c r="AS39" s="57">
        <x:v>0.551414446246594</x:v>
      </x:c>
      <x:c r="AT39" s="57">
        <x:v>0.448585553753406</x:v>
      </x:c>
      <x:c r="AU39" s="57">
        <x:v>3.44</x:v>
      </x:c>
      <x:c r="AV39" s="57">
        <x:v>3.52</x:v>
      </x:c>
      <x:c r="AW39" s="57">
        <x:v>2.02</x:v>
      </x:c>
      <x:c r="AX39" s="59" t="s">
        <x:v>100</x:v>
      </x:c>
      <x:c r="AY39" s="59" t="s">
        <x:v>101</x:v>
      </x:c>
    </x:row>
    <x:row r="40" ht="22" customHeight="1">
      <x:c r="A40" s="49" t="s">
        <x:v>237</x:v>
      </x:c>
      <x:c r="B40" s="49" t="s">
        <x:v>238</x:v>
      </x:c>
      <x:c r="C40" s="49" t="s">
        <x:v>239</x:v>
      </x:c>
      <x:c r="D40" s="49" t="s">
        <x:v>116</x:v>
      </x:c>
      <x:c r="E40" s="49" t="s">
        <x:v>240</x:v>
      </x:c>
      <x:c r="F40" s="49" t="s">
        <x:v>274</x:v>
      </x:c>
      <x:c r="G40" s="60">
        <x:v>1.03</x:v>
      </x:c>
      <x:c r="H40" s="60">
        <x:v>-0.25</x:v>
      </x:c>
      <x:c r="I40" s="60">
        <x:v>0.86</x:v>
      </x:c>
      <x:c r="J40" s="49" t="s">
        <x:v>275</x:v>
      </x:c>
      <x:c r="K40" s="49" t="s">
        <x:v>276</x:v>
      </x:c>
      <x:c r="L40" s="49" t="s">
        <x:v>277</x:v>
      </x:c>
      <x:c r="M40" s="61">
        <x:v>0.57</x:v>
      </x:c>
      <x:c r="N40" s="49" t="s">
        <x:v>96</x:v>
      </x:c>
      <x:c r="O40" s="49" t="s">
        <x:v>161</x:v>
      </x:c>
      <x:c r="P40" s="49" t="s">
        <x:v>30</x:v>
      </x:c>
      <x:c r="Q40" s="49" t="s">
        <x:v>23</x:v>
      </x:c>
      <x:c r="R40" s="50">
        <x:v>0.86</x:v>
      </x:c>
      <x:c r="S40" s="50">
        <x:f t="shared" si="0"/>
        <x:v>-1</x:v>
      </x:c>
      <x:c r="T40" s="49" t="s">
        <x:v>98</x:v>
      </x:c>
      <x:c r="U40" s="49" t="str">
        <x:f t="shared" si="4"/>
        <x:v>半红</x:v>
      </x:c>
      <x:c r="V40" s="50">
        <x:f t="shared" si="5"/>
        <x:v>0.86</x:v>
      </x:c>
      <x:c r="W40" s="50">
        <x:f t="shared" si="3"/>
        <x:v>0.43</x:v>
      </x:c>
      <x:c r="X40" s="57">
        <x:v>0.85</x:v>
      </x:c>
      <x:c r="Y40" s="57">
        <x:v>-0.25</x:v>
      </x:c>
      <x:c r="Z40" s="57">
        <x:v>1.03</x:v>
      </x:c>
      <x:c r="AA40" s="57">
        <x:v>-0.25</x:v>
      </x:c>
      <x:c r="AB40" s="57">
        <x:v>1.03</x:v>
      </x:c>
      <x:c r="AC40" s="57">
        <x:v>0.86</x:v>
      </x:c>
      <x:c r="AD40" s="57">
        <x:v>2.92</x:v>
      </x:c>
      <x:c r="AE40" s="57">
        <x:v>3.42</x:v>
      </x:c>
      <x:c r="AF40" s="57">
        <x:v>2.25</x:v>
      </x:c>
      <x:c r="AG40" s="58">
        <x:v>0.0793078586878153</x:v>
      </x:c>
      <x:c r="AH40" s="58">
        <x:v>0.0293078586878153</x:v>
      </x:c>
      <x:c r="AI40" s="58">
        <x:v>0.317301269205077</x:v>
      </x:c>
      <x:c r="AJ40" s="58">
        <x:v>0.27091219475989</x:v>
      </x:c>
      <x:c r="AK40" s="58">
        <x:v>0.411786536035033</x:v>
      </x:c>
      <x:c r="AL40" s="57">
        <x:v>1.13</x:v>
      </x:c>
      <x:c r="AM40" s="57">
        <x:v>1.33</x:v>
      </x:c>
      <x:c r="AN40" s="57">
        <x:v>0.000547375693896075</x:v>
      </x:c>
      <x:c r="AO40" s="57">
        <x:v>1.0961198322766</x:v>
      </x:c>
      <x:c r="AP40" s="57">
        <x:v>-0.236119832276596</x:v>
      </x:c>
      <x:c r="AQ40" s="59" t="s">
        <x:v>99</x:v>
      </x:c>
      <x:c r="AR40" s="57">
        <x:v>-0.25</x:v>
      </x:c>
      <x:c r="AS40" s="57">
        <x:v>0.412443371610201</x:v>
      </x:c>
      <x:c r="AT40" s="57">
        <x:v>0.452087359312968</x:v>
      </x:c>
      <x:c r="AU40" s="57">
        <x:v>3.25</x:v>
      </x:c>
      <x:c r="AV40" s="57">
        <x:v>3.52</x:v>
      </x:c>
      <x:c r="AW40" s="57">
        <x:v>2.09</x:v>
      </x:c>
      <x:c r="AX40" s="59" t="s">
        <x:v>100</x:v>
      </x:c>
      <x:c r="AY40" s="59" t="s">
        <x:v>101</x:v>
      </x:c>
    </x:row>
    <x:row r="41" ht="22" customHeight="1">
      <x:c r="A41" s="49" t="s">
        <x:v>237</x:v>
      </x:c>
      <x:c r="B41" s="49" t="s">
        <x:v>278</x:v>
      </x:c>
      <x:c r="C41" s="49" t="s">
        <x:v>89</x:v>
      </x:c>
      <x:c r="D41" s="49" t="s">
        <x:v>90</x:v>
      </x:c>
      <x:c r="E41" s="49" t="s">
        <x:v>279</x:v>
      </x:c>
      <x:c r="F41" s="49" t="s">
        <x:v>280</x:v>
      </x:c>
      <x:c r="G41" s="60">
        <x:v>0.96</x:v>
      </x:c>
      <x:c r="H41" s="60">
        <x:v>0.25</x:v>
      </x:c>
      <x:c r="I41" s="60">
        <x:v>0.86</x:v>
      </x:c>
      <x:c r="J41" s="49" t="s">
        <x:v>281</x:v>
      </x:c>
      <x:c r="K41" s="49" t="s">
        <x:v>94</x:v>
      </x:c>
      <x:c r="L41" s="49" t="s">
        <x:v>282</x:v>
      </x:c>
      <x:c r="M41" s="61">
        <x:v>0.574</x:v>
      </x:c>
      <x:c r="N41" s="49" t="s">
        <x:v>96</x:v>
      </x:c>
      <x:c r="O41" s="49" t="s">
        <x:v>126</x:v>
      </x:c>
      <x:c r="P41" s="49" t="s">
        <x:v>30</x:v>
      </x:c>
      <x:c r="Q41" s="49" t="s">
        <x:v>20</x:v>
      </x:c>
      <x:c r="R41" s="50">
        <x:v>0.96</x:v>
      </x:c>
      <x:c r="S41" s="50">
        <x:f t="shared" si="0"/>
        <x:v>-0.5</x:v>
      </x:c>
      <x:c r="T41" s="49" t="s">
        <x:v>98</x:v>
      </x:c>
      <x:c r="U41" s="49" t="str">
        <x:f t="shared" si="4"/>
        <x:v>黑</x:v>
      </x:c>
      <x:c r="V41" s="50">
        <x:f t="shared" si="5"/>
        <x:v>0.76</x:v>
      </x:c>
      <x:c r="W41" s="50">
        <x:f t="shared" si="3"/>
        <x:v>-1</x:v>
      </x:c>
      <x:c r="X41" s="57">
        <x:v>0.84</x:v>
      </x:c>
      <x:c r="Y41" s="57">
        <x:v>0</x:v>
      </x:c>
      <x:c r="Z41" s="57">
        <x:v>0.98</x:v>
      </x:c>
      <x:c r="AA41" s="57">
        <x:v>0</x:v>
      </x:c>
      <x:c r="AB41" s="57">
        <x:v>0.84</x:v>
      </x:c>
      <x:c r="AC41" s="57">
        <x:v>0.96</x:v>
      </x:c>
      <x:c r="AD41" s="57">
        <x:v>2.8</x:v>
      </x:c>
      <x:c r="AE41" s="57">
        <x:v>3.08</x:v>
      </x:c>
      <x:c r="AF41" s="57">
        <x:v>2.48</x:v>
      </x:c>
      <x:c r="AG41" s="58">
        <x:v>0.0850439882697949</x:v>
      </x:c>
      <x:c r="AH41" s="58">
        <x:v>0.0350439882697949</x:v>
      </x:c>
      <x:c r="AI41" s="58">
        <x:v>0.329150579150579</x:v>
      </x:c>
      <x:c r="AJ41" s="58">
        <x:v>0.299227799227799</x:v>
      </x:c>
      <x:c r="AK41" s="58">
        <x:v>0.371621621621622</x:v>
      </x:c>
      <x:c r="AL41" s="57">
        <x:v>1.01</x:v>
      </x:c>
      <x:c r="AM41" s="57">
        <x:v>1.09</x:v>
      </x:c>
      <x:c r="AN41" s="57">
        <x:v>0.000579249046358632</x:v>
      </x:c>
      <x:c r="AO41" s="57">
        <x:v>1.57804477475907</x:v>
      </x:c>
      <x:c r="AP41" s="57">
        <x:v>-0.618044774759075</x:v>
      </x:c>
      <x:c r="AQ41" s="59" t="s">
        <x:v>99</x:v>
      </x:c>
      <x:c r="AR41" s="57">
        <x:v>-0.25</x:v>
      </x:c>
      <x:c r="AS41" s="57">
        <x:v>0.32985511371995</x:v>
      </x:c>
      <x:c r="AT41" s="57">
        <x:v>0.520526138633328</x:v>
      </x:c>
      <x:c r="AU41" s="57">
        <x:v>2.3</x:v>
      </x:c>
      <x:c r="AV41" s="57">
        <x:v>3.23</x:v>
      </x:c>
      <x:c r="AW41" s="57">
        <x:v>3.03</x:v>
      </x:c>
      <x:c r="AX41" s="59" t="s">
        <x:v>100</x:v>
      </x:c>
      <x:c r="AY41" s="59" t="s">
        <x:v>101</x:v>
      </x:c>
    </x:row>
    <x:row r="42" ht="22" customHeight="1">
      <x:c r="A42" s="49" t="s">
        <x:v>237</x:v>
      </x:c>
      <x:c r="B42" s="49" t="s">
        <x:v>283</x:v>
      </x:c>
      <x:c r="C42" s="49" t="s">
        <x:v>89</x:v>
      </x:c>
      <x:c r="D42" s="49" t="s">
        <x:v>116</x:v>
      </x:c>
      <x:c r="E42" s="49" t="s">
        <x:v>284</x:v>
      </x:c>
      <x:c r="F42" s="49" t="s">
        <x:v>285</x:v>
      </x:c>
      <x:c r="G42" s="60">
        <x:v>0.76</x:v>
      </x:c>
      <x:c r="H42" s="60">
        <x:v>0.5</x:v>
      </x:c>
      <x:c r="I42" s="60">
        <x:v>0.94</x:v>
      </x:c>
      <x:c r="J42" s="49" t="s">
        <x:v>286</x:v>
      </x:c>
      <x:c r="K42" s="49" t="s">
        <x:v>132</x:v>
      </x:c>
      <x:c r="L42" s="49" t="s">
        <x:v>287</x:v>
      </x:c>
      <x:c r="M42" s="61">
        <x:v>0.604</x:v>
      </x:c>
      <x:c r="N42" s="49" t="s">
        <x:v>96</x:v>
      </x:c>
      <x:c r="O42" s="49" t="s">
        <x:v>288</x:v>
      </x:c>
      <x:c r="P42" s="49" t="s">
        <x:v>30</x:v>
      </x:c>
      <x:c r="Q42" s="49" t="s">
        <x:v>11</x:v>
      </x:c>
      <x:c r="R42" s="50">
        <x:v>0.94</x:v>
      </x:c>
      <x:c r="S42" s="50">
        <x:f t="shared" si="0"/>
        <x:v>0.94</x:v>
      </x:c>
      <x:c r="T42" s="49" t="s">
        <x:v>98</x:v>
      </x:c>
      <x:c r="U42" s="49" t="str">
        <x:f t="shared" si="4"/>
        <x:v>黑</x:v>
      </x:c>
      <x:c r="V42" s="50">
        <x:f t="shared" si="5"/>
        <x:v>0.73</x:v>
      </x:c>
      <x:c r="W42" s="50">
        <x:f t="shared" si="3"/>
        <x:v>-1</x:v>
      </x:c>
      <x:c r="X42" s="57">
        <x:v>0.84</x:v>
      </x:c>
      <x:c r="Y42" s="57">
        <x:v>0.75</x:v>
      </x:c>
      <x:c r="Z42" s="57">
        <x:v>0.86</x:v>
      </x:c>
      <x:c r="AA42" s="57">
        <x:v>0.75</x:v>
      </x:c>
      <x:c r="AB42" s="57">
        <x:v>0.86</x:v>
      </x:c>
      <x:c r="AC42" s="57">
        <x:v>0.94</x:v>
      </x:c>
      <x:c r="AD42" s="57">
        <x:v>1.64</x:v>
      </x:c>
      <x:c r="AE42" s="57">
        <x:v>3.53</x:v>
      </x:c>
      <x:c r="AF42" s="57">
        <x:v>4.82</x:v>
      </x:c>
      <x:c r="AG42" s="58">
        <x:v>0.100511096209195</x:v>
      </x:c>
      <x:c r="AH42" s="58">
        <x:v>0.0505110962091953</x:v>
      </x:c>
      <x:c r="AI42" s="58">
        <x:v>0.554066287619755</x:v>
      </x:c>
      <x:c r="AJ42" s="58">
        <x:v>0.257413232775184</x:v>
      </x:c>
      <x:c r="AK42" s="58">
        <x:v>0.188520479605062</x:v>
      </x:c>
      <x:c r="AL42" s="57">
        <x:v>1.53</x:v>
      </x:c>
      <x:c r="AM42" s="57">
        <x:v>0.77</x:v>
      </x:c>
      <x:c r="AN42" s="57">
        <x:v>0.00046746188559333</x:v>
      </x:c>
      <x:c r="AO42" s="57">
        <x:v>1.24127172855401</x:v>
      </x:c>
      <x:c r="AP42" s="57">
        <x:v>-0.301271728554015</x:v>
      </x:c>
      <x:c r="AQ42" s="59" t="s">
        <x:v>289</x:v>
      </x:c>
      <x:c r="AR42" s="57">
        <x:v>0.5</x:v>
      </x:c>
      <x:c r="AS42" s="57">
        <x:v>0.446175261687329</x:v>
      </x:c>
      <x:c r="AT42" s="57">
        <x:v>0.553824738312671</x:v>
      </x:c>
      <x:c r="AU42" s="57">
        <x:v>1.69</x:v>
      </x:c>
      <x:c r="AV42" s="57">
        <x:v>3.44</x:v>
      </x:c>
      <x:c r="AW42" s="57">
        <x:v>4.59</x:v>
      </x:c>
      <x:c r="AX42" s="59" t="s">
        <x:v>100</x:v>
      </x:c>
      <x:c r="AY42" s="59" t="s">
        <x:v>101</x:v>
      </x:c>
    </x:row>
    <x:row r="43" ht="22" customHeight="1">
      <x:c r="A43" s="49" t="s">
        <x:v>237</x:v>
      </x:c>
      <x:c r="B43" s="49" t="s">
        <x:v>290</x:v>
      </x:c>
      <x:c r="C43" s="49" t="s">
        <x:v>89</x:v>
      </x:c>
      <x:c r="D43" s="49" t="s">
        <x:v>90</x:v>
      </x:c>
      <x:c r="E43" s="49" t="s">
        <x:v>91</x:v>
      </x:c>
      <x:c r="F43" s="49" t="s">
        <x:v>291</x:v>
      </x:c>
      <x:c r="G43" s="60">
        <x:v>0.73</x:v>
      </x:c>
      <x:c r="H43" s="60">
        <x:v>0</x:v>
      </x:c>
      <x:c r="I43" s="60">
        <x:v>0.97</x:v>
      </x:c>
      <x:c r="J43" s="49" t="s">
        <x:v>292</x:v>
      </x:c>
      <x:c r="K43" s="49" t="s">
        <x:v>132</x:v>
      </x:c>
      <x:c r="L43" s="49" t="s">
        <x:v>293</x:v>
      </x:c>
      <x:c r="M43" s="61">
        <x:v>0.604</x:v>
      </x:c>
      <x:c r="N43" s="49" t="s">
        <x:v>96</x:v>
      </x:c>
      <x:c r="O43" s="49" t="s">
        <x:v>191</x:v>
      </x:c>
      <x:c r="P43" s="49" t="s">
        <x:v>30</x:v>
      </x:c>
      <x:c r="Q43" s="49" t="s">
        <x:v>11</x:v>
      </x:c>
      <x:c r="R43" s="50">
        <x:v>0.97</x:v>
      </x:c>
      <x:c r="S43" s="50">
        <x:f t="shared" si="0"/>
        <x:v>0.97</x:v>
      </x:c>
      <x:c r="T43" s="49" t="s">
        <x:v>98</x:v>
      </x:c>
      <x:c r="U43" s="49" t="str">
        <x:f t="shared" si="4"/>
        <x:v>红</x:v>
      </x:c>
      <x:c r="V43" s="50">
        <x:f t="shared" si="5"/>
        <x:v>0.87</x:v>
      </x:c>
      <x:c r="W43" s="50">
        <x:f t="shared" si="3"/>
        <x:v>0.87</x:v>
      </x:c>
      <x:c r="X43" s="57">
        <x:v>0.93</x:v>
      </x:c>
      <x:c r="Y43" s="57">
        <x:v>0.25</x:v>
      </x:c>
      <x:c r="Z43" s="57">
        <x:v>0.77</x:v>
      </x:c>
      <x:c r="AA43" s="57">
        <x:v>0.25</x:v>
      </x:c>
      <x:c r="AB43" s="57">
        <x:v>0.77</x:v>
      </x:c>
      <x:c r="AC43" s="57">
        <x:v>0.97</x:v>
      </x:c>
      <x:c r="AD43" s="57">
        <x:v>2.28</x:v>
      </x:c>
      <x:c r="AE43" s="57">
        <x:v>3.02</x:v>
      </x:c>
      <x:c r="AF43" s="57">
        <x:v>2.96</x:v>
      </x:c>
      <x:c r="AG43" s="58">
        <x:v>0.107560156880478</x:v>
      </x:c>
      <x:c r="AH43" s="58">
        <x:v>0.0575601568804776</x:v>
      </x:c>
      <x:c r="AI43" s="58">
        <x:v>0.396002409894744</x:v>
      </x:c>
      <x:c r="AJ43" s="58">
        <x:v>0.298968706807953</x:v>
      </x:c>
      <x:c r="AK43" s="58">
        <x:v>0.305028883297303</x:v>
      </x:c>
      <x:c r="AL43" s="57">
        <x:v>1.13</x:v>
      </x:c>
      <x:c r="AM43" s="57">
        <x:v>0.95</x:v>
      </x:c>
      <x:c r="AN43" s="57">
        <x:v>0.000818437444493542</x:v>
      </x:c>
      <x:c r="AO43" s="57">
        <x:v>1.30479551785722</x:v>
      </x:c>
      <x:c r="AP43" s="57">
        <x:v>-0.334795517857215</x:v>
      </x:c>
      <x:c r="AQ43" s="59" t="s">
        <x:v>150</x:v>
      </x:c>
      <x:c r="AR43" s="57">
        <x:v>0</x:v>
      </x:c>
      <x:c r="AS43" s="57">
        <x:v>0.303875484035255</x:v>
      </x:c>
      <x:c r="AT43" s="57">
        <x:v>0.396495369555893</x:v>
      </x:c>
      <x:c r="AU43" s="57">
        <x:v>2.25</x:v>
      </x:c>
      <x:c r="AV43" s="57">
        <x:v>3.27</x:v>
      </x:c>
      <x:c r="AW43" s="57">
        <x:v>2.85</x:v>
      </x:c>
      <x:c r="AX43" s="59" t="s">
        <x:v>100</x:v>
      </x:c>
      <x:c r="AY43" s="59" t="s">
        <x:v>101</x:v>
      </x:c>
    </x:row>
    <x:row r="44" ht="22" customHeight="1">
      <x:c r="A44" s="49" t="s">
        <x:v>237</x:v>
      </x:c>
      <x:c r="B44" s="49" t="s">
        <x:v>294</x:v>
      </x:c>
      <x:c r="C44" s="49" t="s">
        <x:v>89</x:v>
      </x:c>
      <x:c r="D44" s="49" t="s">
        <x:v>90</x:v>
      </x:c>
      <x:c r="E44" s="49" t="s">
        <x:v>295</x:v>
      </x:c>
      <x:c r="F44" s="49" t="s">
        <x:v>296</x:v>
      </x:c>
      <x:c r="G44" s="60">
        <x:v>0.87</x:v>
      </x:c>
      <x:c r="H44" s="60">
        <x:v>-2.5</x:v>
      </x:c>
      <x:c r="I44" s="60">
        <x:v>0.95</x:v>
      </x:c>
      <x:c r="J44" s="49" t="s">
        <x:v>297</x:v>
      </x:c>
      <x:c r="K44" s="49" t="s">
        <x:v>94</x:v>
      </x:c>
      <x:c r="L44" s="49" t="s">
        <x:v>298</x:v>
      </x:c>
      <x:c r="M44" s="61">
        <x:v>0.574</x:v>
      </x:c>
      <x:c r="N44" s="49" t="s">
        <x:v>96</x:v>
      </x:c>
      <x:c r="O44" s="49" t="s">
        <x:v>114</x:v>
      </x:c>
      <x:c r="P44" s="49" t="s">
        <x:v>30</x:v>
      </x:c>
      <x:c r="Q44" s="49" t="s">
        <x:v>23</x:v>
      </x:c>
      <x:c r="R44" s="50">
        <x:v>0.95</x:v>
      </x:c>
      <x:c r="S44" s="50">
        <x:f t="shared" si="0"/>
        <x:v>-1</x:v>
      </x:c>
      <x:c r="T44" s="49" t="s">
        <x:v>98</x:v>
      </x:c>
      <x:c r="U44" s="49" t="str">
        <x:f t="shared" si="4"/>
        <x:v>黑</x:v>
      </x:c>
      <x:c r="V44" s="50">
        <x:f t="shared" si="5"/>
        <x:v>0.89</x:v>
      </x:c>
      <x:c r="W44" s="50">
        <x:f t="shared" si="3"/>
        <x:v>-1</x:v>
      </x:c>
      <x:c r="X44" s="57">
        <x:v>0.89</x:v>
      </x:c>
      <x:c r="Y44" s="57">
        <x:v>-2.25</x:v>
      </x:c>
      <x:c r="Z44" s="57">
        <x:v>0.93</x:v>
      </x:c>
      <x:c r="AA44" s="57">
        <x:v>-2.25</x:v>
      </x:c>
      <x:c r="AB44" s="57">
        <x:v>0.93</x:v>
      </x:c>
      <x:c r="AC44" s="57">
        <x:v>0.95</x:v>
      </x:c>
      <x:c r="AD44" s="57">
        <x:v>26.71</x:v>
      </x:c>
      <x:c r="AE44" s="57">
        <x:v>8.13</x:v>
      </x:c>
      <x:c r="AF44" s="57">
        <x:v>1.07</x:v>
      </x:c>
      <x:c r="AG44" s="58">
        <x:v>0.0950198306274221</x:v>
      </x:c>
      <x:c r="AH44" s="58">
        <x:v>0.0450198306274221</x:v>
      </x:c>
      <x:c r="AI44" s="58">
        <x:v>0.0341903957495762</x:v>
      </x:c>
      <x:c r="AJ44" s="58">
        <x:v>0.112327856146517</x:v>
      </x:c>
      <x:c r="AK44" s="58">
        <x:v>0.853481748103907</x:v>
      </x:c>
      <x:c r="AL44" s="57">
        <x:v>0.37</x:v>
      </x:c>
      <x:c r="AM44" s="57">
        <x:v>2.62</x:v>
      </x:c>
      <x:c r="AN44" s="57">
        <x:v>0.00021516490446569</x:v>
      </x:c>
      <x:c r="AO44" s="57">
        <x:v>1.43360131631178</x:v>
      </x:c>
      <x:c r="AP44" s="57">
        <x:v>-0.483601316311781</x:v>
      </x:c>
      <x:c r="AQ44" s="59" t="s">
        <x:v>99</x:v>
      </x:c>
      <x:c r="AR44" s="57">
        <x:v>-2.5</x:v>
      </x:c>
      <x:c r="AS44" s="57">
        <x:v>0.410913650192933</x:v>
      </x:c>
      <x:c r="AT44" s="57">
        <x:v>0.589086349807067</x:v>
      </x:c>
      <x:c r="AU44" s="57">
        <x:v>22.36</x:v>
      </x:c>
      <x:c r="AV44" s="57">
        <x:v>8.32</x:v>
      </x:c>
      <x:c r="AW44" s="57">
        <x:v>1.08</x:v>
      </x:c>
      <x:c r="AX44" s="59" t="s">
        <x:v>100</x:v>
      </x:c>
      <x:c r="AY44" s="59" t="s">
        <x:v>101</x:v>
      </x:c>
    </x:row>
    <x:row r="45" ht="22" customHeight="1">
      <x:c r="A45" s="49" t="s">
        <x:v>237</x:v>
      </x:c>
      <x:c r="B45" s="49" t="s">
        <x:v>294</x:v>
      </x:c>
      <x:c r="C45" s="49" t="s">
        <x:v>89</x:v>
      </x:c>
      <x:c r="D45" s="49" t="s">
        <x:v>116</x:v>
      </x:c>
      <x:c r="E45" s="49" t="s">
        <x:v>117</x:v>
      </x:c>
      <x:c r="F45" s="49" t="s">
        <x:v>299</x:v>
      </x:c>
      <x:c r="G45" s="60">
        <x:v>0.89</x:v>
      </x:c>
      <x:c r="H45" s="60">
        <x:v>-0.5</x:v>
      </x:c>
      <x:c r="I45" s="60">
        <x:v>0.93</x:v>
      </x:c>
      <x:c r="J45" s="49" t="s">
        <x:v>300</x:v>
      </x:c>
      <x:c r="K45" s="49" t="s">
        <x:v>94</x:v>
      </x:c>
      <x:c r="L45" s="49" t="s">
        <x:v>301</x:v>
      </x:c>
      <x:c r="M45" s="61">
        <x:v>0.574</x:v>
      </x:c>
      <x:c r="N45" s="49" t="s">
        <x:v>96</x:v>
      </x:c>
      <x:c r="O45" s="49" t="s">
        <x:v>114</x:v>
      </x:c>
      <x:c r="P45" s="49" t="s">
        <x:v>30</x:v>
      </x:c>
      <x:c r="Q45" s="49" t="s">
        <x:v>11</x:v>
      </x:c>
      <x:c r="R45" s="50">
        <x:v>0.93</x:v>
      </x:c>
      <x:c r="S45" s="50">
        <x:f t="shared" si="0"/>
        <x:v>0.93</x:v>
      </x:c>
      <x:c r="T45" s="49" t="s">
        <x:v>98</x:v>
      </x:c>
      <x:c r="U45" s="49" t="str">
        <x:f t="shared" si="4"/>
        <x:v>红</x:v>
      </x:c>
      <x:c r="V45" s="50">
        <x:f t="shared" si="5"/>
        <x:v>0.97</x:v>
      </x:c>
      <x:c r="W45" s="50">
        <x:f t="shared" si="3"/>
        <x:v>0.97</x:v>
      </x:c>
      <x:c r="X45" s="57">
        <x:v>0.93</x:v>
      </x:c>
      <x:c r="Y45" s="57">
        <x:v>-0.25</x:v>
      </x:c>
      <x:c r="Z45" s="57">
        <x:v>0.83</x:v>
      </x:c>
      <x:c r="AA45" s="57">
        <x:v>-0.25</x:v>
      </x:c>
      <x:c r="AB45" s="57">
        <x:v>0.83</x:v>
      </x:c>
      <x:c r="AC45" s="57">
        <x:v>0.93</x:v>
      </x:c>
      <x:c r="AD45" s="57">
        <x:v>3.3</x:v>
      </x:c>
      <x:c r="AE45" s="57">
        <x:v>3.35</x:v>
      </x:c>
      <x:c r="AF45" s="57">
        <x:v>2.02</x:v>
      </x:c>
      <x:c r="AG45" s="58">
        <x:v>0.0965872706673652</x:v>
      </x:c>
      <x:c r="AH45" s="58">
        <x:v>0.0465872706673652</x:v>
      </x:c>
      <x:c r="AI45" s="58">
        <x:v>0.276339431558314</x:v>
      </x:c>
      <x:c r="AJ45" s="58">
        <x:v>0.272214962430578</x:v>
      </x:c>
      <x:c r="AK45" s="58">
        <x:v>0.451445606011108</x:v>
      </x:c>
      <x:c r="AL45" s="57">
        <x:v>1.01</x:v>
      </x:c>
      <x:c r="AM45" s="57">
        <x:v>1.37</x:v>
      </x:c>
      <x:c r="AN45" s="57">
        <x:v>0.000360776605298438</x:v>
      </x:c>
      <x:c r="AO45" s="57">
        <x:v>1.21752642981109</x:v>
      </x:c>
      <x:c r="AP45" s="57">
        <x:v>-0.287526429811093</x:v>
      </x:c>
      <x:c r="AQ45" s="59" t="s">
        <x:v>99</x:v>
      </x:c>
      <x:c r="AR45" s="57">
        <x:v>-0.5</x:v>
      </x:c>
      <x:c r="AS45" s="57">
        <x:v>0.450952911566961</x:v>
      </x:c>
      <x:c r="AT45" s="57">
        <x:v>0.549047088433039</x:v>
      </x:c>
      <x:c r="AU45" s="57">
        <x:v>3.6</x:v>
      </x:c>
      <x:c r="AV45" s="57">
        <x:v>3.41</x:v>
      </x:c>
      <x:c r="AW45" s="57">
        <x:v>1.92</x:v>
      </x:c>
      <x:c r="AX45" s="59" t="s">
        <x:v>100</x:v>
      </x:c>
      <x:c r="AY45" s="59" t="s">
        <x:v>101</x:v>
      </x:c>
    </x:row>
    <x:row r="46" ht="22" customHeight="1">
      <x:c r="A46" s="49" t="s">
        <x:v>237</x:v>
      </x:c>
      <x:c r="B46" s="49" t="s">
        <x:v>302</x:v>
      </x:c>
      <x:c r="C46" s="49" t="s">
        <x:v>244</x:v>
      </x:c>
      <x:c r="D46" s="49" t="s">
        <x:v>90</x:v>
      </x:c>
      <x:c r="E46" s="49" t="s">
        <x:v>303</x:v>
      </x:c>
      <x:c r="F46" s="49" t="s">
        <x:v>304</x:v>
      </x:c>
      <x:c r="G46" s="60">
        <x:v>0.97</x:v>
      </x:c>
      <x:c r="H46" s="60">
        <x:v>-0.75</x:v>
      </x:c>
      <x:c r="I46" s="60">
        <x:v>0.73</x:v>
      </x:c>
      <x:c r="J46" s="49" t="s">
        <x:v>305</x:v>
      </x:c>
      <x:c r="K46" s="49" t="s">
        <x:v>106</x:v>
      </x:c>
      <x:c r="L46" s="49" t="s">
        <x:v>306</x:v>
      </x:c>
      <x:c r="M46" s="61">
        <x:v>0.6133</x:v>
      </x:c>
      <x:c r="N46" s="49" t="s">
        <x:v>96</x:v>
      </x:c>
      <x:c r="O46" s="49" t="s">
        <x:v>161</x:v>
      </x:c>
      <x:c r="P46" s="49" t="s">
        <x:v>30</x:v>
      </x:c>
      <x:c r="Q46" s="49" t="s">
        <x:v>23</x:v>
      </x:c>
      <x:c r="R46" s="50">
        <x:v>0.73</x:v>
      </x:c>
      <x:c r="S46" s="50">
        <x:f t="shared" si="0"/>
        <x:v>-1</x:v>
      </x:c>
      <x:c r="T46" s="49" t="s">
        <x:v>98</x:v>
      </x:c>
      <x:c r="U46" s="49" t="str">
        <x:f>IF(Q36="","",IF(Q36="待结算","待结算",IF(Q36="红","黑",IF(Q36="半红","半黑",IF(Q36="走","走",IF(Q36="半黑","半红","红"))))))</x:f>
        <x:v>黑</x:v>
      </x:c>
      <x:c r="V46" s="50" t="n">
        <x:f>IF(OR(Q36="",Q36="待结算"),"",IF(L36=LEFT(F36,FIND(" vs ",F36)-1),I36,G36))</x:f>
        <x:v>0.96</x:v>
      </x:c>
      <x:c r="W46" s="50">
        <x:f t="shared" si="3"/>
        <x:v>-1</x:v>
      </x:c>
      <x:c r="X46" s="57">
        <x:v>0.97</x:v>
      </x:c>
      <x:c r="Y46" s="57">
        <x:v>-0.75</x:v>
      </x:c>
      <x:c r="Z46" s="57">
        <x:v>0.73</x:v>
      </x:c>
      <x:c r="AA46" s="57">
        <x:v>-0.75</x:v>
      </x:c>
      <x:c r="AB46" s="57">
        <x:v>0.73</x:v>
      </x:c>
      <x:c r="AC46" s="57">
        <x:v>0.73</x:v>
      </x:c>
      <x:c r="AD46" s="57">
        <x:v>6.29</x:v>
      </x:c>
      <x:c r="AE46" s="57">
        <x:v>3.7</x:v>
      </x:c>
      <x:c r="AF46" s="57">
        <x:v>1.49</x:v>
      </x:c>
      <x:c r="AG46" s="58">
        <x:v>0.100393721791274</x:v>
      </x:c>
      <x:c r="AH46" s="58">
        <x:v>0.050393721791274</x:v>
      </x:c>
      <x:c r="AI46" s="58">
        <x:v>0.144477843498497</x:v>
      </x:c>
      <x:c r="AJ46" s="58">
        <x:v>0.245612333947445</x:v>
      </x:c>
      <x:c r="AK46" s="58">
        <x:v>0.609909822554058</x:v>
      </x:c>
      <x:c r="AL46" s="57">
        <x:v>0.63</x:v>
      </x:c>
      <x:c r="AM46" s="57">
        <x:v>1.6</x:v>
      </x:c>
      <x:c r="AN46" s="57">
        <x:v>0.000660202437077377</x:v>
      </x:c>
      <x:c r="AO46" s="57">
        <x:v>0.828163478230484</x:v>
      </x:c>
      <x:c r="AP46" s="57">
        <x:v>-0.0981634782304842</x:v>
      </x:c>
      <x:c r="AQ46" s="59" t="s">
        <x:v>99</x:v>
      </x:c>
      <x:c r="AR46" s="57">
        <x:v>-0.75</x:v>
      </x:c>
      <x:c r="AS46" s="57">
        <x:v>0.471891246608688</x:v>
      </x:c>
      <x:c r="AT46" s="57">
        <x:v>0.390803096137971</x:v>
      </x:c>
      <x:c r="AU46" s="57">
        <x:v>5.4</x:v>
      </x:c>
      <x:c r="AV46" s="57">
        <x:v>3.82</x:v>
      </x:c>
      <x:c r="AW46" s="57">
        <x:v>1.52</x:v>
      </x:c>
      <x:c r="AX46" s="59" t="s">
        <x:v>100</x:v>
      </x:c>
      <x:c r="AY46" s="59" t="s">
        <x:v>101</x:v>
      </x:c>
    </x:row>
    <x:row r="47" ht="22" customHeight="1">
      <x:c r="A47" s="49" t="s">
        <x:v>237</x:v>
      </x:c>
      <x:c r="B47" s="49" t="s">
        <x:v>302</x:v>
      </x:c>
      <x:c r="C47" s="49" t="s">
        <x:v>89</x:v>
      </x:c>
      <x:c r="D47" s="49" t="s">
        <x:v>116</x:v>
      </x:c>
      <x:c r="E47" s="49" t="s">
        <x:v>307</x:v>
      </x:c>
      <x:c r="F47" s="49" t="s">
        <x:v>308</x:v>
      </x:c>
      <x:c r="G47" s="60">
        <x:v>0.86</x:v>
      </x:c>
      <x:c r="H47" s="60">
        <x:v>0</x:v>
      </x:c>
      <x:c r="I47" s="60">
        <x:v>0.84</x:v>
      </x:c>
      <x:c r="J47" s="49" t="s">
        <x:v>309</x:v>
      </x:c>
      <x:c r="K47" s="49" t="s">
        <x:v>132</x:v>
      </x:c>
      <x:c r="L47" s="49" t="s">
        <x:v>310</x:v>
      </x:c>
      <x:c r="M47" s="61">
        <x:v>0.604</x:v>
      </x:c>
      <x:c r="N47" s="49" t="s">
        <x:v>96</x:v>
      </x:c>
      <x:c r="O47" s="49" t="s">
        <x:v>197</x:v>
      </x:c>
      <x:c r="P47" s="49" t="s">
        <x:v>30</x:v>
      </x:c>
      <x:c r="Q47" s="49" t="s">
        <x:v>11</x:v>
      </x:c>
      <x:c r="R47" s="50">
        <x:v>0.86</x:v>
      </x:c>
      <x:c r="S47" s="50">
        <x:f t="shared" si="0"/>
        <x:v>0.86</x:v>
      </x:c>
      <x:c r="T47" s="49" t="s">
        <x:v>98</x:v>
      </x:c>
      <x:c r="U47" s="49" t="str">
        <x:f t="shared" ref="U47:U110" si="6">IF(Q47="","",IF(Q47="待结算","待结算",IF(Q47="红","黑",IF(Q47="半红","半黑",IF(Q47="走","走",IF(Q47="半黑","半红","红"))))))</x:f>
        <x:v>黑</x:v>
      </x:c>
      <x:c r="V47" s="50" t="n">
        <x:f t="shared" ref="V47:V110" si="7">IF(OR(Q47="",Q47="待结算"),"",IF(L47=LEFT(F47,FIND(" vs ",F47)-1),I47,G47))</x:f>
        <x:v>0.84</x:v>
      </x:c>
      <x:c r="W47" s="50">
        <x:f t="shared" si="3"/>
        <x:v>-1</x:v>
      </x:c>
      <x:c r="X47" s="57">
        <x:v>0.92</x:v>
      </x:c>
      <x:c r="Y47" s="57">
        <x:v>-0.25</x:v>
      </x:c>
      <x:c r="Z47" s="57">
        <x:v>0.78</x:v>
      </x:c>
      <x:c r="AA47" s="57">
        <x:v>0.25</x:v>
      </x:c>
      <x:c r="AB47" s="57">
        <x:v>0.92</x:v>
      </x:c>
      <x:c r="AC47" s="57">
        <x:v>0.86</x:v>
      </x:c>
      <x:c r="AD47" s="57">
        <x:v>3.3</x:v>
      </x:c>
      <x:c r="AE47" s="57">
        <x:v>3.64</x:v>
      </x:c>
      <x:c r="AF47" s="57">
        <x:v>1.89</x:v>
      </x:c>
      <x:c r="AG47" s="58">
        <x:v>0.106856106856107</x:v>
      </x:c>
      <x:c r="AH47" s="58">
        <x:v>0.0568561068561069</x:v>
      </x:c>
      <x:c r="AI47" s="58">
        <x:v>0.273775697810463</x:v>
      </x:c>
      <x:c r="AJ47" s="58">
        <x:v>0.248203242520475</x:v>
      </x:c>
      <x:c r="AK47" s="58">
        <x:v>0.478021059669062</x:v>
      </x:c>
      <x:c r="AL47" s="57">
        <x:v>1.15</x:v>
      </x:c>
      <x:c r="AM47" s="57">
        <x:v>1.6</x:v>
      </x:c>
      <x:c r="AN47" s="57">
        <x:v>0.000118762730989811</x:v>
      </x:c>
      <x:c r="AO47" s="57">
        <x:v>1.7447600142345</x:v>
      </x:c>
      <x:c r="AP47" s="57">
        <x:v>-0.8847600142345</x:v>
      </x:c>
      <x:c r="AQ47" s="59" t="s">
        <x:v>150</x:v>
      </x:c>
      <x:c r="AR47" s="57">
        <x:v>0</x:v>
      </x:c>
      <x:c r="AS47" s="57">
        <x:v>0.273941394061707</x:v>
      </x:c>
      <x:c r="AT47" s="57">
        <x:v>0.477961990602524</x:v>
      </x:c>
      <x:c r="AU47" s="57">
        <x:v>2.66</x:v>
      </x:c>
      <x:c r="AV47" s="57">
        <x:v>3.56</x:v>
      </x:c>
      <x:c r="AW47" s="57">
        <x:v>2.22</x:v>
      </x:c>
      <x:c r="AX47" s="59" t="s">
        <x:v>100</x:v>
      </x:c>
      <x:c r="AY47" s="59" t="s">
        <x:v>101</x:v>
      </x:c>
    </x:row>
    <x:row r="48" ht="22" customHeight="1">
      <x:c r="A48" s="49" t="s">
        <x:v>237</x:v>
      </x:c>
      <x:c r="B48" s="49" t="s">
        <x:v>302</x:v>
      </x:c>
      <x:c r="C48" s="49" t="s">
        <x:v>89</x:v>
      </x:c>
      <x:c r="D48" s="49" t="s">
        <x:v>90</x:v>
      </x:c>
      <x:c r="E48" s="49" t="s">
        <x:v>295</x:v>
      </x:c>
      <x:c r="F48" s="49" t="s">
        <x:v>311</x:v>
      </x:c>
      <x:c r="G48" s="60">
        <x:v>0.89</x:v>
      </x:c>
      <x:c r="H48" s="60">
        <x:v>-0.75</x:v>
      </x:c>
      <x:c r="I48" s="60">
        <x:v>0.93</x:v>
      </x:c>
      <x:c r="J48" s="49" t="s">
        <x:v>312</x:v>
      </x:c>
      <x:c r="K48" s="49" t="s">
        <x:v>94</x:v>
      </x:c>
      <x:c r="L48" s="49" t="s">
        <x:v>313</x:v>
      </x:c>
      <x:c r="M48" s="61">
        <x:v>0.574</x:v>
      </x:c>
      <x:c r="N48" s="49" t="s">
        <x:v>96</x:v>
      </x:c>
      <x:c r="O48" s="49" t="s">
        <x:v>273</x:v>
      </x:c>
      <x:c r="P48" s="49" t="s">
        <x:v>30</x:v>
      </x:c>
      <x:c r="Q48" s="49" t="s">
        <x:v>23</x:v>
      </x:c>
      <x:c r="R48" s="50">
        <x:v>0.93</x:v>
      </x:c>
      <x:c r="S48" s="50">
        <x:f t="shared" si="0"/>
        <x:v>-1</x:v>
      </x:c>
      <x:c r="T48" s="49" t="s">
        <x:v>98</x:v>
      </x:c>
      <x:c r="U48" s="49" t="str">
        <x:f t="shared" si="6"/>
        <x:v>红</x:v>
      </x:c>
      <x:c r="V48" s="50">
        <x:f t="shared" si="7"/>
        <x:v>0.89</x:v>
      </x:c>
      <x:c r="W48" s="50">
        <x:f t="shared" si="3"/>
        <x:v>0.89</x:v>
      </x:c>
      <x:c r="X48" s="57">
        <x:v>0.97</x:v>
      </x:c>
      <x:c r="Y48" s="57">
        <x:v>-0.25</x:v>
      </x:c>
      <x:c r="Z48" s="57">
        <x:v>0.85</x:v>
      </x:c>
      <x:c r="AA48" s="57">
        <x:v>-0.25</x:v>
      </x:c>
      <x:c r="AB48" s="57">
        <x:v>0.85</x:v>
      </x:c>
      <x:c r="AC48" s="57">
        <x:v>0.93</x:v>
      </x:c>
      <x:c r="AD48" s="57">
        <x:v>3.27</x:v>
      </x:c>
      <x:c r="AE48" s="57">
        <x:v>3</x:v>
      </x:c>
      <x:c r="AF48" s="57">
        <x:v>2.17</x:v>
      </x:c>
      <x:c r="AG48" s="58">
        <x:v>0.0999732239744078</x:v>
      </x:c>
      <x:c r="AH48" s="58">
        <x:v>0.0499732239744078</x:v>
      </x:c>
      <x:c r="AI48" s="58">
        <x:v>0.27801621974812</x:v>
      </x:c>
      <x:c r="AJ48" s="58">
        <x:v>0.303037679525451</x:v>
      </x:c>
      <x:c r="AK48" s="58">
        <x:v>0.41894610072643</x:v>
      </x:c>
      <x:c r="AL48" s="57">
        <x:v>0.87</x:v>
      </x:c>
      <x:c r="AM48" s="57">
        <x:v>1.14</x:v>
      </x:c>
      <x:c r="AN48" s="57">
        <x:v>0.000480273931365343</x:v>
      </x:c>
      <x:c r="AO48" s="57">
        <x:v>1.95529198775647</x:v>
      </x:c>
      <x:c r="AP48" s="57">
        <x:v>-1.02529198775648</x:v>
      </x:c>
      <x:c r="AQ48" s="59" t="s">
        <x:v>99</x:v>
      </x:c>
      <x:c r="AR48" s="57">
        <x:v>-0.75</x:v>
      </x:c>
      <x:c r="AS48" s="57">
        <x:v>0.297415059486266</x:v>
      </x:c>
      <x:c r="AT48" s="57">
        <x:v>0.581533282851611</x:v>
      </x:c>
      <x:c r="AU48" s="57">
        <x:v>4.52</x:v>
      </x:c>
      <x:c r="AV48" s="57">
        <x:v>3.31</x:v>
      </x:c>
      <x:c r="AW48" s="57">
        <x:v>1.77</x:v>
      </x:c>
      <x:c r="AX48" s="59" t="s">
        <x:v>100</x:v>
      </x:c>
      <x:c r="AY48" s="59" t="s">
        <x:v>101</x:v>
      </x:c>
    </x:row>
    <x:row r="49" ht="22" customHeight="1">
      <x:c r="A49" s="49" t="s">
        <x:v>237</x:v>
      </x:c>
      <x:c r="B49" s="49" t="s">
        <x:v>302</x:v>
      </x:c>
      <x:c r="C49" s="49" t="s">
        <x:v>89</x:v>
      </x:c>
      <x:c r="D49" s="49" t="s">
        <x:v>116</x:v>
      </x:c>
      <x:c r="E49" s="49" t="s">
        <x:v>307</x:v>
      </x:c>
      <x:c r="F49" s="49" t="s">
        <x:v>314</x:v>
      </x:c>
      <x:c r="G49" s="60">
        <x:v>0.9</x:v>
      </x:c>
      <x:c r="H49" s="60">
        <x:v>1.5</x:v>
      </x:c>
      <x:c r="I49" s="60">
        <x:v>0.8</x:v>
      </x:c>
      <x:c r="J49" s="49" t="s">
        <x:v>315</x:v>
      </x:c>
      <x:c r="K49" s="49" t="s">
        <x:v>94</x:v>
      </x:c>
      <x:c r="L49" s="49" t="s">
        <x:v>316</x:v>
      </x:c>
      <x:c r="M49" s="61">
        <x:v>0.574</x:v>
      </x:c>
      <x:c r="N49" s="49" t="s">
        <x:v>96</x:v>
      </x:c>
      <x:c r="O49" s="49" t="s">
        <x:v>317</x:v>
      </x:c>
      <x:c r="P49" s="49" t="s">
        <x:v>30</x:v>
      </x:c>
      <x:c r="Q49" s="49" t="s">
        <x:v>11</x:v>
      </x:c>
      <x:c r="R49" s="50">
        <x:v>0.9</x:v>
      </x:c>
      <x:c r="S49" s="50">
        <x:f t="shared" si="0"/>
        <x:v>0.9</x:v>
      </x:c>
      <x:c r="T49" s="49" t="s">
        <x:v>98</x:v>
      </x:c>
      <x:c r="U49" s="49" t="str">
        <x:f t="shared" si="6"/>
        <x:v>黑</x:v>
      </x:c>
      <x:c r="V49" s="50">
        <x:f t="shared" si="7"/>
        <x:v>0.8</x:v>
      </x:c>
      <x:c r="W49" s="50">
        <x:f t="shared" si="3"/>
        <x:v>-1</x:v>
      </x:c>
      <x:c r="X49" s="57">
        <x:v>0.75</x:v>
      </x:c>
      <x:c r="Y49" s="57">
        <x:v>1.25</x:v>
      </x:c>
      <x:c r="Z49" s="57">
        <x:v>0.95</x:v>
      </x:c>
      <x:c r="AA49" s="57">
        <x:v>-1.25</x:v>
      </x:c>
      <x:c r="AB49" s="57">
        <x:v>0.75</x:v>
      </x:c>
      <x:c r="AC49" s="57">
        <x:v>0.9</x:v>
      </x:c>
      <x:c r="AD49" s="57">
        <x:v>1.37</x:v>
      </x:c>
      <x:c r="AE49" s="57">
        <x:v>4.59</x:v>
      </x:c>
      <x:c r="AF49" s="57">
        <x:v>6.37</x:v>
      </x:c>
      <x:c r="AG49" s="58">
        <x:v>0.104777802318132</x:v>
      </x:c>
      <x:c r="AH49" s="58">
        <x:v>0.0547778023181323</x:v>
      </x:c>
      <x:c r="AI49" s="58">
        <x:v>0.660700283593388</x:v>
      </x:c>
      <x:c r="AJ49" s="58">
        <x:v>0.197202481159682</x:v>
      </x:c>
      <x:c r="AK49" s="58">
        <x:v>0.14209723524693</x:v>
      </x:c>
      <x:c r="AL49" s="57">
        <x:v>2.09</x:v>
      </x:c>
      <x:c r="AM49" s="57">
        <x:v>0.85</x:v>
      </x:c>
      <x:c r="AN49" s="57">
        <x:v>0.000389097075185167</x:v>
      </x:c>
      <x:c r="AO49" s="57">
        <x:v>1.39313740971814</x:v>
      </x:c>
      <x:c r="AP49" s="57">
        <x:v>-0.49313740971814</x:v>
      </x:c>
      <x:c r="AQ49" s="59" t="s">
        <x:v>99</x:v>
      </x:c>
      <x:c r="AR49" s="57">
        <x:v>-1.5</x:v>
      </x:c>
      <x:c r="AS49" s="57">
        <x:v>0.417861505126769</x:v>
      </x:c>
      <x:c r="AT49" s="57">
        <x:v>0.582138494873231</x:v>
      </x:c>
      <x:c r="AU49" s="57">
        <x:v>1.35</x:v>
      </x:c>
      <x:c r="AV49" s="57">
        <x:v>4.75</x:v>
      </x:c>
      <x:c r="AW49" s="57">
        <x:v>6.31</x:v>
      </x:c>
      <x:c r="AX49" s="59" t="s">
        <x:v>100</x:v>
      </x:c>
      <x:c r="AY49" s="59" t="s">
        <x:v>101</x:v>
      </x:c>
    </x:row>
    <x:row r="50" ht="22" customHeight="1">
      <x:c r="A50" s="49" t="s">
        <x:v>237</x:v>
      </x:c>
      <x:c r="B50" s="49" t="s">
        <x:v>318</x:v>
      </x:c>
      <x:c r="C50" s="49" t="s">
        <x:v>89</x:v>
      </x:c>
      <x:c r="D50" s="49" t="s">
        <x:v>116</x:v>
      </x:c>
      <x:c r="E50" s="49" t="s">
        <x:v>284</x:v>
      </x:c>
      <x:c r="F50" s="49" t="s">
        <x:v>319</x:v>
      </x:c>
      <x:c r="G50" s="60">
        <x:v>0.78</x:v>
      </x:c>
      <x:c r="H50" s="60">
        <x:v>0.75</x:v>
      </x:c>
      <x:c r="I50" s="60">
        <x:v>0.92</x:v>
      </x:c>
      <x:c r="J50" s="49" t="s">
        <x:v>320</x:v>
      </x:c>
      <x:c r="K50" s="49" t="s">
        <x:v>106</x:v>
      </x:c>
      <x:c r="L50" s="49" t="s">
        <x:v>321</x:v>
      </x:c>
      <x:c r="M50" s="61">
        <x:v>0.607</x:v>
      </x:c>
      <x:c r="N50" s="49" t="s">
        <x:v>96</x:v>
      </x:c>
      <x:c r="O50" s="49" t="s">
        <x:v>126</x:v>
      </x:c>
      <x:c r="P50" s="49" t="s">
        <x:v>30</x:v>
      </x:c>
      <x:c r="Q50" s="49" t="s">
        <x:v>23</x:v>
      </x:c>
      <x:c r="R50" s="50">
        <x:v>0.78</x:v>
      </x:c>
      <x:c r="S50" s="50">
        <x:f t="shared" si="0"/>
        <x:v>-1</x:v>
      </x:c>
      <x:c r="T50" s="49" t="s">
        <x:v>98</x:v>
      </x:c>
      <x:c r="U50" s="49" t="str">
        <x:f t="shared" si="6"/>
        <x:v>红</x:v>
      </x:c>
      <x:c r="V50" s="50">
        <x:f t="shared" si="7"/>
        <x:v>0.92</x:v>
      </x:c>
      <x:c r="W50" s="50">
        <x:f t="shared" si="3"/>
        <x:v>0.92</x:v>
      </x:c>
      <x:c r="X50" s="57">
        <x:v>0.8</x:v>
      </x:c>
      <x:c r="Y50" s="57">
        <x:v>0.5</x:v>
      </x:c>
      <x:c r="Z50" s="57">
        <x:v>0.9</x:v>
      </x:c>
      <x:c r="AA50" s="57">
        <x:v>-0.5</x:v>
      </x:c>
      <x:c r="AB50" s="57">
        <x:v>0.8</x:v>
      </x:c>
      <x:c r="AC50" s="57">
        <x:v>0.78</x:v>
      </x:c>
      <x:c r="AD50" s="57">
        <x:v>2.02</x:v>
      </x:c>
      <x:c r="AE50" s="57">
        <x:v>3.32</x:v>
      </x:c>
      <x:c r="AF50" s="57">
        <x:v>3.34</x:v>
      </x:c>
      <x:c r="AG50" s="58">
        <x:v>0.095655521832394</x:v>
      </x:c>
      <x:c r="AH50" s="58">
        <x:v>0.045655521832394</x:v>
      </x:c>
      <x:c r="AI50" s="58">
        <x:v>0.451829516746801</x:v>
      </x:c>
      <x:c r="AJ50" s="58">
        <x:v>0.274908320430283</x:v>
      </x:c>
      <x:c r="AK50" s="58">
        <x:v>0.273262162822916</x:v>
      </x:c>
      <x:c r="AL50" s="57">
        <x:v>1.36</x:v>
      </x:c>
      <x:c r="AM50" s="57">
        <x:v>0.99</x:v>
      </x:c>
      <x:c r="AN50" s="57">
        <x:v>0.000850713892965543</x:v>
      </x:c>
      <x:c r="AO50" s="57">
        <x:v>1.64022584827453</x:v>
      </x:c>
      <x:c r="AP50" s="57">
        <x:v>-0.860225848274529</x:v>
      </x:c>
      <x:c r="AQ50" s="59" t="s">
        <x:v>99</x:v>
      </x:c>
      <x:c r="AR50" s="57">
        <x:v>-0.75</x:v>
      </x:c>
      <x:c r="AS50" s="57">
        <x:v>0.333500953049191</x:v>
      </x:c>
      <x:c r="AT50" s="57">
        <x:v>0.547016883615474</x:v>
      </x:c>
      <x:c r="AU50" s="57">
        <x:v>1.71</x:v>
      </x:c>
      <x:c r="AV50" s="57">
        <x:v>3.72</x:v>
      </x:c>
      <x:c r="AW50" s="57">
        <x:v>4.03</x:v>
      </x:c>
      <x:c r="AX50" s="59" t="s">
        <x:v>100</x:v>
      </x:c>
      <x:c r="AY50" s="59" t="s">
        <x:v>101</x:v>
      </x:c>
    </x:row>
    <x:row r="51" ht="22" customHeight="1">
      <x:c r="A51" s="49" t="s">
        <x:v>237</x:v>
      </x:c>
      <x:c r="B51" s="49" t="s">
        <x:v>318</x:v>
      </x:c>
      <x:c r="C51" s="49" t="s">
        <x:v>89</x:v>
      </x:c>
      <x:c r="D51" s="49" t="s">
        <x:v>116</x:v>
      </x:c>
      <x:c r="E51" s="49" t="s">
        <x:v>284</x:v>
      </x:c>
      <x:c r="F51" s="49" t="s">
        <x:v>322</x:v>
      </x:c>
      <x:c r="G51" s="60">
        <x:v>0.78</x:v>
      </x:c>
      <x:c r="H51" s="60">
        <x:v>0.25</x:v>
      </x:c>
      <x:c r="I51" s="60">
        <x:v>0.92</x:v>
      </x:c>
      <x:c r="J51" s="49" t="s">
        <x:v>323</x:v>
      </x:c>
      <x:c r="K51" s="49" t="s">
        <x:v>106</x:v>
      </x:c>
      <x:c r="L51" s="49" t="s">
        <x:v>324</x:v>
      </x:c>
      <x:c r="M51" s="61">
        <x:v>0.607</x:v>
      </x:c>
      <x:c r="N51" s="49" t="s">
        <x:v>96</x:v>
      </x:c>
      <x:c r="O51" s="49" t="s">
        <x:v>201</x:v>
      </x:c>
      <x:c r="P51" s="49" t="s">
        <x:v>30</x:v>
      </x:c>
      <x:c r="Q51" s="49" t="s">
        <x:v>11</x:v>
      </x:c>
      <x:c r="R51" s="50">
        <x:v>0.78</x:v>
      </x:c>
      <x:c r="S51" s="50">
        <x:f t="shared" si="0"/>
        <x:v>0.78</x:v>
      </x:c>
      <x:c r="T51" s="49" t="s">
        <x:v>98</x:v>
      </x:c>
      <x:c r="U51" s="49" t="str">
        <x:f t="shared" si="6"/>
        <x:v>黑</x:v>
      </x:c>
      <x:c r="V51" s="50">
        <x:f t="shared" si="7"/>
        <x:v>0.92</x:v>
      </x:c>
      <x:c r="W51" s="50">
        <x:f t="shared" si="3"/>
        <x:v>-1</x:v>
      </x:c>
      <x:c r="X51" s="57">
        <x:v>0.85</x:v>
      </x:c>
      <x:c r="Y51" s="57">
        <x:v>0.25</x:v>
      </x:c>
      <x:c r="Z51" s="57">
        <x:v>0.85</x:v>
      </x:c>
      <x:c r="AA51" s="57">
        <x:v>-0.25</x:v>
      </x:c>
      <x:c r="AB51" s="57">
        <x:v>0.85</x:v>
      </x:c>
      <x:c r="AC51" s="57">
        <x:v>0.78</x:v>
      </x:c>
      <x:c r="AD51" s="57">
        <x:v>2.42</x:v>
      </x:c>
      <x:c r="AE51" s="57">
        <x:v>3.22</x:v>
      </x:c>
      <x:c r="AF51" s="57">
        <x:v>2.65</x:v>
      </x:c>
      <x:c r="AG51" s="58">
        <x:v>0.101140637273086</x:v>
      </x:c>
      <x:c r="AH51" s="58">
        <x:v>0.0511406372730856</x:v>
      </x:c>
      <x:c r="AI51" s="58">
        <x:v>0.375268268655666</x:v>
      </x:c>
      <x:c r="AJ51" s="58">
        <x:v>0.282033916194631</x:v>
      </x:c>
      <x:c r="AK51" s="58">
        <x:v>0.342697815149703</x:v>
      </x:c>
      <x:c r="AL51" s="57">
        <x:v>1.2</x:v>
      </x:c>
      <x:c r="AM51" s="57">
        <x:v>1.13</x:v>
      </x:c>
      <x:c r="AN51" s="57">
        <x:v>0.000905430173124362</x:v>
      </x:c>
      <x:c r="AO51" s="57">
        <x:v>1.28221187515476</x:v>
      </x:c>
      <x:c r="AP51" s="57">
        <x:v>-0.502211875154764</x:v>
      </x:c>
      <x:c r="AQ51" s="59" t="s">
        <x:v>99</x:v>
      </x:c>
      <x:c r="AR51" s="57">
        <x:v>-0.25</x:v>
      </x:c>
      <x:c r="AS51" s="57">
        <x:v>0.376543487289297</x:v>
      </x:c>
      <x:c r="AT51" s="57">
        <x:v>0.482808530914524</x:v>
      </x:c>
      <x:c r="AU51" s="57">
        <x:v>2.13</x:v>
      </x:c>
      <x:c r="AV51" s="57">
        <x:v>3.25</x:v>
      </x:c>
      <x:c r="AW51" s="57">
        <x:v>3.09</x:v>
      </x:c>
      <x:c r="AX51" s="59" t="s">
        <x:v>100</x:v>
      </x:c>
      <x:c r="AY51" s="59" t="s">
        <x:v>101</x:v>
      </x:c>
    </x:row>
    <x:row r="52" ht="22" customHeight="1">
      <x:c r="A52" s="49" t="s">
        <x:v>237</x:v>
      </x:c>
      <x:c r="B52" s="49" t="s">
        <x:v>318</x:v>
      </x:c>
      <x:c r="C52" s="49" t="s">
        <x:v>89</x:v>
      </x:c>
      <x:c r="D52" s="49" t="s">
        <x:v>90</x:v>
      </x:c>
      <x:c r="E52" s="49" t="s">
        <x:v>325</x:v>
      </x:c>
      <x:c r="F52" s="49" t="s">
        <x:v>326</x:v>
      </x:c>
      <x:c r="G52" s="60">
        <x:v>0.81</x:v>
      </x:c>
      <x:c r="H52" s="60">
        <x:v>0.5</x:v>
      </x:c>
      <x:c r="I52" s="60">
        <x:v>0.95</x:v>
      </x:c>
      <x:c r="J52" s="49" t="s">
        <x:v>327</x:v>
      </x:c>
      <x:c r="K52" s="49" t="s">
        <x:v>132</x:v>
      </x:c>
      <x:c r="L52" s="49" t="s">
        <x:v>328</x:v>
      </x:c>
      <x:c r="M52" s="61">
        <x:v>0.604</x:v>
      </x:c>
      <x:c r="N52" s="49" t="s">
        <x:v>96</x:v>
      </x:c>
      <x:c r="O52" s="49" t="s">
        <x:v>126</x:v>
      </x:c>
      <x:c r="P52" s="49" t="s">
        <x:v>30</x:v>
      </x:c>
      <x:c r="Q52" s="49" t="s">
        <x:v>11</x:v>
      </x:c>
      <x:c r="R52" s="50">
        <x:v>0.95</x:v>
      </x:c>
      <x:c r="S52" s="50">
        <x:f t="shared" si="0"/>
        <x:v>0.95</x:v>
      </x:c>
      <x:c r="T52" s="49" t="s">
        <x:v>98</x:v>
      </x:c>
      <x:c r="U52" s="49" t="str">
        <x:f t="shared" si="6"/>
        <x:v>黑</x:v>
      </x:c>
      <x:c r="V52" s="50">
        <x:f t="shared" si="7"/>
        <x:v>0.81</x:v>
      </x:c>
      <x:c r="W52" s="50">
        <x:f t="shared" si="3"/>
        <x:v>-1</x:v>
      </x:c>
      <x:c r="X52" s="57">
        <x:v>0.95</x:v>
      </x:c>
      <x:c r="Y52" s="57">
        <x:v>0.75</x:v>
      </x:c>
      <x:c r="Z52" s="57">
        <x:v>0.81</x:v>
      </x:c>
      <x:c r="AA52" s="57">
        <x:v>0.75</x:v>
      </x:c>
      <x:c r="AB52" s="57">
        <x:v>0.81</x:v>
      </x:c>
      <x:c r="AC52" s="57">
        <x:v>0.95</x:v>
      </x:c>
      <x:c r="AD52" s="57">
        <x:v>1.69</x:v>
      </x:c>
      <x:c r="AE52" s="57">
        <x:v>3.71</x:v>
      </x:c>
      <x:c r="AF52" s="57">
        <x:v>4.03</x:v>
      </x:c>
      <x:c r="AG52" s="58">
        <x:v>0.109396713123479</x:v>
      </x:c>
      <x:c r="AH52" s="58">
        <x:v>0.0593967131234792</x:v>
      </x:c>
      <x:c r="AI52" s="58">
        <x:v>0.533367342206558</x:v>
      </x:c>
      <x:c r="AJ52" s="58">
        <x:v>0.242962482029402</x:v>
      </x:c>
      <x:c r="AK52" s="58">
        <x:v>0.22367017576404</x:v>
      </x:c>
      <x:c r="AL52" s="57">
        <x:v>1.67</x:v>
      </x:c>
      <x:c r="AM52" s="57">
        <x:v>0.99</x:v>
      </x:c>
      <x:c r="AN52" s="57">
        <x:v>0.00017369738871322</x:v>
      </x:c>
      <x:c r="AO52" s="57">
        <x:v>1.14193802724836</x:v>
      </x:c>
      <x:c r="AP52" s="57">
        <x:v>-0.191938027248361</x:v>
      </x:c>
      <x:c r="AQ52" s="59" t="s">
        <x:v>289</x:v>
      </x:c>
      <x:c r="AR52" s="57">
        <x:v>0.5</x:v>
      </x:c>
      <x:c r="AS52" s="57">
        <x:v>0.466866915512327</x:v>
      </x:c>
      <x:c r="AT52" s="57">
        <x:v>0.533133084487673</x:v>
      </x:c>
      <x:c r="AU52" s="57">
        <x:v>1.79</x:v>
      </x:c>
      <x:c r="AV52" s="57">
        <x:v>3.65</x:v>
      </x:c>
      <x:c r="AW52" s="57">
        <x:v>3.68</x:v>
      </x:c>
      <x:c r="AX52" s="59" t="s">
        <x:v>100</x:v>
      </x:c>
      <x:c r="AY52" s="59" t="s">
        <x:v>101</x:v>
      </x:c>
    </x:row>
    <x:row r="53" ht="22" customHeight="1">
      <x:c r="A53" s="49" t="s">
        <x:v>237</x:v>
      </x:c>
      <x:c r="B53" s="49" t="s">
        <x:v>318</x:v>
      </x:c>
      <x:c r="C53" s="49" t="s">
        <x:v>89</x:v>
      </x:c>
      <x:c r="D53" s="49" t="s">
        <x:v>90</x:v>
      </x:c>
      <x:c r="E53" s="49" t="s">
        <x:v>91</x:v>
      </x:c>
      <x:c r="F53" s="49" t="s">
        <x:v>329</x:v>
      </x:c>
      <x:c r="G53" s="60">
        <x:v>0.89</x:v>
      </x:c>
      <x:c r="H53" s="60">
        <x:v>0</x:v>
      </x:c>
      <x:c r="I53" s="60">
        <x:v>0.81</x:v>
      </x:c>
      <x:c r="J53" s="49" t="s">
        <x:v>330</x:v>
      </x:c>
      <x:c r="K53" s="49" t="s">
        <x:v>132</x:v>
      </x:c>
      <x:c r="L53" s="49" t="s">
        <x:v>331</x:v>
      </x:c>
      <x:c r="M53" s="61">
        <x:v>0.604</x:v>
      </x:c>
      <x:c r="N53" s="49" t="s">
        <x:v>96</x:v>
      </x:c>
      <x:c r="O53" s="49" t="s">
        <x:v>114</x:v>
      </x:c>
      <x:c r="P53" s="49" t="s">
        <x:v>30</x:v>
      </x:c>
      <x:c r="Q53" s="49" t="s">
        <x:v>11</x:v>
      </x:c>
      <x:c r="R53" s="50">
        <x:v>0.81</x:v>
      </x:c>
      <x:c r="S53" s="50">
        <x:f t="shared" si="0"/>
        <x:v>0.81</x:v>
      </x:c>
      <x:c r="T53" s="49" t="s">
        <x:v>98</x:v>
      </x:c>
      <x:c r="U53" s="49" t="str">
        <x:f t="shared" si="6"/>
        <x:v>黑</x:v>
      </x:c>
      <x:c r="V53" s="50">
        <x:f t="shared" si="7"/>
        <x:v>0.89</x:v>
      </x:c>
      <x:c r="W53" s="50">
        <x:f t="shared" si="3"/>
        <x:v>-1</x:v>
      </x:c>
      <x:c r="X53" s="57">
        <x:v>0.98</x:v>
      </x:c>
      <x:c r="Y53" s="57">
        <x:v>0.25</x:v>
      </x:c>
      <x:c r="Z53" s="57">
        <x:v>0.72</x:v>
      </x:c>
      <x:c r="AA53" s="57">
        <x:v>0.25</x:v>
      </x:c>
      <x:c r="AB53" s="57">
        <x:v>0.72</x:v>
      </x:c>
      <x:c r="AC53" s="57">
        <x:v>0.81</x:v>
      </x:c>
      <x:c r="AD53" s="57">
        <x:v>2.5</x:v>
      </x:c>
      <x:c r="AE53" s="57">
        <x:v>3.09</x:v>
      </x:c>
      <x:c r="AF53" s="57">
        <x:v>2.58</x:v>
      </x:c>
      <x:c r="AG53" s="58">
        <x:v>0.111221494694062</x:v>
      </x:c>
      <x:c r="AH53" s="58">
        <x:v>0.0612214946940619</x:v>
      </x:c>
      <x:c r="AI53" s="58">
        <x:v>0.359964239271782</x:v>
      </x:c>
      <x:c r="AJ53" s="58">
        <x:v>0.291233203294322</x:v>
      </x:c>
      <x:c r="AK53" s="58">
        <x:v>0.348802557433897</x:v>
      </x:c>
      <x:c r="AL53" s="57">
        <x:v>1.11</x:v>
      </x:c>
      <x:c r="AM53" s="57">
        <x:v>1.09</x:v>
      </x:c>
      <x:c r="AN53" s="57">
        <x:v>0.000448877600478161</x:v>
      </x:c>
      <x:c r="AO53" s="57">
        <x:v>1.0288217079199</x:v>
      </x:c>
      <x:c r="AP53" s="57">
        <x:v>-0.218821707919897</x:v>
      </x:c>
      <x:c r="AQ53" s="59" t="s">
        <x:v>150</x:v>
      </x:c>
      <x:c r="AR53" s="57">
        <x:v>0</x:v>
      </x:c>
      <x:c r="AS53" s="57">
        <x:v>0.349317017036562</x:v>
      </x:c>
      <x:c r="AT53" s="57">
        <x:v>0.35938493007304</x:v>
      </x:c>
      <x:c r="AU53" s="57">
        <x:v>2.66</x:v>
      </x:c>
      <x:c r="AV53" s="57">
        <x:v>3.14</x:v>
      </x:c>
      <x:c r="AW53" s="57">
        <x:v>2.44</x:v>
      </x:c>
      <x:c r="AX53" s="59" t="s">
        <x:v>100</x:v>
      </x:c>
      <x:c r="AY53" s="59" t="s">
        <x:v>101</x:v>
      </x:c>
    </x:row>
    <x:row r="54" ht="22" customHeight="1">
      <x:c r="A54" s="49" t="s">
        <x:v>237</x:v>
      </x:c>
      <x:c r="B54" s="49" t="s">
        <x:v>332</x:v>
      </x:c>
      <x:c r="C54" s="49" t="s">
        <x:v>333</x:v>
      </x:c>
      <x:c r="D54" s="49" t="s">
        <x:v>90</x:v>
      </x:c>
      <x:c r="E54" s="49" t="s">
        <x:v>180</x:v>
      </x:c>
      <x:c r="F54" s="49" t="s">
        <x:v>334</x:v>
      </x:c>
      <x:c r="G54" s="60">
        <x:v>0.82</x:v>
      </x:c>
      <x:c r="H54" s="60">
        <x:v>1</x:v>
      </x:c>
      <x:c r="I54" s="60">
        <x:v>0.88</x:v>
      </x:c>
      <x:c r="J54" s="49" t="s">
        <x:v>335</x:v>
      </x:c>
      <x:c r="K54" s="49" t="s">
        <x:v>106</x:v>
      </x:c>
      <x:c r="L54" s="49" t="s">
        <x:v>336</x:v>
      </x:c>
      <x:c r="M54" s="61">
        <x:v>0.596</x:v>
      </x:c>
      <x:c r="N54" s="49" t="s">
        <x:v>96</x:v>
      </x:c>
      <x:c r="O54" s="49" t="s">
        <x:v>337</x:v>
      </x:c>
      <x:c r="P54" s="49" t="s">
        <x:v>30</x:v>
      </x:c>
      <x:c r="Q54" s="49" t="s">
        <x:v>11</x:v>
      </x:c>
      <x:c r="R54" s="50">
        <x:v>0.82</x:v>
      </x:c>
      <x:c r="S54" s="50">
        <x:f t="shared" si="0"/>
        <x:v>0.82</x:v>
      </x:c>
      <x:c r="T54" s="49" t="s">
        <x:v>98</x:v>
      </x:c>
      <x:c r="U54" s="49" t="str">
        <x:f t="shared" si="6"/>
        <x:v>黑</x:v>
      </x:c>
      <x:c r="V54" s="50">
        <x:f t="shared" si="7"/>
        <x:v>0.88</x:v>
      </x:c>
      <x:c r="W54" s="50">
        <x:f t="shared" si="3"/>
        <x:v>-1</x:v>
      </x:c>
      <x:c r="X54" s="57">
        <x:v>0.82</x:v>
      </x:c>
      <x:c r="Y54" s="57">
        <x:v>1</x:v>
      </x:c>
      <x:c r="Z54" s="57">
        <x:v>0.88</x:v>
      </x:c>
      <x:c r="AA54" s="57">
        <x:v>-1</x:v>
      </x:c>
      <x:c r="AB54" s="57">
        <x:v>0.82</x:v>
      </x:c>
      <x:c r="AC54" s="57">
        <x:v>0.82</x:v>
      </x:c>
      <x:c r="AD54" s="57">
        <x:v>1.43</x:v>
      </x:c>
      <x:c r="AE54" s="57">
        <x:v>3.75</x:v>
      </x:c>
      <x:c r="AF54" s="57">
        <x:v>5.4</x:v>
      </x:c>
      <x:c r="AG54" s="58">
        <x:v>0.151152551152551</x:v>
      </x:c>
      <x:c r="AH54" s="58">
        <x:v>0.101152551152551</x:v>
      </x:c>
      <x:c r="AI54" s="58">
        <x:v>0.607478738244162</x:v>
      </x:c>
      <x:c r="AJ54" s="58">
        <x:v>0.231651892183774</x:v>
      </x:c>
      <x:c r="AK54" s="58">
        <x:v>0.160869369572065</x:v>
      </x:c>
      <x:c r="AL54" s="57">
        <x:v>1.75</x:v>
      </x:c>
      <x:c r="AM54" s="57">
        <x:v>0.77</x:v>
      </x:c>
      <x:c r="AN54" s="57">
        <x:v>0.000208216162112151</x:v>
      </x:c>
      <x:c r="AO54" s="57">
        <x:v>1.12721620236432</x:v>
      </x:c>
      <x:c r="AP54" s="57">
        <x:v>-0.307216202364318</x:v>
      </x:c>
      <x:c r="AQ54" s="59" t="s">
        <x:v>99</x:v>
      </x:c>
      <x:c r="AR54" s="57">
        <x:v>-1</x:v>
      </x:c>
      <x:c r="AS54" s="57">
        <x:v>0.348089744380918</x:v>
      </x:c>
      <x:c r="AT54" s="57">
        <x:v>0.392372399743025</x:v>
      </x:c>
      <x:c r="AU54" s="57">
        <x:v>1.43</x:v>
      </x:c>
      <x:c r="AV54" s="57">
        <x:v>3.75</x:v>
      </x:c>
      <x:c r="AW54" s="57">
        <x:v>5.4</x:v>
      </x:c>
      <x:c r="AX54" s="59" t="s">
        <x:v>100</x:v>
      </x:c>
      <x:c r="AY54" s="59" t="s">
        <x:v>101</x:v>
      </x:c>
    </x:row>
    <x:row r="55" ht="22" customHeight="1">
      <x:c r="A55" s="49" t="s">
        <x:v>237</x:v>
      </x:c>
      <x:c r="B55" s="49" t="s">
        <x:v>332</x:v>
      </x:c>
      <x:c r="C55" s="49" t="s">
        <x:v>89</x:v>
      </x:c>
      <x:c r="D55" s="49" t="s">
        <x:v>116</x:v>
      </x:c>
      <x:c r="E55" s="49" t="s">
        <x:v>307</x:v>
      </x:c>
      <x:c r="F55" s="49" t="s">
        <x:v>338</x:v>
      </x:c>
      <x:c r="G55" s="60">
        <x:v>0.83</x:v>
      </x:c>
      <x:c r="H55" s="60">
        <x:v>1.75</x:v>
      </x:c>
      <x:c r="I55" s="60">
        <x:v>0.99</x:v>
      </x:c>
      <x:c r="J55" s="49" t="s">
        <x:v>339</x:v>
      </x:c>
      <x:c r="K55" s="49" t="s">
        <x:v>106</x:v>
      </x:c>
      <x:c r="L55" s="49" t="s">
        <x:v>340</x:v>
      </x:c>
      <x:c r="M55" s="61">
        <x:v>0.607</x:v>
      </x:c>
      <x:c r="N55" s="49" t="s">
        <x:v>96</x:v>
      </x:c>
      <x:c r="O55" s="49" t="s">
        <x:v>161</x:v>
      </x:c>
      <x:c r="P55" s="49" t="s">
        <x:v>30</x:v>
      </x:c>
      <x:c r="Q55" s="49" t="s">
        <x:v>14</x:v>
      </x:c>
      <x:c r="R55" s="50">
        <x:v>0.83</x:v>
      </x:c>
      <x:c r="S55" s="50">
        <x:f t="shared" si="0"/>
        <x:v>0.415</x:v>
      </x:c>
      <x:c r="T55" s="49" t="s">
        <x:v>98</x:v>
      </x:c>
      <x:c r="U55" s="49" t="str">
        <x:f t="shared" si="6"/>
        <x:v>半黑</x:v>
      </x:c>
      <x:c r="V55" s="50">
        <x:f t="shared" si="7"/>
        <x:v>0.99</x:v>
      </x:c>
      <x:c r="W55" s="50">
        <x:f t="shared" si="3"/>
        <x:v>-0.5</x:v>
      </x:c>
      <x:c r="X55" s="57">
        <x:v>0.8</x:v>
      </x:c>
      <x:c r="Y55" s="57">
        <x:v>1.75</x:v>
      </x:c>
      <x:c r="Z55" s="57">
        <x:v>0.9</x:v>
      </x:c>
      <x:c r="AA55" s="57">
        <x:v>-1.75</x:v>
      </x:c>
      <x:c r="AB55" s="57">
        <x:v>0.8</x:v>
      </x:c>
      <x:c r="AC55" s="57">
        <x:v>0.83</x:v>
      </x:c>
      <x:c r="AD55" s="57">
        <x:v>1.22</x:v>
      </x:c>
      <x:c r="AE55" s="57">
        <x:v>5.48</x:v>
      </x:c>
      <x:c r="AF55" s="57">
        <x:v>9.76</x:v>
      </x:c>
      <x:c r="AG55" s="58">
        <x:v>0.104612899365801</x:v>
      </x:c>
      <x:c r="AH55" s="58">
        <x:v>0.0546128993658013</x:v>
      </x:c>
      <x:c r="AI55" s="58">
        <x:v>0.742044685172647</x:v>
      </x:c>
      <x:c r="AJ55" s="58">
        <x:v>0.165199729180772</x:v>
      </x:c>
      <x:c r="AK55" s="58">
        <x:v>0.0927555856465809</x:v>
      </x:c>
      <x:c r="AL55" s="57">
        <x:v>2.33</x:v>
      </x:c>
      <x:c r="AM55" s="57">
        <x:v>0.69</x:v>
      </x:c>
      <x:c r="AN55" s="57">
        <x:v>0.000146457978834409</x:v>
      </x:c>
      <x:c r="AO55" s="57">
        <x:v>1.23034875774481</x:v>
      </x:c>
      <x:c r="AP55" s="57">
        <x:v>-0.400348757744813</x:v>
      </x:c>
      <x:c r="AQ55" s="59" t="s">
        <x:v>99</x:v>
      </x:c>
      <x:c r="AR55" s="57">
        <x:v>-1.75</x:v>
      </x:c>
      <x:c r="AS55" s="57">
        <x:v>0.399183933872192</x:v>
      </x:c>
      <x:c r="AT55" s="57">
        <x:v>0.49113545715134</x:v>
      </x:c>
      <x:c r="AU55" s="57">
        <x:v>1.21</x:v>
      </x:c>
      <x:c r="AV55" s="57">
        <x:v>5.69</x:v>
      </x:c>
      <x:c r="AW55" s="57">
        <x:v>9.64</x:v>
      </x:c>
      <x:c r="AX55" s="59" t="s">
        <x:v>100</x:v>
      </x:c>
      <x:c r="AY55" s="59" t="s">
        <x:v>101</x:v>
      </x:c>
    </x:row>
    <x:row r="56" ht="22" customHeight="1">
      <x:c r="A56" s="49" t="s">
        <x:v>237</x:v>
      </x:c>
      <x:c r="B56" s="49" t="s">
        <x:v>332</x:v>
      </x:c>
      <x:c r="C56" s="49" t="s">
        <x:v>89</x:v>
      </x:c>
      <x:c r="D56" s="49" t="s">
        <x:v>90</x:v>
      </x:c>
      <x:c r="E56" s="49" t="s">
        <x:v>325</x:v>
      </x:c>
      <x:c r="F56" s="49" t="s">
        <x:v>341</x:v>
      </x:c>
      <x:c r="G56" s="60">
        <x:v>0.81</x:v>
      </x:c>
      <x:c r="H56" s="60">
        <x:v>2.25</x:v>
      </x:c>
      <x:c r="I56" s="60">
        <x:v>0.95</x:v>
      </x:c>
      <x:c r="J56" s="49" t="s">
        <x:v>342</x:v>
      </x:c>
      <x:c r="K56" s="49" t="s">
        <x:v>106</x:v>
      </x:c>
      <x:c r="L56" s="49" t="s">
        <x:v>343</x:v>
      </x:c>
      <x:c r="M56" s="61">
        <x:v>0.607</x:v>
      </x:c>
      <x:c r="N56" s="49" t="s">
        <x:v>96</x:v>
      </x:c>
      <x:c r="O56" s="49" t="s">
        <x:v>141</x:v>
      </x:c>
      <x:c r="P56" s="49" t="s">
        <x:v>30</x:v>
      </x:c>
      <x:c r="Q56" s="49" t="s">
        <x:v>11</x:v>
      </x:c>
      <x:c r="R56" s="50">
        <x:v>0.81</x:v>
      </x:c>
      <x:c r="S56" s="50">
        <x:f t="shared" si="0"/>
        <x:v>0.81</x:v>
      </x:c>
      <x:c r="T56" s="49" t="s">
        <x:v>98</x:v>
      </x:c>
      <x:c r="U56" s="49" t="str">
        <x:f t="shared" si="6"/>
        <x:v>黑</x:v>
      </x:c>
      <x:c r="V56" s="50">
        <x:f t="shared" si="7"/>
        <x:v>0.95</x:v>
      </x:c>
      <x:c r="W56" s="50">
        <x:f t="shared" si="3"/>
        <x:v>-1</x:v>
      </x:c>
      <x:c r="X56" s="57">
        <x:v>0.84</x:v>
      </x:c>
      <x:c r="Y56" s="57">
        <x:v>2.25</x:v>
      </x:c>
      <x:c r="Z56" s="57">
        <x:v>0.98</x:v>
      </x:c>
      <x:c r="AA56" s="57">
        <x:v>-2.25</x:v>
      </x:c>
      <x:c r="AB56" s="57">
        <x:v>0.84</x:v>
      </x:c>
      <x:c r="AC56" s="57">
        <x:v>0.81</x:v>
      </x:c>
      <x:c r="AD56" s="57">
        <x:v>1.15</x:v>
      </x:c>
      <x:c r="AE56" s="57">
        <x:v>6.6</x:v>
      </x:c>
      <x:c r="AF56" s="57">
        <x:v>13.27</x:v>
      </x:c>
      <x:c r="AG56" s="58">
        <x:v>0.096438319170209</x:v>
      </x:c>
      <x:c r="AH56" s="58">
        <x:v>0.0464383191702089</x:v>
      </x:c>
      <x:c r="AI56" s="58">
        <x:v>0.793081746768388</x:v>
      </x:c>
      <x:c r="AJ56" s="58">
        <x:v>0.13818848617934</x:v>
      </x:c>
      <x:c r="AK56" s="58">
        <x:v>0.0687297670522717</x:v>
      </x:c>
      <x:c r="AL56" s="57">
        <x:v>2.58</x:v>
      </x:c>
      <x:c r="AM56" s="57">
        <x:v>0.63</x:v>
      </x:c>
      <x:c r="AN56" s="57">
        <x:v>0.000196200218150537</x:v>
      </x:c>
      <x:c r="AO56" s="57">
        <x:v>1.50414079054923</x:v>
      </x:c>
      <x:c r="AP56" s="57">
        <x:v>-0.694140790549227</x:v>
      </x:c>
      <x:c r="AQ56" s="59" t="s">
        <x:v>99</x:v>
      </x:c>
      <x:c r="AR56" s="57">
        <x:v>-2.25</x:v>
      </x:c>
      <x:c r="AS56" s="57">
        <x:v>0.354694772071043</x:v>
      </x:c>
      <x:c r="AT56" s="57">
        <x:v>0.533510874866617</x:v>
      </x:c>
      <x:c r="AU56" s="57">
        <x:v>1.12</x:v>
      </x:c>
      <x:c r="AV56" s="57">
        <x:v>7.37</x:v>
      </x:c>
      <x:c r="AW56" s="57">
        <x:v>13.96</x:v>
      </x:c>
      <x:c r="AX56" s="59" t="s">
        <x:v>100</x:v>
      </x:c>
      <x:c r="AY56" s="59" t="s">
        <x:v>101</x:v>
      </x:c>
    </x:row>
    <x:row r="57" ht="22" customHeight="1">
      <x:c r="A57" s="49" t="s">
        <x:v>237</x:v>
      </x:c>
      <x:c r="B57" s="49" t="s">
        <x:v>332</x:v>
      </x:c>
      <x:c r="C57" s="49" t="s">
        <x:v>89</x:v>
      </x:c>
      <x:c r="D57" s="49" t="s">
        <x:v>90</x:v>
      </x:c>
      <x:c r="E57" s="49" t="s">
        <x:v>325</x:v>
      </x:c>
      <x:c r="F57" s="49" t="s">
        <x:v>344</x:v>
      </x:c>
      <x:c r="G57" s="60">
        <x:v>0.72</x:v>
      </x:c>
      <x:c r="H57" s="60">
        <x:v>1</x:v>
      </x:c>
      <x:c r="I57" s="60">
        <x:v>1.04</x:v>
      </x:c>
      <x:c r="J57" s="49" t="s">
        <x:v>345</x:v>
      </x:c>
      <x:c r="K57" s="49" t="s">
        <x:v>106</x:v>
      </x:c>
      <x:c r="L57" s="49" t="s">
        <x:v>346</x:v>
      </x:c>
      <x:c r="M57" s="61">
        <x:v>0.607</x:v>
      </x:c>
      <x:c r="N57" s="49" t="s">
        <x:v>96</x:v>
      </x:c>
      <x:c r="O57" s="49" t="s">
        <x:v>191</x:v>
      </x:c>
      <x:c r="P57" s="49" t="s">
        <x:v>30</x:v>
      </x:c>
      <x:c r="Q57" s="49" t="s">
        <x:v>23</x:v>
      </x:c>
      <x:c r="R57" s="50">
        <x:v>0.72</x:v>
      </x:c>
      <x:c r="S57" s="50">
        <x:f t="shared" si="0"/>
        <x:v>-1</x:v>
      </x:c>
      <x:c r="T57" s="49" t="s">
        <x:v>98</x:v>
      </x:c>
      <x:c r="U57" s="49" t="str">
        <x:f t="shared" si="6"/>
        <x:v>红</x:v>
      </x:c>
      <x:c r="V57" s="50">
        <x:f t="shared" si="7"/>
        <x:v>1.04</x:v>
      </x:c>
      <x:c r="W57" s="50">
        <x:f t="shared" si="3"/>
        <x:v>1.04</x:v>
      </x:c>
      <x:c r="X57" s="57">
        <x:v>0.8</x:v>
      </x:c>
      <x:c r="Y57" s="57">
        <x:v>0.5</x:v>
      </x:c>
      <x:c r="Z57" s="57">
        <x:v>0.96</x:v>
      </x:c>
      <x:c r="AA57" s="57">
        <x:v>-0.5</x:v>
      </x:c>
      <x:c r="AB57" s="57">
        <x:v>0.8</x:v>
      </x:c>
      <x:c r="AC57" s="57">
        <x:v>0.72</x:v>
      </x:c>
      <x:c r="AD57" s="57">
        <x:v>1.66</x:v>
      </x:c>
      <x:c r="AE57" s="57">
        <x:v>3.82</x:v>
      </x:c>
      <x:c r="AF57" s="57">
        <x:v>4.15</x:v>
      </x:c>
      <x:c r="AG57" s="58">
        <x:v>0.105153598687945</x:v>
      </x:c>
      <x:c r="AH57" s="58">
        <x:v>0.0551535986879455</x:v>
      </x:c>
      <x:c r="AI57" s="58">
        <x:v>0.545091324200913</x:v>
      </x:c>
      <x:c r="AJ57" s="58">
        <x:v>0.236872146118722</x:v>
      </x:c>
      <x:c r="AK57" s="58">
        <x:v>0.218036529680365</x:v>
      </x:c>
      <x:c r="AL57" s="57">
        <x:v>1.73</x:v>
      </x:c>
      <x:c r="AM57" s="57">
        <x:v>1</x:v>
      </x:c>
      <x:c r="AN57" s="57">
        <x:v>0.000370305887201196</x:v>
      </x:c>
      <x:c r="AO57" s="57">
        <x:v>1.50568268637514</x:v>
      </x:c>
      <x:c r="AP57" s="57">
        <x:v>-0.78568268637514</x:v>
      </x:c>
      <x:c r="AQ57" s="59" t="s">
        <x:v>99</x:v>
      </x:c>
      <x:c r="AR57" s="57">
        <x:v>-1</x:v>
      </x:c>
      <x:c r="AS57" s="57">
        <x:v>0.302114739396161</x:v>
      </x:c>
      <x:c r="AT57" s="57">
        <x:v>0.454888932407536</x:v>
      </x:c>
      <x:c r="AU57" s="57">
        <x:v>1.5</x:v>
      </x:c>
      <x:c r="AV57" s="57">
        <x:v>4.29</x:v>
      </x:c>
      <x:c r="AW57" s="57">
        <x:v>5.08</x:v>
      </x:c>
      <x:c r="AX57" s="59" t="s">
        <x:v>100</x:v>
      </x:c>
      <x:c r="AY57" s="59" t="s">
        <x:v>101</x:v>
      </x:c>
    </x:row>
    <x:row r="58" ht="22" customHeight="1">
      <x:c r="A58" s="49" t="s">
        <x:v>237</x:v>
      </x:c>
      <x:c r="B58" s="49" t="s">
        <x:v>332</x:v>
      </x:c>
      <x:c r="C58" s="49" t="s">
        <x:v>89</x:v>
      </x:c>
      <x:c r="D58" s="49" t="s">
        <x:v>116</x:v>
      </x:c>
      <x:c r="E58" s="49" t="s">
        <x:v>347</x:v>
      </x:c>
      <x:c r="F58" s="49" t="s">
        <x:v>348</x:v>
      </x:c>
      <x:c r="G58" s="60">
        <x:v>0.82</x:v>
      </x:c>
      <x:c r="H58" s="60">
        <x:v>0</x:v>
      </x:c>
      <x:c r="I58" s="60">
        <x:v>1.06</x:v>
      </x:c>
      <x:c r="J58" s="49" t="s">
        <x:v>185</x:v>
      </x:c>
      <x:c r="K58" s="49" t="s">
        <x:v>132</x:v>
      </x:c>
      <x:c r="L58" s="49" t="s">
        <x:v>349</x:v>
      </x:c>
      <x:c r="M58" s="61">
        <x:v>0.604</x:v>
      </x:c>
      <x:c r="N58" s="49" t="s">
        <x:v>96</x:v>
      </x:c>
      <x:c r="O58" s="49" t="s">
        <x:v>201</x:v>
      </x:c>
      <x:c r="P58" s="49" t="s">
        <x:v>30</x:v>
      </x:c>
      <x:c r="Q58" s="49" t="s">
        <x:v>23</x:v>
      </x:c>
      <x:c r="R58" s="50">
        <x:v>1.06</x:v>
      </x:c>
      <x:c r="S58" s="50">
        <x:f t="shared" si="0"/>
        <x:v>-1</x:v>
      </x:c>
      <x:c r="T58" s="49" t="s">
        <x:v>98</x:v>
      </x:c>
      <x:c r="U58" s="49" t="str">
        <x:f t="shared" si="6"/>
        <x:v>红</x:v>
      </x:c>
      <x:c r="V58" s="50">
        <x:f t="shared" si="7"/>
        <x:v>0.82</x:v>
      </x:c>
      <x:c r="W58" s="50">
        <x:f t="shared" si="3"/>
        <x:v>0.82</x:v>
      </x:c>
      <x:c r="X58" s="57">
        <x:v>1.03</x:v>
      </x:c>
      <x:c r="Y58" s="57">
        <x:v>0.25</x:v>
      </x:c>
      <x:c r="Z58" s="57">
        <x:v>0.73</x:v>
      </x:c>
      <x:c r="AA58" s="57">
        <x:v>0.25</x:v>
      </x:c>
      <x:c r="AB58" s="57">
        <x:v>0.73</x:v>
      </x:c>
      <x:c r="AC58" s="57">
        <x:v>1.06</x:v>
      </x:c>
      <x:c r="AD58" s="57">
        <x:v>2.28</x:v>
      </x:c>
      <x:c r="AE58" s="57">
        <x:v>3.29</x:v>
      </x:c>
      <x:c r="AF58" s="57">
        <x:v>2.92</x:v>
      </x:c>
      <x:c r="AG58" s="58">
        <x:v>0.0850136124338827</x:v>
      </x:c>
      <x:c r="AH58" s="58">
        <x:v>0.0350136124338827</x:v>
      </x:c>
      <x:c r="AI58" s="58">
        <x:v>0.404231325950113</x:v>
      </x:c>
      <x:c r="AJ58" s="58">
        <x:v>0.280135994883361</x:v>
      </x:c>
      <x:c r="AK58" s="58">
        <x:v>0.315632679166526</x:v>
      </x:c>
      <x:c r="AL58" s="57">
        <x:v>1.25</x:v>
      </x:c>
      <x:c r="AM58" s="57">
        <x:v>1.07</x:v>
      </x:c>
      <x:c r="AN58" s="57">
        <x:v>0.000453666712071733</x:v>
      </x:c>
      <x:c r="AO58" s="57">
        <x:v>1.28050240081054</x:v>
      </x:c>
      <x:c r="AP58" s="57">
        <x:v>-0.22050240081054</x:v>
      </x:c>
      <x:c r="AQ58" s="59" t="s">
        <x:v>150</x:v>
      </x:c>
      <x:c r="AR58" s="57">
        <x:v>0</x:v>
      </x:c>
      <x:c r="AS58" s="57">
        <x:v>0.315380975549294</x:v>
      </x:c>
      <x:c r="AT58" s="57">
        <x:v>0.403846096360841</x:v>
      </x:c>
      <x:c r="AU58" s="57">
        <x:v>2.36</x:v>
      </x:c>
      <x:c r="AV58" s="57">
        <x:v>3.25</x:v>
      </x:c>
      <x:c r="AW58" s="57">
        <x:v>2.87</x:v>
      </x:c>
      <x:c r="AX58" s="59" t="s">
        <x:v>100</x:v>
      </x:c>
      <x:c r="AY58" s="59" t="s">
        <x:v>101</x:v>
      </x:c>
    </x:row>
    <x:row r="59" ht="22" customHeight="1">
      <x:c r="A59" s="49" t="s">
        <x:v>237</x:v>
      </x:c>
      <x:c r="B59" s="49" t="s">
        <x:v>332</x:v>
      </x:c>
      <x:c r="C59" s="49" t="s">
        <x:v>89</x:v>
      </x:c>
      <x:c r="D59" s="49" t="s">
        <x:v>90</x:v>
      </x:c>
      <x:c r="E59" s="49" t="s">
        <x:v>91</x:v>
      </x:c>
      <x:c r="F59" s="49" t="s">
        <x:v>350</x:v>
      </x:c>
      <x:c r="G59" s="60">
        <x:v>0.94</x:v>
      </x:c>
      <x:c r="H59" s="60">
        <x:v>-2.25</x:v>
      </x:c>
      <x:c r="I59" s="60">
        <x:v>0.88</x:v>
      </x:c>
      <x:c r="J59" s="49" t="s">
        <x:v>351</x:v>
      </x:c>
      <x:c r="K59" s="49" t="s">
        <x:v>132</x:v>
      </x:c>
      <x:c r="L59" s="49" t="s">
        <x:v>352</x:v>
      </x:c>
      <x:c r="M59" s="61">
        <x:v>0.604</x:v>
      </x:c>
      <x:c r="N59" s="49" t="s">
        <x:v>96</x:v>
      </x:c>
      <x:c r="O59" s="49" t="s">
        <x:v>353</x:v>
      </x:c>
      <x:c r="P59" s="49" t="s">
        <x:v>30</x:v>
      </x:c>
      <x:c r="Q59" s="49" t="s">
        <x:v>23</x:v>
      </x:c>
      <x:c r="R59" s="50">
        <x:v>0.94</x:v>
      </x:c>
      <x:c r="S59" s="50">
        <x:f t="shared" si="0"/>
        <x:v>-1</x:v>
      </x:c>
      <x:c r="T59" s="49" t="s">
        <x:v>98</x:v>
      </x:c>
      <x:c r="U59" s="49" t="str">
        <x:f t="shared" si="6"/>
        <x:v>红</x:v>
      </x:c>
      <x:c r="V59" s="50">
        <x:f t="shared" si="7"/>
        <x:v>0.88</x:v>
      </x:c>
      <x:c r="W59" s="50">
        <x:f t="shared" si="3"/>
        <x:v>0.88</x:v>
      </x:c>
      <x:c r="X59" s="57">
        <x:v>0.94</x:v>
      </x:c>
      <x:c r="Y59" s="57">
        <x:v>-2.5</x:v>
      </x:c>
      <x:c r="Z59" s="57">
        <x:v>0.76</x:v>
      </x:c>
      <x:c r="AA59" s="57">
        <x:v>2.5</x:v>
      </x:c>
      <x:c r="AB59" s="57">
        <x:v>0.94</x:v>
      </x:c>
      <x:c r="AC59" s="57">
        <x:v>0.94</x:v>
      </x:c>
      <x:c r="AD59" s="57">
        <x:v>14.64</x:v>
      </x:c>
      <x:c r="AE59" s="57">
        <x:v>7.03</x:v>
      </x:c>
      <x:c r="AF59" s="57">
        <x:v>1.12</x:v>
      </x:c>
      <x:c r="AG59" s="58">
        <x:v>0.103410664454668</x:v>
      </x:c>
      <x:c r="AH59" s="58">
        <x:v>0.0534106644546677</x:v>
      </x:c>
      <x:c r="AI59" s="58">
        <x:v>0.0619044324378723</x:v>
      </x:c>
      <x:c r="AJ59" s="58">
        <x:v>0.128916200695654</x:v>
      </x:c>
      <x:c r="AK59" s="58">
        <x:v>0.809179366866473</x:v>
      </x:c>
      <x:c r="AL59" s="57">
        <x:v>0.61</x:v>
      </x:c>
      <x:c r="AM59" s="57">
        <x:v>2.67</x:v>
      </x:c>
      <x:c r="AN59" s="57">
        <x:v>0.000287024551188473</x:v>
      </x:c>
      <x:c r="AO59" s="57">
        <x:v>0.741808159772462</x:v>
      </x:c>
      <x:c r="AP59" s="57">
        <x:v>0.198191840227538</x:v>
      </x:c>
      <x:c r="AQ59" s="59" t="s">
        <x:v>142</x:v>
      </x:c>
      <x:c r="AR59" s="57">
        <x:v>2.25</x:v>
      </x:c>
      <x:c r="AS59" s="57">
        <x:v>0.509961556802371</x:v>
      </x:c>
      <x:c r="AT59" s="57">
        <x:v>0.378293644006267</x:v>
      </x:c>
      <x:c r="AU59" s="57">
        <x:v>14.53</x:v>
      </x:c>
      <x:c r="AV59" s="57">
        <x:v>7.89</x:v>
      </x:c>
      <x:c r="AW59" s="57">
        <x:v>1.11</x:v>
      </x:c>
      <x:c r="AX59" s="59" t="s">
        <x:v>100</x:v>
      </x:c>
      <x:c r="AY59" s="59" t="s">
        <x:v>101</x:v>
      </x:c>
    </x:row>
    <x:row r="60" ht="22" customHeight="1">
      <x:c r="A60" s="49" t="s">
        <x:v>237</x:v>
      </x:c>
      <x:c r="B60" s="49" t="s">
        <x:v>354</x:v>
      </x:c>
      <x:c r="C60" s="49" t="s">
        <x:v>89</x:v>
      </x:c>
      <x:c r="D60" s="49" t="s">
        <x:v>90</x:v>
      </x:c>
      <x:c r="E60" s="49" t="s">
        <x:v>103</x:v>
      </x:c>
      <x:c r="F60" s="49" t="s">
        <x:v>355</x:v>
      </x:c>
      <x:c r="G60" s="60">
        <x:v>0.93</x:v>
      </x:c>
      <x:c r="H60" s="60">
        <x:v>-0.75</x:v>
      </x:c>
      <x:c r="I60" s="60">
        <x:v>0.83</x:v>
      </x:c>
      <x:c r="J60" s="49" t="s">
        <x:v>356</x:v>
      </x:c>
      <x:c r="K60" s="49" t="s">
        <x:v>106</x:v>
      </x:c>
      <x:c r="L60" s="49" t="s">
        <x:v>357</x:v>
      </x:c>
      <x:c r="M60" s="61">
        <x:v>0.607</x:v>
      </x:c>
      <x:c r="N60" s="49" t="s">
        <x:v>96</x:v>
      </x:c>
      <x:c r="O60" s="49" t="s">
        <x:v>161</x:v>
      </x:c>
      <x:c r="P60" s="49" t="s">
        <x:v>30</x:v>
      </x:c>
      <x:c r="Q60" s="49" t="s">
        <x:v>23</x:v>
      </x:c>
      <x:c r="R60" s="50">
        <x:v>0.83</x:v>
      </x:c>
      <x:c r="S60" s="50">
        <x:f t="shared" si="0"/>
        <x:v>-1</x:v>
      </x:c>
      <x:c r="T60" s="49" t="s">
        <x:v>98</x:v>
      </x:c>
      <x:c r="U60" s="49" t="str">
        <x:f t="shared" si="6"/>
        <x:v>红</x:v>
      </x:c>
      <x:c r="V60" s="50">
        <x:f t="shared" si="7"/>
        <x:v>0.93</x:v>
      </x:c>
      <x:c r="W60" s="50">
        <x:f t="shared" si="3"/>
        <x:v>0.93</x:v>
      </x:c>
      <x:c r="X60" s="57">
        <x:v>0.94</x:v>
      </x:c>
      <x:c r="Y60" s="57">
        <x:v>-0.25</x:v>
      </x:c>
      <x:c r="Z60" s="57">
        <x:v>0.76</x:v>
      </x:c>
      <x:c r="AA60" s="57">
        <x:v>-0.25</x:v>
      </x:c>
      <x:c r="AB60" s="57">
        <x:v>0.76</x:v>
      </x:c>
      <x:c r="AC60" s="57">
        <x:v>0.83</x:v>
      </x:c>
      <x:c r="AD60" s="57">
        <x:v>3.22</x:v>
      </x:c>
      <x:c r="AE60" s="57">
        <x:v>3.58</x:v>
      </x:c>
      <x:c r="AF60" s="57">
        <x:v>1.95</x:v>
      </x:c>
      <x:c r="AG60" s="58">
        <x:v>0.102709127970241</x:v>
      </x:c>
      <x:c r="AH60" s="58">
        <x:v>0.0527091279702406</x:v>
      </x:c>
      <x:c r="AI60" s="58">
        <x:v>0.281632751859801</x:v>
      </x:c>
      <x:c r="AJ60" s="58">
        <x:v>0.253312139940938</x:v>
      </x:c>
      <x:c r="AK60" s="58">
        <x:v>0.465055108199261</x:v>
      </x:c>
      <x:c r="AL60" s="57">
        <x:v>1.14</x:v>
      </x:c>
      <x:c r="AM60" s="57">
        <x:v>1.54</x:v>
      </x:c>
      <x:c r="AN60" s="57">
        <x:v>0.000124642869883534</x:v>
      </x:c>
      <x:c r="AO60" s="57">
        <x:v>1.52638779897909</x:v>
      </x:c>
      <x:c r="AP60" s="57">
        <x:v>-0.696387798979086</x:v>
      </x:c>
      <x:c r="AQ60" s="59" t="s">
        <x:v>99</x:v>
      </x:c>
      <x:c r="AR60" s="57">
        <x:v>-0.75</x:v>
      </x:c>
      <x:c r="AS60" s="57">
        <x:v>0.350356277108245</x:v>
      </x:c>
      <x:c r="AT60" s="57">
        <x:v>0.534779546673761</x:v>
      </x:c>
      <x:c r="AU60" s="57">
        <x:v>3.74</x:v>
      </x:c>
      <x:c r="AV60" s="57">
        <x:v>3.76</x:v>
      </x:c>
      <x:c r="AW60" s="57">
        <x:v>1.77</x:v>
      </x:c>
      <x:c r="AX60" s="59" t="s">
        <x:v>100</x:v>
      </x:c>
      <x:c r="AY60" s="59" t="s">
        <x:v>101</x:v>
      </x:c>
    </x:row>
    <x:row r="61" ht="22" customHeight="1">
      <x:c r="A61" s="49" t="s">
        <x:v>237</x:v>
      </x:c>
      <x:c r="B61" s="49" t="s">
        <x:v>358</x:v>
      </x:c>
      <x:c r="C61" s="49" t="s">
        <x:v>89</x:v>
      </x:c>
      <x:c r="D61" s="49" t="s">
        <x:v>90</x:v>
      </x:c>
      <x:c r="E61" s="49" t="s">
        <x:v>103</x:v>
      </x:c>
      <x:c r="F61" s="49" t="s">
        <x:v>359</x:v>
      </x:c>
      <x:c r="G61" s="60">
        <x:v>0.83</x:v>
      </x:c>
      <x:c r="H61" s="60">
        <x:v>0.75</x:v>
      </x:c>
      <x:c r="I61" s="60">
        <x:v>0.93</x:v>
      </x:c>
      <x:c r="J61" s="49" t="s">
        <x:v>360</x:v>
      </x:c>
      <x:c r="K61" s="49" t="s">
        <x:v>106</x:v>
      </x:c>
      <x:c r="L61" s="49" t="s">
        <x:v>361</x:v>
      </x:c>
      <x:c r="M61" s="61">
        <x:v>0.607</x:v>
      </x:c>
      <x:c r="N61" s="49" t="s">
        <x:v>96</x:v>
      </x:c>
      <x:c r="O61" s="49" t="s">
        <x:v>141</x:v>
      </x:c>
      <x:c r="P61" s="49" t="s">
        <x:v>30</x:v>
      </x:c>
      <x:c r="Q61" s="49" t="s">
        <x:v>11</x:v>
      </x:c>
      <x:c r="R61" s="50">
        <x:v>0.83</x:v>
      </x:c>
      <x:c r="S61" s="50">
        <x:f t="shared" si="0"/>
        <x:v>0.83</x:v>
      </x:c>
      <x:c r="T61" s="49" t="s">
        <x:v>98</x:v>
      </x:c>
      <x:c r="U61" s="49" t="str">
        <x:f t="shared" si="6"/>
        <x:v>黑</x:v>
      </x:c>
      <x:c r="V61" s="50">
        <x:f t="shared" si="7"/>
        <x:v>0.93</x:v>
      </x:c>
      <x:c r="W61" s="50">
        <x:f t="shared" si="3"/>
        <x:v>-1</x:v>
      </x:c>
      <x:c r="X61" s="57">
        <x:v>0.88</x:v>
      </x:c>
      <x:c r="Y61" s="57">
        <x:v>0.75</x:v>
      </x:c>
      <x:c r="Z61" s="57">
        <x:v>0.82</x:v>
      </x:c>
      <x:c r="AA61" s="57">
        <x:v>-0.75</x:v>
      </x:c>
      <x:c r="AB61" s="57">
        <x:v>0.88</x:v>
      </x:c>
      <x:c r="AC61" s="57">
        <x:v>0.83</x:v>
      </x:c>
      <x:c r="AD61" s="57">
        <x:v>1.8</x:v>
      </x:c>
      <x:c r="AE61" s="57">
        <x:v>3.68</x:v>
      </x:c>
      <x:c r="AF61" s="57">
        <x:v>3.64</x:v>
      </x:c>
      <x:c r="AG61" s="58">
        <x:v>0.102019960715613</x:v>
      </x:c>
      <x:c r="AH61" s="58">
        <x:v>0.0520199607156129</x:v>
      </x:c>
      <x:c r="AI61" s="58">
        <x:v>0.504124766664659</x:v>
      </x:c>
      <x:c r="AJ61" s="58">
        <x:v>0.246582766303366</x:v>
      </x:c>
      <x:c r="AK61" s="58">
        <x:v>0.249292467031974</x:v>
      </x:c>
      <x:c r="AL61" s="57">
        <x:v>1.63</x:v>
      </x:c>
      <x:c r="AM61" s="57">
        <x:v>1.07</x:v>
      </x:c>
      <x:c r="AN61" s="57">
        <x:v>3.30479873508706e-5</x:v>
      </x:c>
      <x:c r="AO61" s="57">
        <x:v>1.28657762693467</x:v>
      </x:c>
      <x:c r="AP61" s="57">
        <x:v>-0.456577626934667</x:v>
      </x:c>
      <x:c r="AQ61" s="59" t="s">
        <x:v>99</x:v>
      </x:c>
      <x:c r="AR61" s="57">
        <x:v>-0.75</x:v>
      </x:c>
      <x:c r="AS61" s="57">
        <x:v>0.385455637835876</x:v>
      </x:c>
      <x:c r="AT61" s="57">
        <x:v>0.49591859981547</x:v>
      </x:c>
      <x:c r="AU61" s="57">
        <x:v>1.68</x:v>
      </x:c>
      <x:c r="AV61" s="57">
        <x:v>3.79</x:v>
      </x:c>
      <x:c r="AW61" s="57">
        <x:v>4.13</x:v>
      </x:c>
      <x:c r="AX61" s="59" t="s">
        <x:v>100</x:v>
      </x:c>
      <x:c r="AY61" s="59" t="s">
        <x:v>101</x:v>
      </x:c>
    </x:row>
    <x:row r="62" ht="22" customHeight="1">
      <x:c r="A62" s="49" t="s">
        <x:v>237</x:v>
      </x:c>
      <x:c r="B62" s="49" t="s">
        <x:v>362</x:v>
      </x:c>
      <x:c r="C62" s="49" t="s">
        <x:v>89</x:v>
      </x:c>
      <x:c r="D62" s="49" t="s">
        <x:v>90</x:v>
      </x:c>
      <x:c r="E62" s="49" t="s">
        <x:v>363</x:v>
      </x:c>
      <x:c r="F62" s="49" t="s">
        <x:v>364</x:v>
      </x:c>
      <x:c r="G62" s="60">
        <x:v>0.98</x:v>
      </x:c>
      <x:c r="H62" s="60">
        <x:v>-2</x:v>
      </x:c>
      <x:c r="I62" s="60">
        <x:v>0.84</x:v>
      </x:c>
      <x:c r="J62" s="49" t="s">
        <x:v>365</x:v>
      </x:c>
      <x:c r="K62" s="49" t="s">
        <x:v>106</x:v>
      </x:c>
      <x:c r="L62" s="49" t="s">
        <x:v>366</x:v>
      </x:c>
      <x:c r="M62" s="61">
        <x:v>0.607</x:v>
      </x:c>
      <x:c r="N62" s="49" t="s">
        <x:v>96</x:v>
      </x:c>
      <x:c r="O62" s="49" t="s">
        <x:v>367</x:v>
      </x:c>
      <x:c r="P62" s="49" t="s">
        <x:v>30</x:v>
      </x:c>
      <x:c r="Q62" s="49" t="s">
        <x:v>11</x:v>
      </x:c>
      <x:c r="R62" s="50">
        <x:v>0.84</x:v>
      </x:c>
      <x:c r="S62" s="50">
        <x:f t="shared" si="0"/>
        <x:v>0.84</x:v>
      </x:c>
      <x:c r="T62" s="49" t="s">
        <x:v>98</x:v>
      </x:c>
      <x:c r="U62" s="49" t="str">
        <x:f t="shared" si="6"/>
        <x:v>黑</x:v>
      </x:c>
      <x:c r="V62" s="50">
        <x:f t="shared" si="7"/>
        <x:v>0.98</x:v>
      </x:c>
      <x:c r="W62" s="50">
        <x:f t="shared" si="3"/>
        <x:v>-1</x:v>
      </x:c>
      <x:c r="X62" s="57">
        <x:v>0.93</x:v>
      </x:c>
      <x:c r="Y62" s="57">
        <x:v>-2</x:v>
      </x:c>
      <x:c r="Z62" s="57">
        <x:v>0.89</x:v>
      </x:c>
      <x:c r="AA62" s="57">
        <x:v>-2</x:v>
      </x:c>
      <x:c r="AB62" s="57">
        <x:v>0.89</x:v>
      </x:c>
      <x:c r="AC62" s="57">
        <x:v>0.84</x:v>
      </x:c>
      <x:c r="AD62" s="57">
        <x:v>10.74</x:v>
      </x:c>
      <x:c r="AE62" s="57">
        <x:v>6.87</x:v>
      </x:c>
      <x:c r="AF62" s="57">
        <x:v>1.16</x:v>
      </x:c>
      <x:c r="AG62" s="58">
        <x:v>0.100739242732565</x:v>
      </x:c>
      <x:c r="AH62" s="58">
        <x:v>0.0507392427325651</x:v>
      </x:c>
      <x:c r="AI62" s="58">
        <x:v>0.0845884892911049</x:v>
      </x:c>
      <x:c r="AJ62" s="58">
        <x:v>0.132238773651596</x:v>
      </x:c>
      <x:c r="AK62" s="58">
        <x:v>0.783172737057299</x:v>
      </x:c>
      <x:c r="AL62" s="57">
        <x:v>0.87</x:v>
      </x:c>
      <x:c r="AM62" s="57">
        <x:v>2.87</x:v>
      </x:c>
      <x:c r="AN62" s="57">
        <x:v>0.000129615332531862</x:v>
      </x:c>
      <x:c r="AO62" s="57">
        <x:v>1.09916391781279</x:v>
      </x:c>
      <x:c r="AP62" s="57">
        <x:v>-0.259163917812786</x:v>
      </x:c>
      <x:c r="AQ62" s="59" t="s">
        <x:v>99</x:v>
      </x:c>
      <x:c r="AR62" s="57">
        <x:v>-2</x:v>
      </x:c>
      <x:c r="AS62" s="57">
        <x:v>0.376638914500219</x:v>
      </x:c>
      <x:c r="AT62" s="57">
        <x:v>0.413987904862816</x:v>
      </x:c>
      <x:c r="AU62" s="57">
        <x:v>11.51</x:v>
      </x:c>
      <x:c r="AV62" s="57">
        <x:v>7.02</x:v>
      </x:c>
      <x:c r="AW62" s="57">
        <x:v>1.15</x:v>
      </x:c>
      <x:c r="AX62" s="59" t="s">
        <x:v>100</x:v>
      </x:c>
      <x:c r="AY62" s="59" t="s">
        <x:v>101</x:v>
      </x:c>
    </x:row>
    <x:row r="63" ht="22" customHeight="1">
      <x:c r="A63" s="49" t="s">
        <x:v>237</x:v>
      </x:c>
      <x:c r="B63" s="49" t="s">
        <x:v>362</x:v>
      </x:c>
      <x:c r="C63" s="49" t="s">
        <x:v>89</x:v>
      </x:c>
      <x:c r="D63" s="49" t="s">
        <x:v>90</x:v>
      </x:c>
      <x:c r="E63" s="49" t="s">
        <x:v>325</x:v>
      </x:c>
      <x:c r="F63" s="49" t="s">
        <x:v>368</x:v>
      </x:c>
      <x:c r="G63" s="60">
        <x:v>0.98</x:v>
      </x:c>
      <x:c r="H63" s="60">
        <x:v>0</x:v>
      </x:c>
      <x:c r="I63" s="60">
        <x:v>0.78</x:v>
      </x:c>
      <x:c r="J63" s="49" t="s">
        <x:v>369</x:v>
      </x:c>
      <x:c r="K63" s="49" t="s">
        <x:v>132</x:v>
      </x:c>
      <x:c r="L63" s="49" t="s">
        <x:v>370</x:v>
      </x:c>
      <x:c r="M63" s="61">
        <x:v>0.604</x:v>
      </x:c>
      <x:c r="N63" s="49" t="s">
        <x:v>96</x:v>
      </x:c>
      <x:c r="O63" s="49" t="s">
        <x:v>197</x:v>
      </x:c>
      <x:c r="P63" s="49" t="s">
        <x:v>30</x:v>
      </x:c>
      <x:c r="Q63" s="49" t="s">
        <x:v>23</x:v>
      </x:c>
      <x:c r="R63" s="50">
        <x:v>0.78</x:v>
      </x:c>
      <x:c r="S63" s="50">
        <x:f t="shared" si="0"/>
        <x:v>-1</x:v>
      </x:c>
      <x:c r="T63" s="49" t="s">
        <x:v>98</x:v>
      </x:c>
      <x:c r="U63" s="49" t="str">
        <x:f t="shared" si="6"/>
        <x:v>红</x:v>
      </x:c>
      <x:c r="V63" s="50">
        <x:f t="shared" si="7"/>
        <x:v>0.98</x:v>
      </x:c>
      <x:c r="W63" s="50">
        <x:f t="shared" si="3"/>
        <x:v>0.98</x:v>
      </x:c>
      <x:c r="X63" s="57">
        <x:v>0.96</x:v>
      </x:c>
      <x:c r="Y63" s="57">
        <x:v>0.25</x:v>
      </x:c>
      <x:c r="Z63" s="57">
        <x:v>0.8</x:v>
      </x:c>
      <x:c r="AA63" s="57">
        <x:v>0.25</x:v>
      </x:c>
      <x:c r="AB63" s="57">
        <x:v>0.8</x:v>
      </x:c>
      <x:c r="AC63" s="57">
        <x:v>0.78</x:v>
      </x:c>
      <x:c r="AD63" s="57">
        <x:v>2.24</x:v>
      </x:c>
      <x:c r="AE63" s="57">
        <x:v>3.5</x:v>
      </x:c>
      <x:c r="AF63" s="57">
        <x:v>2.66</x:v>
      </x:c>
      <x:c r="AG63" s="58">
        <x:v>0.108082706766917</x:v>
      </x:c>
      <x:c r="AH63" s="58">
        <x:v>0.0580827067669172</x:v>
      </x:c>
      <x:c r="AI63" s="58">
        <x:v>0.402883799830365</x:v>
      </x:c>
      <x:c r="AJ63" s="58">
        <x:v>0.257845631891433</x:v>
      </x:c>
      <x:c r="AK63" s="58">
        <x:v>0.339270568278202</x:v>
      </x:c>
      <x:c r="AL63" s="57">
        <x:v>1.42</x:v>
      </x:c>
      <x:c r="AM63" s="57">
        <x:v>1.28</x:v>
      </x:c>
      <x:c r="AN63" s="57">
        <x:v>0.00045020686176962</x:v>
      </x:c>
      <x:c r="AO63" s="57">
        <x:v>1.19015473063084</x:v>
      </x:c>
      <x:c r="AP63" s="57">
        <x:v>-0.410154730630842</x:v>
      </x:c>
      <x:c r="AQ63" s="59" t="s">
        <x:v>150</x:v>
      </x:c>
      <x:c r="AR63" s="57">
        <x:v>0</x:v>
      </x:c>
      <x:c r="AS63" s="57">
        <x:v>0.339042203657002</x:v>
      </x:c>
      <x:c r="AT63" s="57">
        <x:v>0.403512682565887</x:v>
      </x:c>
      <x:c r="AU63" s="57">
        <x:v>2.44</x:v>
      </x:c>
      <x:c r="AV63" s="57">
        <x:v>3.56</x:v>
      </x:c>
      <x:c r="AW63" s="57">
        <x:v>2.42</x:v>
      </x:c>
      <x:c r="AX63" s="59" t="s">
        <x:v>100</x:v>
      </x:c>
      <x:c r="AY63" s="59" t="s">
        <x:v>101</x:v>
      </x:c>
    </x:row>
    <x:row r="64" ht="22" customHeight="1">
      <x:c r="A64" s="49" t="s">
        <x:v>237</x:v>
      </x:c>
      <x:c r="B64" s="49" t="s">
        <x:v>371</x:v>
      </x:c>
      <x:c r="C64" s="49" t="s">
        <x:v>89</x:v>
      </x:c>
      <x:c r="D64" s="49" t="s">
        <x:v>90</x:v>
      </x:c>
      <x:c r="E64" s="49" t="s">
        <x:v>279</x:v>
      </x:c>
      <x:c r="F64" s="49" t="s">
        <x:v>372</x:v>
      </x:c>
      <x:c r="G64" s="60">
        <x:v>0.79</x:v>
      </x:c>
      <x:c r="H64" s="60">
        <x:v>0.5</x:v>
      </x:c>
      <x:c r="I64" s="60">
        <x:v>1.03</x:v>
      </x:c>
      <x:c r="J64" s="49" t="s">
        <x:v>373</x:v>
      </x:c>
      <x:c r="K64" s="49" t="s">
        <x:v>132</x:v>
      </x:c>
      <x:c r="L64" s="49" t="s">
        <x:v>374</x:v>
      </x:c>
      <x:c r="M64" s="61">
        <x:v>0.604</x:v>
      </x:c>
      <x:c r="N64" s="49" t="s">
        <x:v>96</x:v>
      </x:c>
      <x:c r="O64" s="49" t="s">
        <x:v>149</x:v>
      </x:c>
      <x:c r="P64" s="49" t="s">
        <x:v>30</x:v>
      </x:c>
      <x:c r="Q64" s="49" t="s">
        <x:v>11</x:v>
      </x:c>
      <x:c r="R64" s="50">
        <x:v>1.03</x:v>
      </x:c>
      <x:c r="S64" s="50">
        <x:f t="shared" si="0"/>
        <x:v>1.03</x:v>
      </x:c>
      <x:c r="T64" s="49" t="s">
        <x:v>98</x:v>
      </x:c>
      <x:c r="U64" s="49" t="str">
        <x:f t="shared" si="6"/>
        <x:v>黑</x:v>
      </x:c>
      <x:c r="V64" s="50">
        <x:f t="shared" si="7"/>
        <x:v>0.79</x:v>
      </x:c>
      <x:c r="W64" s="50">
        <x:f t="shared" si="3"/>
        <x:v>-1</x:v>
      </x:c>
      <x:c r="X64" s="57">
        <x:v>1.02</x:v>
      </x:c>
      <x:c r="Y64" s="57">
        <x:v>0.75</x:v>
      </x:c>
      <x:c r="Z64" s="57">
        <x:v>0.8</x:v>
      </x:c>
      <x:c r="AA64" s="57">
        <x:v>0.75</x:v>
      </x:c>
      <x:c r="AB64" s="57">
        <x:v>0.8</x:v>
      </x:c>
      <x:c r="AC64" s="57">
        <x:v>1.03</x:v>
      </x:c>
      <x:c r="AD64" s="57">
        <x:v>1.75</x:v>
      </x:c>
      <x:c r="AE64" s="57">
        <x:v>3.47</x:v>
      </x:c>
      <x:c r="AF64" s="57">
        <x:v>4.41</x:v>
      </x:c>
      <x:c r="AG64" s="58">
        <x:v>0.0863703790834296</x:v>
      </x:c>
      <x:c r="AH64" s="58">
        <x:v>0.0363703790834296</x:v>
      </x:c>
      <x:c r="AI64" s="58">
        <x:v>0.525997930752388</x:v>
      </x:c>
      <x:c r="AJ64" s="58">
        <x:v>0.265272731647458</x:v>
      </x:c>
      <x:c r="AK64" s="58">
        <x:v>0.208729337600154</x:v>
      </x:c>
      <x:c r="AL64" s="57">
        <x:v>1.47</x:v>
      </x:c>
      <x:c r="AM64" s="57">
        <x:v>0.82</x:v>
      </x:c>
      <x:c r="AN64" s="57">
        <x:v>0.000705640868033728</x:v>
      </x:c>
      <x:c r="AO64" s="57">
        <x:v>1.10554841309633</x:v>
      </x:c>
      <x:c r="AP64" s="57">
        <x:v>-0.0755484130963275</x:v>
      </x:c>
      <x:c r="AQ64" s="59" t="s">
        <x:v>289</x:v>
      </x:c>
      <x:c r="AR64" s="57">
        <x:v>0.5</x:v>
      </x:c>
      <x:c r="AS64" s="57">
        <x:v>0.474935648014592</x:v>
      </x:c>
      <x:c r="AT64" s="57">
        <x:v>0.525064351985408</x:v>
      </x:c>
      <x:c r="AU64" s="57">
        <x:v>1.79</x:v>
      </x:c>
      <x:c r="AV64" s="57">
        <x:v>3.48</x:v>
      </x:c>
      <x:c r="AW64" s="57">
        <x:v>4.3</x:v>
      </x:c>
      <x:c r="AX64" s="59" t="s">
        <x:v>100</x:v>
      </x:c>
      <x:c r="AY64" s="59" t="s">
        <x:v>101</x:v>
      </x:c>
    </x:row>
    <x:row r="65" ht="22" customHeight="1">
      <x:c r="A65" s="49" t="s">
        <x:v>237</x:v>
      </x:c>
      <x:c r="B65" s="49" t="s">
        <x:v>375</x:v>
      </x:c>
      <x:c r="C65" s="49" t="s">
        <x:v>89</x:v>
      </x:c>
      <x:c r="D65" s="49" t="s">
        <x:v>116</x:v>
      </x:c>
      <x:c r="E65" s="49" t="s">
        <x:v>376</x:v>
      </x:c>
      <x:c r="F65" s="49" t="s">
        <x:v>377</x:v>
      </x:c>
      <x:c r="G65" s="60">
        <x:v>0.74</x:v>
      </x:c>
      <x:c r="H65" s="60">
        <x:v>0.25</x:v>
      </x:c>
      <x:c r="I65" s="60">
        <x:v>1.08</x:v>
      </x:c>
      <x:c r="J65" s="49" t="s">
        <x:v>378</x:v>
      </x:c>
      <x:c r="K65" s="49" t="s">
        <x:v>106</x:v>
      </x:c>
      <x:c r="L65" s="49" t="s">
        <x:v>379</x:v>
      </x:c>
      <x:c r="M65" s="61">
        <x:v>0.607</x:v>
      </x:c>
      <x:c r="N65" s="49" t="s">
        <x:v>96</x:v>
      </x:c>
      <x:c r="O65" s="49" t="s">
        <x:v>169</x:v>
      </x:c>
      <x:c r="P65" s="49" t="s">
        <x:v>30</x:v>
      </x:c>
      <x:c r="Q65" s="49" t="s">
        <x:v>23</x:v>
      </x:c>
      <x:c r="R65" s="50">
        <x:v>0.74</x:v>
      </x:c>
      <x:c r="S65" s="50">
        <x:f t="shared" si="0"/>
        <x:v>-1</x:v>
      </x:c>
      <x:c r="T65" s="49" t="s">
        <x:v>98</x:v>
      </x:c>
      <x:c r="U65" s="49" t="str">
        <x:f t="shared" si="6"/>
        <x:v>红</x:v>
      </x:c>
      <x:c r="V65" s="50">
        <x:f t="shared" si="7"/>
        <x:v>1.08</x:v>
      </x:c>
      <x:c r="W65" s="50">
        <x:f t="shared" si="3"/>
        <x:v>1.08</x:v>
      </x:c>
      <x:c r="X65" s="57">
        <x:v>0.76</x:v>
      </x:c>
      <x:c r="Y65" s="57">
        <x:v>0.25</x:v>
      </x:c>
      <x:c r="Z65" s="57">
        <x:v>0.94</x:v>
      </x:c>
      <x:c r="AA65" s="57">
        <x:v>-0.25</x:v>
      </x:c>
      <x:c r="AB65" s="57">
        <x:v>0.76</x:v>
      </x:c>
      <x:c r="AC65" s="57">
        <x:v>0.74</x:v>
      </x:c>
      <x:c r="AD65" s="57">
        <x:v>2.07</x:v>
      </x:c>
      <x:c r="AE65" s="57">
        <x:v>3.56</x:v>
      </x:c>
      <x:c r="AF65" s="57">
        <x:v>2.93</x:v>
      </x:c>
      <x:c r="AG65" s="58">
        <x:v>0.105287592171753</x:v>
      </x:c>
      <x:c r="AH65" s="58">
        <x:v>0.0552875921717531</x:v>
      </x:c>
      <x:c r="AI65" s="58">
        <x:v>0.437073383308681</x:v>
      </x:c>
      <x:c r="AJ65" s="58">
        <x:v>0.254140984114879</x:v>
      </x:c>
      <x:c r="AK65" s="58">
        <x:v>0.30878563257644</x:v>
      </x:c>
      <x:c r="AL65" s="57">
        <x:v>1.5</x:v>
      </x:c>
      <x:c r="AM65" s="57">
        <x:v>1.22</x:v>
      </x:c>
      <x:c r="AN65" s="57">
        <x:v>3.88432963365548e-5</x:v>
      </x:c>
      <x:c r="AO65" s="57">
        <x:v>0.99742773158756</x:v>
      </x:c>
      <x:c r="AP65" s="57">
        <x:v>-0.25742773158756</x:v>
      </x:c>
      <x:c r="AQ65" s="59" t="s">
        <x:v>99</x:v>
      </x:c>
      <x:c r="AR65" s="57">
        <x:v>-0.25</x:v>
      </x:c>
      <x:c r="AS65" s="57">
        <x:v>0.437018749836043</x:v>
      </x:c>
      <x:c r="AT65" s="57">
        <x:v>0.435894620310195</x:v>
      </x:c>
      <x:c r="AU65" s="57">
        <x:v>1.91</x:v>
      </x:c>
      <x:c r="AV65" s="57">
        <x:v>3.54</x:v>
      </x:c>
      <x:c r="AW65" s="57">
        <x:v>3.32</x:v>
      </x:c>
      <x:c r="AX65" s="59" t="s">
        <x:v>100</x:v>
      </x:c>
      <x:c r="AY65" s="59" t="s">
        <x:v>101</x:v>
      </x:c>
    </x:row>
    <x:row r="66" ht="22" customHeight="1">
      <x:c r="A66" s="49" t="s">
        <x:v>237</x:v>
      </x:c>
      <x:c r="B66" s="49" t="s">
        <x:v>375</x:v>
      </x:c>
      <x:c r="C66" s="49" t="s">
        <x:v>89</x:v>
      </x:c>
      <x:c r="D66" s="49" t="s">
        <x:v>90</x:v>
      </x:c>
      <x:c r="E66" s="49" t="s">
        <x:v>103</x:v>
      </x:c>
      <x:c r="F66" s="49" t="s">
        <x:v>380</x:v>
      </x:c>
      <x:c r="G66" s="60">
        <x:v>0.95</x:v>
      </x:c>
      <x:c r="H66" s="60">
        <x:v>1.25</x:v>
      </x:c>
      <x:c r="I66" s="60">
        <x:v>0.87</x:v>
      </x:c>
      <x:c r="J66" s="49" t="s">
        <x:v>381</x:v>
      </x:c>
      <x:c r="K66" s="49" t="s">
        <x:v>132</x:v>
      </x:c>
      <x:c r="L66" s="49" t="s">
        <x:v>382</x:v>
      </x:c>
      <x:c r="M66" s="61">
        <x:v>0.604</x:v>
      </x:c>
      <x:c r="N66" s="49" t="s">
        <x:v>96</x:v>
      </x:c>
      <x:c r="O66" s="49" t="s">
        <x:v>231</x:v>
      </x:c>
      <x:c r="P66" s="49" t="s">
        <x:v>30</x:v>
      </x:c>
      <x:c r="Q66" s="49" t="s">
        <x:v>14</x:v>
      </x:c>
      <x:c r="R66" s="50">
        <x:v>0.87</x:v>
      </x:c>
      <x:c r="S66" s="50">
        <x:f t="shared" si="0"/>
        <x:v>0.435</x:v>
      </x:c>
      <x:c r="T66" s="49" t="s">
        <x:v>98</x:v>
      </x:c>
      <x:c r="U66" s="49" t="str">
        <x:f t="shared" si="6"/>
        <x:v>半黑</x:v>
      </x:c>
      <x:c r="V66" s="50">
        <x:f t="shared" si="7"/>
        <x:v>0.95</x:v>
      </x:c>
      <x:c r="W66" s="50">
        <x:f t="shared" si="3"/>
        <x:v>-0.5</x:v>
      </x:c>
      <x:c r="X66" s="57">
        <x:v>0.85</x:v>
      </x:c>
      <x:c r="Y66" s="57">
        <x:v>1.75</x:v>
      </x:c>
      <x:c r="Z66" s="57">
        <x:v>0.85</x:v>
      </x:c>
      <x:c r="AA66" s="57">
        <x:v>1.75</x:v>
      </x:c>
      <x:c r="AB66" s="57">
        <x:v>0.85</x:v>
      </x:c>
      <x:c r="AC66" s="57">
        <x:v>0.87</x:v>
      </x:c>
      <x:c r="AD66" s="57">
        <x:v>1.26</x:v>
      </x:c>
      <x:c r="AE66" s="57">
        <x:v>5.38</x:v>
      </x:c>
      <x:c r="AF66" s="57">
        <x:v>8.13</x:v>
      </x:c>
      <x:c r="AG66" s="58">
        <x:v>0.102525629611049</x:v>
      </x:c>
      <x:c r="AH66" s="58">
        <x:v>0.052525629611049</x:v>
      </x:c>
      <x:c r="AI66" s="58">
        <x:v>0.719847931272835</x:v>
      </x:c>
      <x:c r="AJ66" s="58">
        <x:v>0.168588920707021</x:v>
      </x:c>
      <x:c r="AK66" s="58">
        <x:v>0.111563148020144</x:v>
      </x:c>
      <x:c r="AL66" s="57">
        <x:v>2.39</x:v>
      </x:c>
      <x:c r="AM66" s="57">
        <x:v>0.83</x:v>
      </x:c>
      <x:c r="AN66" s="57">
        <x:v>0.000215697971337883</x:v>
      </x:c>
      <x:c r="AO66" s="57">
        <x:v>1.25072760322131</x:v>
      </x:c>
      <x:c r="AP66" s="57">
        <x:v>-0.380727603221311</x:v>
      </x:c>
      <x:c r="AQ66" s="59" t="s">
        <x:v>289</x:v>
      </x:c>
      <x:c r="AR66" s="57">
        <x:v>1.25</x:v>
      </x:c>
      <x:c r="AS66" s="57">
        <x:v>0.393817778437663</x:v>
      </x:c>
      <x:c r="AT66" s="57">
        <x:v>0.492558766131279</x:v>
      </x:c>
      <x:c r="AU66" s="57">
        <x:v>1.36</x:v>
      </x:c>
      <x:c r="AV66" s="57">
        <x:v>4.93</x:v>
      </x:c>
      <x:c r="AW66" s="57">
        <x:v>6.16</x:v>
      </x:c>
      <x:c r="AX66" s="59" t="s">
        <x:v>100</x:v>
      </x:c>
      <x:c r="AY66" s="59" t="s">
        <x:v>101</x:v>
      </x:c>
    </x:row>
    <x:row r="67" ht="22" customHeight="1">
      <x:c r="A67" s="49" t="s">
        <x:v>237</x:v>
      </x:c>
      <x:c r="B67" s="49" t="s">
        <x:v>375</x:v>
      </x:c>
      <x:c r="C67" s="49" t="s">
        <x:v>89</x:v>
      </x:c>
      <x:c r="D67" s="49" t="s">
        <x:v>90</x:v>
      </x:c>
      <x:c r="E67" s="49" t="s">
        <x:v>103</x:v>
      </x:c>
      <x:c r="F67" s="49" t="s">
        <x:v>383</x:v>
      </x:c>
      <x:c r="G67" s="60">
        <x:v>0.99</x:v>
      </x:c>
      <x:c r="H67" s="60">
        <x:v>2.5</x:v>
      </x:c>
      <x:c r="I67" s="60">
        <x:v>0.83</x:v>
      </x:c>
      <x:c r="J67" s="49" t="s">
        <x:v>384</x:v>
      </x:c>
      <x:c r="K67" s="49" t="s">
        <x:v>94</x:v>
      </x:c>
      <x:c r="L67" s="49" t="s">
        <x:v>385</x:v>
      </x:c>
      <x:c r="M67" s="61">
        <x:v>0.574</x:v>
      </x:c>
      <x:c r="N67" s="49" t="s">
        <x:v>96</x:v>
      </x:c>
      <x:c r="O67" s="49" t="s">
        <x:v>231</x:v>
      </x:c>
      <x:c r="P67" s="49" t="s">
        <x:v>30</x:v>
      </x:c>
      <x:c r="Q67" s="49" t="s">
        <x:v>23</x:v>
      </x:c>
      <x:c r="R67" s="50">
        <x:v>0.99</x:v>
      </x:c>
      <x:c r="S67" s="50">
        <x:f t="shared" si="0"/>
        <x:v>-1</x:v>
      </x:c>
      <x:c r="T67" s="49" t="s">
        <x:v>98</x:v>
      </x:c>
      <x:c r="U67" s="49" t="str">
        <x:f t="shared" si="6"/>
        <x:v>红</x:v>
      </x:c>
      <x:c r="V67" s="50">
        <x:f t="shared" si="7"/>
        <x:v>0.83</x:v>
      </x:c>
      <x:c r="W67" s="50">
        <x:f t="shared" si="3"/>
        <x:v>0.83</x:v>
      </x:c>
      <x:c r="X67" s="57">
        <x:v>0.76</x:v>
      </x:c>
      <x:c r="Y67" s="57">
        <x:v>2.25</x:v>
      </x:c>
      <x:c r="Z67" s="57">
        <x:v>0.94</x:v>
      </x:c>
      <x:c r="AA67" s="57">
        <x:v>-2.25</x:v>
      </x:c>
      <x:c r="AB67" s="57">
        <x:v>0.76</x:v>
      </x:c>
      <x:c r="AC67" s="57">
        <x:v>0.99</x:v>
      </x:c>
      <x:c r="AD67" s="57">
        <x:v>1.13</x:v>
      </x:c>
      <x:c r="AE67" s="57">
        <x:v>7.14</x:v>
      </x:c>
      <x:c r="AF67" s="57">
        <x:v>13.93</x:v>
      </x:c>
      <x:c r="AG67" s="58">
        <x:v>0.0967992835947915</x:v>
      </x:c>
      <x:c r="AH67" s="58">
        <x:v>0.0467992835947915</x:v>
      </x:c>
      <x:c r="AI67" s="58">
        <x:v>0.806852963389911</x:v>
      </x:c>
      <x:c r="AJ67" s="58">
        <x:v>0.127695216895042</x:v>
      </x:c>
      <x:c r="AK67" s="58">
        <x:v>0.0654518197150467</x:v>
      </x:c>
      <x:c r="AL67" s="57">
        <x:v>2.73</x:v>
      </x:c>
      <x:c r="AM67" s="57">
        <x:v>0.66</x:v>
      </x:c>
      <x:c r="AN67" s="57">
        <x:v>0.000260704532590655</x:v>
      </x:c>
      <x:c r="AO67" s="57">
        <x:v>1.61242320763661</x:v>
      </x:c>
      <x:c r="AP67" s="57">
        <x:v>-0.622423207636613</x:v>
      </x:c>
      <x:c r="AQ67" s="59" t="s">
        <x:v>99</x:v>
      </x:c>
      <x:c r="AR67" s="57">
        <x:v>-2.5</x:v>
      </x:c>
      <x:c r="AS67" s="57">
        <x:v>0.382786371318709</x:v>
      </x:c>
      <x:c r="AT67" s="57">
        <x:v>0.617213628681292</x:v>
      </x:c>
      <x:c r="AU67" s="57">
        <x:v>1.11</x:v>
      </x:c>
      <x:c r="AV67" s="57">
        <x:v>7.79</x:v>
      </x:c>
      <x:c r="AW67" s="57">
        <x:v>13.35</x:v>
      </x:c>
      <x:c r="AX67" s="59" t="s">
        <x:v>100</x:v>
      </x:c>
      <x:c r="AY67" s="59" t="s">
        <x:v>101</x:v>
      </x:c>
    </x:row>
    <x:row r="68" ht="22" customHeight="1">
      <x:c r="A68" s="49" t="s">
        <x:v>237</x:v>
      </x:c>
      <x:c r="B68" s="49" t="s">
        <x:v>386</x:v>
      </x:c>
      <x:c r="C68" s="49" t="s">
        <x:v>89</x:v>
      </x:c>
      <x:c r="D68" s="49" t="s">
        <x:v>116</x:v>
      </x:c>
      <x:c r="E68" s="49" t="s">
        <x:v>387</x:v>
      </x:c>
      <x:c r="F68" s="49" t="s">
        <x:v>388</x:v>
      </x:c>
      <x:c r="G68" s="60">
        <x:v>0.82</x:v>
      </x:c>
      <x:c r="H68" s="60">
        <x:v>0.25</x:v>
      </x:c>
      <x:c r="I68" s="60">
        <x:v>1.07</x:v>
      </x:c>
      <x:c r="J68" s="49" t="s">
        <x:v>112</x:v>
      </x:c>
      <x:c r="K68" s="49" t="s">
        <x:v>106</x:v>
      </x:c>
      <x:c r="L68" s="49" t="s">
        <x:v>389</x:v>
      </x:c>
      <x:c r="M68" s="61">
        <x:v>0.607</x:v>
      </x:c>
      <x:c r="N68" s="49" t="s">
        <x:v>96</x:v>
      </x:c>
      <x:c r="O68" s="49" t="s">
        <x:v>149</x:v>
      </x:c>
      <x:c r="P68" s="49" t="s">
        <x:v>30</x:v>
      </x:c>
      <x:c r="Q68" s="49" t="s">
        <x:v>20</x:v>
      </x:c>
      <x:c r="R68" s="50">
        <x:v>0.82</x:v>
      </x:c>
      <x:c r="S68" s="50" t="n">
        <x:f t="shared" ref="S68:S131" si="8">IF(OR(Q68="",Q68="待结算"),"",IF(Q68="红",R68,IF(Q68="半红",R68*0.5,IF(Q68="走",0,IF(Q68="半黑",-0.5,-1)))))</x:f>
        <x:v>-0.5</x:v>
      </x:c>
      <x:c r="T68" s="49" t="s">
        <x:v>98</x:v>
      </x:c>
      <x:c r="U68" s="49" t="str">
        <x:f t="shared" si="6"/>
        <x:v>半红</x:v>
      </x:c>
      <x:c r="V68" s="50">
        <x:f t="shared" si="7"/>
        <x:v>1.07</x:v>
      </x:c>
      <x:c r="W68" s="50" t="n">
        <x:f t="shared" ref="W68:W131" si="9">IF(OR(U68="",U68="待结算"),"",IF(U68="红",V68,IF(U68="半红",V68*0.5,IF(U68="走",0,IF(U68="半黑",-0.5,-1)))))</x:f>
        <x:v>0.535</x:v>
      </x:c>
      <x:c r="X68" s="57">
        <x:v>0.81</x:v>
      </x:c>
      <x:c r="Y68" s="57">
        <x:v>0.25</x:v>
      </x:c>
      <x:c r="Z68" s="57">
        <x:v>1.01</x:v>
      </x:c>
      <x:c r="AA68" s="57">
        <x:v>-0.25</x:v>
      </x:c>
      <x:c r="AB68" s="57">
        <x:v>0.81</x:v>
      </x:c>
      <x:c r="AC68" s="57">
        <x:v>0.82</x:v>
      </x:c>
      <x:c r="AD68" s="57">
        <x:v>2.08</x:v>
      </x:c>
      <x:c r="AE68" s="57">
        <x:v>3.42</x:v>
      </x:c>
      <x:c r="AF68" s="57">
        <x:v>3.22</x:v>
      </x:c>
      <x:c r="AG68" s="58">
        <x:v>0.0837258977991242</x:v>
      </x:c>
      <x:c r="AH68" s="58">
        <x:v>0.0337258977991242</x:v>
      </x:c>
      <x:c r="AI68" s="58">
        <x:v>0.44362622665528</x:v>
      </x:c>
      <x:c r="AJ68" s="58">
        <x:v>0.269807763579819</x:v>
      </x:c>
      <x:c r="AK68" s="58">
        <x:v>0.286566009764901</x:v>
      </x:c>
      <x:c r="AL68" s="57">
        <x:v>1.38</x:v>
      </x:c>
      <x:c r="AM68" s="57">
        <x:v>1.05</x:v>
      </x:c>
      <x:c r="AN68" s="57">
        <x:v>0.000584636319704944</x:v>
      </x:c>
      <x:c r="AO68" s="57">
        <x:v>0.947142548980846</x:v>
      </x:c>
      <x:c r="AP68" s="57">
        <x:v>-0.127142548980846</x:v>
      </x:c>
      <x:c r="AQ68" s="59" t="s">
        <x:v>99</x:v>
      </x:c>
      <x:c r="AR68" s="57">
        <x:v>-0.25</x:v>
      </x:c>
      <x:c r="AS68" s="57">
        <x:v>0.444249162673717</x:v>
      </x:c>
      <x:c r="AT68" s="57">
        <x:v>0.420767284317391</x:v>
      </x:c>
      <x:c r="AU68" s="57">
        <x:v>2.05</x:v>
      </x:c>
      <x:c r="AV68" s="57">
        <x:v>3.49</x:v>
      </x:c>
      <x:c r="AW68" s="57">
        <x:v>3.34</x:v>
      </x:c>
      <x:c r="AX68" s="59" t="s">
        <x:v>100</x:v>
      </x:c>
      <x:c r="AY68" s="59" t="s">
        <x:v>101</x:v>
      </x:c>
    </x:row>
    <x:row r="69" ht="22" customHeight="1">
      <x:c r="A69" s="49" t="s">
        <x:v>237</x:v>
      </x:c>
      <x:c r="B69" s="49" t="s">
        <x:v>386</x:v>
      </x:c>
      <x:c r="C69" s="49" t="s">
        <x:v>89</x:v>
      </x:c>
      <x:c r="D69" s="49" t="s">
        <x:v>116</x:v>
      </x:c>
      <x:c r="E69" s="49" t="s">
        <x:v>387</x:v>
      </x:c>
      <x:c r="F69" s="49" t="s">
        <x:v>390</x:v>
      </x:c>
      <x:c r="G69" s="60">
        <x:v>0.88</x:v>
      </x:c>
      <x:c r="H69" s="60">
        <x:v>0.75</x:v>
      </x:c>
      <x:c r="I69" s="60">
        <x:v>1.01</x:v>
      </x:c>
      <x:c r="J69" s="49" t="s">
        <x:v>391</x:v>
      </x:c>
      <x:c r="K69" s="49" t="s">
        <x:v>132</x:v>
      </x:c>
      <x:c r="L69" s="49" t="s">
        <x:v>392</x:v>
      </x:c>
      <x:c r="M69" s="61">
        <x:v>0.604</x:v>
      </x:c>
      <x:c r="N69" s="49" t="s">
        <x:v>96</x:v>
      </x:c>
      <x:c r="O69" s="49" t="s">
        <x:v>231</x:v>
      </x:c>
      <x:c r="P69" s="49" t="s">
        <x:v>30</x:v>
      </x:c>
      <x:c r="Q69" s="49" t="s">
        <x:v>20</x:v>
      </x:c>
      <x:c r="R69" s="50">
        <x:v>1.01</x:v>
      </x:c>
      <x:c r="S69" s="50">
        <x:f t="shared" si="8"/>
        <x:v>-0.5</x:v>
      </x:c>
      <x:c r="T69" s="49" t="s">
        <x:v>98</x:v>
      </x:c>
      <x:c r="U69" s="49" t="str">
        <x:f t="shared" si="6"/>
        <x:v>半红</x:v>
      </x:c>
      <x:c r="V69" s="50">
        <x:f t="shared" si="7"/>
        <x:v>0.88</x:v>
      </x:c>
      <x:c r="W69" s="50">
        <x:f t="shared" si="9"/>
        <x:v>0.44</x:v>
      </x:c>
      <x:c r="X69" s="57">
        <x:v>0.97</x:v>
      </x:c>
      <x:c r="Y69" s="57">
        <x:v>1</x:v>
      </x:c>
      <x:c r="Z69" s="57">
        <x:v>0.91</x:v>
      </x:c>
      <x:c r="AA69" s="57">
        <x:v>1</x:v>
      </x:c>
      <x:c r="AB69" s="57">
        <x:v>0.91</x:v>
      </x:c>
      <x:c r="AC69" s="57">
        <x:v>1.01</x:v>
      </x:c>
      <x:c r="AD69" s="57">
        <x:v>1.61</x:v>
      </x:c>
      <x:c r="AE69" s="57">
        <x:v>4.2</x:v>
      </x:c>
      <x:c r="AF69" s="57">
        <x:v>4.53</x:v>
      </x:c>
      <x:c r="AG69" s="58">
        <x:v>0.0799638023939779</x:v>
      </x:c>
      <x:c r="AH69" s="58">
        <x:v>0.0299638023939779</x:v>
      </x:c>
      <x:c r="AI69" s="58">
        <x:v>0.575128546943439</x:v>
      </x:c>
      <x:c r="AJ69" s="58">
        <x:v>0.220465942994985</x:v>
      </x:c>
      <x:c r="AK69" s="58">
        <x:v>0.204405510061576</x:v>
      </x:c>
      <x:c r="AL69" s="57">
        <x:v>1.91</x:v>
      </x:c>
      <x:c r="AM69" s="57">
        <x:v>1.05</x:v>
      </x:c>
      <x:c r="AN69" s="57">
        <x:v>0.000588164270235837</x:v>
      </x:c>
      <x:c r="AO69" s="57">
        <x:v>1.07017294768145</x:v>
      </x:c>
      <x:c r="AP69" s="57">
        <x:v>-0.0601729476814497</x:v>
      </x:c>
      <x:c r="AQ69" s="59" t="s">
        <x:v>289</x:v>
      </x:c>
      <x:c r="AR69" s="57">
        <x:v>0.75</x:v>
      </x:c>
      <x:c r="AS69" s="57">
        <x:v>0.425681213329783</x:v>
      </x:c>
      <x:c r="AT69" s="57">
        <x:v>0.45555251884175</x:v>
      </x:c>
      <x:c r="AU69" s="57">
        <x:v>1.67</x:v>
      </x:c>
      <x:c r="AV69" s="57">
        <x:v>4.19</x:v>
      </x:c>
      <x:c r="AW69" s="57">
        <x:v>4.26</x:v>
      </x:c>
      <x:c r="AX69" s="59" t="s">
        <x:v>100</x:v>
      </x:c>
      <x:c r="AY69" s="59" t="s">
        <x:v>101</x:v>
      </x:c>
    </x:row>
    <x:row r="70" ht="22" customHeight="1">
      <x:c r="A70" s="49" t="s">
        <x:v>237</x:v>
      </x:c>
      <x:c r="B70" s="49" t="s">
        <x:v>386</x:v>
      </x:c>
      <x:c r="C70" s="49" t="s">
        <x:v>89</x:v>
      </x:c>
      <x:c r="D70" s="49" t="s">
        <x:v>90</x:v>
      </x:c>
      <x:c r="E70" s="49" t="s">
        <x:v>103</x:v>
      </x:c>
      <x:c r="F70" s="49" t="s">
        <x:v>393</x:v>
      </x:c>
      <x:c r="G70" s="60">
        <x:v>0.89</x:v>
      </x:c>
      <x:c r="H70" s="60">
        <x:v>2.25</x:v>
      </x:c>
      <x:c r="I70" s="60">
        <x:v>0.93</x:v>
      </x:c>
      <x:c r="J70" s="49" t="s">
        <x:v>394</x:v>
      </x:c>
      <x:c r="K70" s="49" t="s">
        <x:v>132</x:v>
      </x:c>
      <x:c r="L70" s="49" t="s">
        <x:v>395</x:v>
      </x:c>
      <x:c r="M70" s="61">
        <x:v>0.604</x:v>
      </x:c>
      <x:c r="N70" s="49" t="s">
        <x:v>96</x:v>
      </x:c>
      <x:c r="O70" s="49" t="s">
        <x:v>126</x:v>
      </x:c>
      <x:c r="P70" s="49" t="s">
        <x:v>30</x:v>
      </x:c>
      <x:c r="Q70" s="49" t="s">
        <x:v>11</x:v>
      </x:c>
      <x:c r="R70" s="50">
        <x:v>0.93</x:v>
      </x:c>
      <x:c r="S70" s="50">
        <x:f t="shared" si="8"/>
        <x:v>0.93</x:v>
      </x:c>
      <x:c r="T70" s="49" t="s">
        <x:v>98</x:v>
      </x:c>
      <x:c r="U70" s="49" t="str">
        <x:f t="shared" si="6"/>
        <x:v>黑</x:v>
      </x:c>
      <x:c r="V70" s="50">
        <x:f t="shared" si="7"/>
        <x:v>0.89</x:v>
      </x:c>
      <x:c r="W70" s="50">
        <x:f t="shared" si="9"/>
        <x:v>-1</x:v>
      </x:c>
      <x:c r="X70" s="57">
        <x:v>0.9</x:v>
      </x:c>
      <x:c r="Y70" s="57">
        <x:v>2.5</x:v>
      </x:c>
      <x:c r="Z70" s="57">
        <x:v>0.8</x:v>
      </x:c>
      <x:c r="AA70" s="57">
        <x:v>2.5</x:v>
      </x:c>
      <x:c r="AB70" s="57">
        <x:v>0.8</x:v>
      </x:c>
      <x:c r="AC70" s="57">
        <x:v>0.93</x:v>
      </x:c>
      <x:c r="AD70" s="57">
        <x:v>1.09</x:v>
      </x:c>
      <x:c r="AE70" s="57">
        <x:v>8.3</x:v>
      </x:c>
      <x:c r="AF70" s="57">
        <x:v>16.59</x:v>
      </x:c>
      <x:c r="AG70" s="58">
        <x:v>0.0981903958385426</x:v>
      </x:c>
      <x:c r="AH70" s="58">
        <x:v>0.0481903958385426</x:v>
      </x:c>
      <x:c r="AI70" s="58">
        <x:v>0.835402673468137</x:v>
      </x:c>
      <x:c r="AJ70" s="58">
        <x:v>0.109709507720514</x:v>
      </x:c>
      <x:c r="AK70" s="58">
        <x:v>0.0548878188113484</x:v>
      </x:c>
      <x:c r="AL70" s="57">
        <x:v>3</x:v>
      </x:c>
      <x:c r="AM70" s="57">
        <x:v>0.68</x:v>
      </x:c>
      <x:c r="AN70" s="57">
        <x:v>0.000254162454959781</x:v>
      </x:c>
      <x:c r="AO70" s="57">
        <x:v>0.96087807646976</x:v>
      </x:c>
      <x:c r="AP70" s="57">
        <x:v>-0.0308780764697599</x:v>
      </x:c>
      <x:c r="AQ70" s="59" t="s">
        <x:v>174</x:v>
      </x:c>
      <x:c r="AR70" s="57">
        <x:v>2.25</x:v>
      </x:c>
      <x:c r="AS70" s="57">
        <x:v>0.455589604571565</x:v>
      </x:c>
      <x:c r="AT70" s="57">
        <x:v>0.437766062900344</x:v>
      </x:c>
      <x:c r="AU70" s="57">
        <x:v>1.08</x:v>
      </x:c>
      <x:c r="AV70" s="57">
        <x:v>8.88</x:v>
      </x:c>
      <x:c r="AW70" s="57">
        <x:v>16.87</x:v>
      </x:c>
      <x:c r="AX70" s="59" t="s">
        <x:v>100</x:v>
      </x:c>
      <x:c r="AY70" s="59" t="s">
        <x:v>101</x:v>
      </x:c>
    </x:row>
    <x:row r="71" ht="22" customHeight="1">
      <x:c r="A71" s="49" t="s">
        <x:v>237</x:v>
      </x:c>
      <x:c r="B71" s="49" t="s">
        <x:v>386</x:v>
      </x:c>
      <x:c r="C71" s="49" t="s">
        <x:v>89</x:v>
      </x:c>
      <x:c r="D71" s="49" t="s">
        <x:v>90</x:v>
      </x:c>
      <x:c r="E71" s="49" t="s">
        <x:v>91</x:v>
      </x:c>
      <x:c r="F71" s="49" t="s">
        <x:v>396</x:v>
      </x:c>
      <x:c r="G71" s="60">
        <x:v>0.82</x:v>
      </x:c>
      <x:c r="H71" s="60">
        <x:v>0</x:v>
      </x:c>
      <x:c r="I71" s="60">
        <x:v>1</x:v>
      </x:c>
      <x:c r="J71" s="49" t="s">
        <x:v>397</x:v>
      </x:c>
      <x:c r="K71" s="49" t="s">
        <x:v>132</x:v>
      </x:c>
      <x:c r="L71" s="49" t="s">
        <x:v>398</x:v>
      </x:c>
      <x:c r="M71" s="61">
        <x:v>0.604</x:v>
      </x:c>
      <x:c r="N71" s="49" t="s">
        <x:v>96</x:v>
      </x:c>
      <x:c r="O71" s="49" t="s">
        <x:v>367</x:v>
      </x:c>
      <x:c r="P71" s="49" t="s">
        <x:v>30</x:v>
      </x:c>
      <x:c r="Q71" s="49" t="s">
        <x:v>23</x:v>
      </x:c>
      <x:c r="R71" s="50">
        <x:v>0.82</x:v>
      </x:c>
      <x:c r="S71" s="50">
        <x:f t="shared" si="8"/>
        <x:v>-1</x:v>
      </x:c>
      <x:c r="T71" s="49" t="s">
        <x:v>98</x:v>
      </x:c>
      <x:c r="U71" s="49" t="str">
        <x:f t="shared" si="6"/>
        <x:v>红</x:v>
      </x:c>
      <x:c r="V71" s="50">
        <x:f t="shared" si="7"/>
        <x:v>1</x:v>
      </x:c>
      <x:c r="W71" s="50">
        <x:f t="shared" si="9"/>
        <x:v>1</x:v>
      </x:c>
      <x:c r="X71" s="57">
        <x:v>0.93</x:v>
      </x:c>
      <x:c r="Y71" s="57">
        <x:v>0.25</x:v>
      </x:c>
      <x:c r="Z71" s="57">
        <x:v>0.77</x:v>
      </x:c>
      <x:c r="AA71" s="57">
        <x:v>-0.25</x:v>
      </x:c>
      <x:c r="AB71" s="57">
        <x:v>0.93</x:v>
      </x:c>
      <x:c r="AC71" s="57">
        <x:v>0.82</x:v>
      </x:c>
      <x:c r="AD71" s="57">
        <x:v>2.71</x:v>
      </x:c>
      <x:c r="AE71" s="57">
        <x:v>3.06</x:v>
      </x:c>
      <x:c r="AF71" s="57">
        <x:v>2.42</x:v>
      </x:c>
      <x:c r="AG71" s="58">
        <x:v>0.109024216153683</x:v>
      </x:c>
      <x:c r="AH71" s="58">
        <x:v>0.0590242161536832</x:v>
      </x:c>
      <x:c r="AI71" s="58">
        <x:v>0.332728253055356</x:v>
      </x:c>
      <x:c r="AJ71" s="58">
        <x:v>0.294671099928109</x:v>
      </x:c>
      <x:c r="AK71" s="58">
        <x:v>0.372600647016535</x:v>
      </x:c>
      <x:c r="AL71" s="57">
        <x:v>1.04</x:v>
      </x:c>
      <x:c r="AM71" s="57">
        <x:v>1.12</x:v>
      </x:c>
      <x:c r="AN71" s="57">
        <x:v>0.000427183333213393</x:v>
      </x:c>
      <x:c r="AO71" s="57">
        <x:v>1.12198317436</x:v>
      </x:c>
      <x:c r="AP71" s="57">
        <x:v>-0.301983174360004</x:v>
      </x:c>
      <x:c r="AQ71" s="59" t="s">
        <x:v>150</x:v>
      </x:c>
      <x:c r="AR71" s="57">
        <x:v>0</x:v>
      </x:c>
      <x:c r="AS71" s="57">
        <x:v>0.332603087721367</x:v>
      </x:c>
      <x:c r="AT71" s="57">
        <x:v>0.373175068163558</x:v>
      </x:c>
      <x:c r="AU71" s="57">
        <x:v>2.37</x:v>
      </x:c>
      <x:c r="AV71" s="57">
        <x:v>3.14</x:v>
      </x:c>
      <x:c r="AW71" s="57">
        <x:v>2.76</x:v>
      </x:c>
      <x:c r="AX71" s="59" t="s">
        <x:v>100</x:v>
      </x:c>
      <x:c r="AY71" s="59" t="s">
        <x:v>101</x:v>
      </x:c>
    </x:row>
    <x:row r="72" ht="22" customHeight="1">
      <x:c r="A72" s="49" t="s">
        <x:v>237</x:v>
      </x:c>
      <x:c r="B72" s="49" t="s">
        <x:v>399</x:v>
      </x:c>
      <x:c r="C72" s="49" t="s">
        <x:v>333</x:v>
      </x:c>
      <x:c r="D72" s="49" t="s">
        <x:v>116</x:v>
      </x:c>
      <x:c r="E72" s="49" t="s">
        <x:v>145</x:v>
      </x:c>
      <x:c r="F72" s="49" t="s">
        <x:v>400</x:v>
      </x:c>
      <x:c r="G72" s="60">
        <x:v>0.83</x:v>
      </x:c>
      <x:c r="H72" s="60">
        <x:v>0.25</x:v>
      </x:c>
      <x:c r="I72" s="60">
        <x:v>1.05</x:v>
      </x:c>
      <x:c r="J72" s="49" t="s">
        <x:v>401</x:v>
      </x:c>
      <x:c r="K72" s="49" t="s">
        <x:v>106</x:v>
      </x:c>
      <x:c r="L72" s="49" t="s">
        <x:v>402</x:v>
      </x:c>
      <x:c r="M72" s="61">
        <x:v>0.596</x:v>
      </x:c>
      <x:c r="N72" s="49" t="s">
        <x:v>96</x:v>
      </x:c>
      <x:c r="O72" s="49" t="s">
        <x:v>231</x:v>
      </x:c>
      <x:c r="P72" s="49" t="s">
        <x:v>30</x:v>
      </x:c>
      <x:c r="Q72" s="49" t="s">
        <x:v>11</x:v>
      </x:c>
      <x:c r="R72" s="50">
        <x:v>0.83</x:v>
      </x:c>
      <x:c r="S72" s="50">
        <x:f t="shared" si="8"/>
        <x:v>0.83</x:v>
      </x:c>
      <x:c r="T72" s="49" t="s">
        <x:v>98</x:v>
      </x:c>
      <x:c r="U72" s="49" t="str">
        <x:f t="shared" si="6"/>
        <x:v>黑</x:v>
      </x:c>
      <x:c r="V72" s="50">
        <x:f t="shared" si="7"/>
        <x:v>1.05</x:v>
      </x:c>
      <x:c r="W72" s="50">
        <x:f t="shared" si="9"/>
        <x:v>-1</x:v>
      </x:c>
      <x:c r="X72" s="57">
        <x:v>0.98</x:v>
      </x:c>
      <x:c r="Y72" s="57">
        <x:v>0.25</x:v>
      </x:c>
      <x:c r="Z72" s="57">
        <x:v>0.84</x:v>
      </x:c>
      <x:c r="AA72" s="57">
        <x:v>-0.25</x:v>
      </x:c>
      <x:c r="AB72" s="57">
        <x:v>0.98</x:v>
      </x:c>
      <x:c r="AC72" s="57">
        <x:v>0.83</x:v>
      </x:c>
      <x:c r="AD72" s="57">
        <x:v>2.25</x:v>
      </x:c>
      <x:c r="AE72" s="57">
        <x:v>3.4</x:v>
      </x:c>
      <x:c r="AF72" s="57">
        <x:v>2.86</x:v>
      </x:c>
      <x:c r="AG72" s="58">
        <x:v>0.0882124411536176</x:v>
      </x:c>
      <x:c r="AH72" s="58">
        <x:v>0.0382124411536176</x:v>
      </x:c>
      <x:c r="AI72" s="58">
        <x:v>0.408416985173674</x:v>
      </x:c>
      <x:c r="AJ72" s="58">
        <x:v>0.270275946070814</x:v>
      </x:c>
      <x:c r="AK72" s="58">
        <x:v>0.321307068755513</x:v>
      </x:c>
      <x:c r="AL72" s="57">
        <x:v>1.33</x:v>
      </x:c>
      <x:c r="AM72" s="57">
        <x:v>1.15</x:v>
      </x:c>
      <x:c r="AN72" s="57">
        <x:v>0.000511526343826676</x:v>
      </x:c>
      <x:c r="AO72" s="57">
        <x:v>1.12013987181593</x:v>
      </x:c>
      <x:c r="AP72" s="57">
        <x:v>-0.290139871815933</x:v>
      </x:c>
      <x:c r="AQ72" s="59" t="s">
        <x:v>99</x:v>
      </x:c>
      <x:c r="AR72" s="57">
        <x:v>-0.25</x:v>
      </x:c>
      <x:c r="AS72" s="57">
        <x:v>0.407997878108993</x:v>
      </x:c>
      <x:c r="AT72" s="57">
        <x:v>0.45701469088618</x:v>
      </x:c>
      <x:c r="AU72" s="57">
        <x:v>2.17</x:v>
      </x:c>
      <x:c r="AV72" s="57">
        <x:v>3.49</x:v>
      </x:c>
      <x:c r="AW72" s="57">
        <x:v>3.01</x:v>
      </x:c>
      <x:c r="AX72" s="59" t="s">
        <x:v>100</x:v>
      </x:c>
      <x:c r="AY72" s="59" t="s">
        <x:v>101</x:v>
      </x:c>
    </x:row>
    <x:row r="73" ht="22" customHeight="1">
      <x:c r="A73" s="49" t="s">
        <x:v>237</x:v>
      </x:c>
      <x:c r="B73" s="49" t="s">
        <x:v>399</x:v>
      </x:c>
      <x:c r="C73" s="49" t="s">
        <x:v>333</x:v>
      </x:c>
      <x:c r="D73" s="49" t="s">
        <x:v>90</x:v>
      </x:c>
      <x:c r="E73" s="49" t="s">
        <x:v>403</x:v>
      </x:c>
      <x:c r="F73" s="49" t="s">
        <x:v>404</x:v>
      </x:c>
      <x:c r="G73" s="60">
        <x:v>1.02</x:v>
      </x:c>
      <x:c r="H73" s="60">
        <x:v>-4</x:v>
      </x:c>
      <x:c r="I73" s="60">
        <x:v>0.8</x:v>
      </x:c>
      <x:c r="J73" s="49" t="s">
        <x:v>405</x:v>
      </x:c>
      <x:c r="K73" s="49" t="s">
        <x:v>106</x:v>
      </x:c>
      <x:c r="L73" s="49" t="s">
        <x:v>406</x:v>
      </x:c>
      <x:c r="M73" s="61">
        <x:v>0.596</x:v>
      </x:c>
      <x:c r="N73" s="49" t="s">
        <x:v>96</x:v>
      </x:c>
      <x:c r="O73" s="49" t="s">
        <x:v>353</x:v>
      </x:c>
      <x:c r="P73" s="49" t="s">
        <x:v>30</x:v>
      </x:c>
      <x:c r="Q73" s="49" t="s">
        <x:v>23</x:v>
      </x:c>
      <x:c r="R73" s="50">
        <x:v>0.8</x:v>
      </x:c>
      <x:c r="S73" s="50">
        <x:f t="shared" si="8"/>
        <x:v>-1</x:v>
      </x:c>
      <x:c r="T73" s="49" t="s">
        <x:v>98</x:v>
      </x:c>
      <x:c r="U73" s="49" t="str">
        <x:f t="shared" si="6"/>
        <x:v>红</x:v>
      </x:c>
      <x:c r="V73" s="50">
        <x:f t="shared" si="7"/>
        <x:v>1.02</x:v>
      </x:c>
      <x:c r="W73" s="50">
        <x:f t="shared" si="9"/>
        <x:v>1.02</x:v>
      </x:c>
      <x:c r="X73" s="57">
        <x:v>0.85</x:v>
      </x:c>
      <x:c r="Y73" s="57">
        <x:v>-3.75</x:v>
      </x:c>
      <x:c r="Z73" s="57">
        <x:v>0.97</x:v>
      </x:c>
      <x:c r="AA73" s="57">
        <x:v>-3.75</x:v>
      </x:c>
      <x:c r="AB73" s="57">
        <x:v>0.97</x:v>
      </x:c>
      <x:c r="AC73" s="57">
        <x:v>0.8</x:v>
      </x:c>
      <x:c r="AD73" s="57">
        <x:v>33.98</x:v>
      </x:c>
      <x:c r="AE73" s="57">
        <x:v>14.76</x:v>
      </x:c>
      <x:c r="AF73" s="57">
        <x:v>1.03</x:v>
      </x:c>
      <x:c r="AG73" s="58">
        <x:v>0.068053539841558</x:v>
      </x:c>
      <x:c r="AH73" s="58">
        <x:v>0.018053539841558</x:v>
      </x:c>
      <x:c r="AI73" s="58">
        <x:v>0.0275539332338916</x:v>
      </x:c>
      <x:c r="AJ73" s="58">
        <x:v>0.0634337839625771</x:v>
      </x:c>
      <x:c r="AK73" s="58">
        <x:v>0.909012282803531</x:v>
      </x:c>
      <x:c r="AL73" s="57">
        <x:v>0.64</x:v>
      </x:c>
      <x:c r="AM73" s="57">
        <x:v>3.8</x:v>
      </x:c>
      <x:c r="AN73" s="57">
        <x:v>8.16020225448005e-5</x:v>
      </x:c>
      <x:c r="AO73" s="57">
        <x:v>2.37123270238652</x:v>
      </x:c>
      <x:c r="AP73" s="57">
        <x:v>-1.57123270238652</x:v>
      </x:c>
      <x:c r="AQ73" s="59" t="s">
        <x:v>99</x:v>
      </x:c>
      <x:c r="AR73" s="57">
        <x:v>-4</x:v>
      </x:c>
      <x:c r="AS73" s="57">
        <x:v>0.248061751890779</x:v>
      </x:c>
      <x:c r="AT73" s="57">
        <x:v>0.588212138294707</x:v>
      </x:c>
      <x:c r="AU73" s="57">
        <x:v>38.99</x:v>
      </x:c>
      <x:c r="AV73" s="57">
        <x:v>17.93</x:v>
      </x:c>
      <x:c r="AW73" s="57">
        <x:v>1.02</x:v>
      </x:c>
      <x:c r="AX73" s="59" t="s">
        <x:v>100</x:v>
      </x:c>
      <x:c r="AY73" s="59" t="s">
        <x:v>101</x:v>
      </x:c>
    </x:row>
    <x:row r="74" ht="22" customHeight="1">
      <x:c r="A74" s="49" t="s">
        <x:v>237</x:v>
      </x:c>
      <x:c r="B74" s="49" t="s">
        <x:v>399</x:v>
      </x:c>
      <x:c r="C74" s="49" t="s">
        <x:v>333</x:v>
      </x:c>
      <x:c r="D74" s="49" t="s">
        <x:v>116</x:v>
      </x:c>
      <x:c r="E74" s="49" t="s">
        <x:v>145</x:v>
      </x:c>
      <x:c r="F74" s="49" t="s">
        <x:v>407</x:v>
      </x:c>
      <x:c r="G74" s="60">
        <x:v>0.9</x:v>
      </x:c>
      <x:c r="H74" s="60">
        <x:v>0.25</x:v>
      </x:c>
      <x:c r="I74" s="60">
        <x:v>0.98</x:v>
      </x:c>
      <x:c r="J74" s="49" t="s">
        <x:v>408</x:v>
      </x:c>
      <x:c r="K74" s="49" t="s">
        <x:v>132</x:v>
      </x:c>
      <x:c r="L74" s="49" t="s">
        <x:v>409</x:v>
      </x:c>
      <x:c r="M74" s="61">
        <x:v>0.579</x:v>
      </x:c>
      <x:c r="N74" s="49" t="s">
        <x:v>96</x:v>
      </x:c>
      <x:c r="O74" s="49" t="s">
        <x:v>410</x:v>
      </x:c>
      <x:c r="P74" s="49" t="s">
        <x:v>30</x:v>
      </x:c>
      <x:c r="Q74" s="49" t="s">
        <x:v>11</x:v>
      </x:c>
      <x:c r="R74" s="50">
        <x:v>0.9</x:v>
      </x:c>
      <x:c r="S74" s="50">
        <x:f t="shared" si="8"/>
        <x:v>0.9</x:v>
      </x:c>
      <x:c r="T74" s="49" t="s">
        <x:v>98</x:v>
      </x:c>
      <x:c r="U74" s="49" t="str">
        <x:f t="shared" si="6"/>
        <x:v>黑</x:v>
      </x:c>
      <x:c r="V74" s="50">
        <x:f t="shared" si="7"/>
        <x:v>0.98</x:v>
      </x:c>
      <x:c r="W74" s="50">
        <x:f t="shared" si="9"/>
        <x:v>-1</x:v>
      </x:c>
      <x:c r="X74" s="57">
        <x:v>1.02</x:v>
      </x:c>
      <x:c r="Y74" s="57">
        <x:v>0.5</x:v>
      </x:c>
      <x:c r="Z74" s="57">
        <x:v>0.8</x:v>
      </x:c>
      <x:c r="AA74" s="57">
        <x:v>-0.5</x:v>
      </x:c>
      <x:c r="AB74" s="57">
        <x:v>1.02</x:v>
      </x:c>
      <x:c r="AC74" s="57">
        <x:v>0.9</x:v>
      </x:c>
      <x:c r="AD74" s="57">
        <x:v>1.99</x:v>
      </x:c>
      <x:c r="AE74" s="57">
        <x:v>3.3</x:v>
      </x:c>
      <x:c r="AF74" s="57">
        <x:v>3.56</x:v>
      </x:c>
      <x:c r="AG74" s="58">
        <x:v>0.0864417422488677</x:v>
      </x:c>
      <x:c r="AH74" s="58">
        <x:v>0.0364417422488677</x:v>
      </x:c>
      <x:c r="AI74" s="58">
        <x:v>0.462530610959314</x:v>
      </x:c>
      <x:c r="AJ74" s="58">
        <x:v>0.278919974487586</x:v>
      </x:c>
      <x:c r="AK74" s="58">
        <x:v>0.2585494145531</x:v>
      </x:c>
      <x:c r="AL74" s="57">
        <x:v>1.33</x:v>
      </x:c>
      <x:c r="AM74" s="57">
        <x:v>0.92</x:v>
      </x:c>
      <x:c r="AN74" s="57">
        <x:v>0.00066781623615575</x:v>
      </x:c>
      <x:c r="AO74" s="57">
        <x:v>0.863394730608797</x:v>
      </x:c>
      <x:c r="AP74" s="57">
        <x:v>0.0366052693912031</x:v>
      </x:c>
      <x:c r="AQ74" s="59" t="s">
        <x:v>174</x:v>
      </x:c>
      <x:c r="AR74" s="57">
        <x:v>-0.25</x:v>
      </x:c>
      <x:c r="AS74" s="57">
        <x:v>0.461627611616247</x:v>
      </x:c>
      <x:c r="AT74" s="57">
        <x:v>0.398566847372992</x:v>
      </x:c>
      <x:c r="AU74" s="57">
        <x:v>2.09</x:v>
      </x:c>
      <x:c r="AV74" s="57">
        <x:v>3.24</x:v>
      </x:c>
      <x:c r="AW74" s="57">
        <x:v>3.47</x:v>
      </x:c>
      <x:c r="AX74" s="59" t="s">
        <x:v>100</x:v>
      </x:c>
      <x:c r="AY74" s="59" t="s">
        <x:v>101</x:v>
      </x:c>
    </x:row>
    <x:row r="75" ht="22" customHeight="1">
      <x:c r="A75" s="49" t="s">
        <x:v>237</x:v>
      </x:c>
      <x:c r="B75" s="49" t="s">
        <x:v>399</x:v>
      </x:c>
      <x:c r="C75" s="49" t="s">
        <x:v>333</x:v>
      </x:c>
      <x:c r="D75" s="49" t="s">
        <x:v>116</x:v>
      </x:c>
      <x:c r="E75" s="49" t="s">
        <x:v>145</x:v>
      </x:c>
      <x:c r="F75" s="49" t="s">
        <x:v>411</x:v>
      </x:c>
      <x:c r="G75" s="60">
        <x:v>1.09</x:v>
      </x:c>
      <x:c r="H75" s="60">
        <x:v>0.25</x:v>
      </x:c>
      <x:c r="I75" s="60">
        <x:v>0.79</x:v>
      </x:c>
      <x:c r="J75" s="49" t="s">
        <x:v>412</x:v>
      </x:c>
      <x:c r="K75" s="49" t="s">
        <x:v>189</x:v>
      </x:c>
      <x:c r="L75" s="49" t="s">
        <x:v>413</x:v>
      </x:c>
      <x:c r="M75" s="61">
        <x:v>0.551</x:v>
      </x:c>
      <x:c r="N75" s="49" t="s">
        <x:v>96</x:v>
      </x:c>
      <x:c r="O75" s="49" t="s">
        <x:v>197</x:v>
      </x:c>
      <x:c r="P75" s="49" t="s">
        <x:v>30</x:v>
      </x:c>
      <x:c r="Q75" s="49" t="s">
        <x:v>11</x:v>
      </x:c>
      <x:c r="R75" s="50">
        <x:v>1.09</x:v>
      </x:c>
      <x:c r="S75" s="50">
        <x:f t="shared" si="8"/>
        <x:v>1.09</x:v>
      </x:c>
      <x:c r="T75" s="49" t="s">
        <x:v>98</x:v>
      </x:c>
      <x:c r="U75" s="49" t="str">
        <x:f t="shared" si="6"/>
        <x:v>黑</x:v>
      </x:c>
      <x:c r="V75" s="50">
        <x:f t="shared" si="7"/>
        <x:v>0.79</x:v>
      </x:c>
      <x:c r="W75" s="50">
        <x:f t="shared" si="9"/>
        <x:v>-1</x:v>
      </x:c>
      <x:c r="X75" s="57">
        <x:v>0.81</x:v>
      </x:c>
      <x:c r="Y75" s="57">
        <x:v>0</x:v>
      </x:c>
      <x:c r="Z75" s="57">
        <x:v>1.01</x:v>
      </x:c>
      <x:c r="AA75" s="57">
        <x:v>0</x:v>
      </x:c>
      <x:c r="AB75" s="57">
        <x:v>0.81</x:v>
      </x:c>
      <x:c r="AC75" s="57">
        <x:v>1.09</x:v>
      </x:c>
      <x:c r="AD75" s="57">
        <x:v>2.5</x:v>
      </x:c>
      <x:c r="AE75" s="57">
        <x:v>3.25</x:v>
      </x:c>
      <x:c r="AF75" s="57">
        <x:v>2.68</x:v>
      </x:c>
      <x:c r="AG75" s="58">
        <x:v>0.0808266360505168</x:v>
      </x:c>
      <x:c r="AH75" s="58">
        <x:v>0.0308266360505168</x:v>
      </x:c>
      <x:c r="AI75" s="58">
        <x:v>0.370087104312726</x:v>
      </x:c>
      <x:c r="AJ75" s="58">
        <x:v>0.284682387932866</x:v>
      </x:c>
      <x:c r="AK75" s="58">
        <x:v>0.345230507754408</x:v>
      </x:c>
      <x:c r="AL75" s="57">
        <x:v>1.17</x:v>
      </x:c>
      <x:c r="AM75" s="57">
        <x:v>1.12</x:v>
      </x:c>
      <x:c r="AN75" s="57">
        <x:v>0.000264129178387466</x:v>
      </x:c>
      <x:c r="AO75" s="57">
        <x:v>1.31714975266186</x:v>
      </x:c>
      <x:c r="AP75" s="57">
        <x:v>-0.227149752661858</x:v>
      </x:c>
      <x:c r="AQ75" s="59" t="s">
        <x:v>99</x:v>
      </x:c>
      <x:c r="AR75" s="57">
        <x:v>-0.25</x:v>
      </x:c>
      <x:c r="AS75" s="57">
        <x:v>0.370214619411601</x:v>
      </x:c>
      <x:c r="AT75" s="57">
        <x:v>0.487628094389794</x:v>
      </x:c>
      <x:c r="AU75" s="57">
        <x:v>2.37</x:v>
      </x:c>
      <x:c r="AV75" s="57">
        <x:v>3.37</x:v>
      </x:c>
      <x:c r="AW75" s="57">
        <x:v>2.8</x:v>
      </x:c>
      <x:c r="AX75" s="59" t="s">
        <x:v>100</x:v>
      </x:c>
      <x:c r="AY75" s="59" t="s">
        <x:v>101</x:v>
      </x:c>
    </x:row>
    <x:row r="76" ht="22" customHeight="1">
      <x:c r="A76" s="49" t="s">
        <x:v>237</x:v>
      </x:c>
      <x:c r="B76" s="49" t="s">
        <x:v>414</x:v>
      </x:c>
      <x:c r="C76" s="49" t="s">
        <x:v>128</x:v>
      </x:c>
      <x:c r="D76" s="49" t="s">
        <x:v>116</x:v>
      </x:c>
      <x:c r="E76" s="49" t="s">
        <x:v>192</x:v>
      </x:c>
      <x:c r="F76" s="49" t="s">
        <x:v>415</x:v>
      </x:c>
      <x:c r="G76" s="60">
        <x:v>0.77</x:v>
      </x:c>
      <x:c r="H76" s="60">
        <x:v>-0.25</x:v>
      </x:c>
      <x:c r="I76" s="60">
        <x:v>1.05</x:v>
      </x:c>
      <x:c r="J76" s="49" t="s">
        <x:v>416</x:v>
      </x:c>
      <x:c r="K76" s="49" t="s">
        <x:v>189</x:v>
      </x:c>
      <x:c r="L76" s="49" t="s">
        <x:v>417</x:v>
      </x:c>
      <x:c r="M76" s="61">
        <x:v>0.561</x:v>
      </x:c>
      <x:c r="N76" s="49" t="s">
        <x:v>96</x:v>
      </x:c>
      <x:c r="O76" s="49" t="s">
        <x:v>141</x:v>
      </x:c>
      <x:c r="P76" s="49" t="s">
        <x:v>30</x:v>
      </x:c>
      <x:c r="Q76" s="49" t="s">
        <x:v>23</x:v>
      </x:c>
      <x:c r="R76" s="50">
        <x:v>1.05</x:v>
      </x:c>
      <x:c r="S76" s="50">
        <x:f t="shared" si="8"/>
        <x:v>-1</x:v>
      </x:c>
      <x:c r="T76" s="49" t="s">
        <x:v>98</x:v>
      </x:c>
      <x:c r="U76" s="49" t="str">
        <x:f t="shared" si="6"/>
        <x:v>红</x:v>
      </x:c>
      <x:c r="V76" s="50">
        <x:f t="shared" si="7"/>
        <x:v>0.77</x:v>
      </x:c>
      <x:c r="W76" s="50">
        <x:f t="shared" si="9"/>
        <x:v>0.77</x:v>
      </x:c>
      <x:c r="X76" s="57">
        <x:v>0.79</x:v>
      </x:c>
      <x:c r="Y76" s="57">
        <x:v>0</x:v>
      </x:c>
      <x:c r="Z76" s="57">
        <x:v>1.03</x:v>
      </x:c>
      <x:c r="AA76" s="57">
        <x:v>0</x:v>
      </x:c>
      <x:c r="AB76" s="57">
        <x:v>1.03</x:v>
      </x:c>
      <x:c r="AC76" s="57">
        <x:v>1.05</x:v>
      </x:c>
      <x:c r="AD76" s="57">
        <x:v>2.49</x:v>
      </x:c>
      <x:c r="AE76" s="57">
        <x:v>2.98</x:v>
      </x:c>
      <x:c r="AF76" s="57">
        <x:v>2.77</x:v>
      </x:c>
      <x:c r="AG76" s="58">
        <x:v>0.0981877258263788</x:v>
      </x:c>
      <x:c r="AH76" s="58">
        <x:v>0.0481877258263788</x:v>
      </x:c>
      <x:c r="AI76" s="58">
        <x:v>0.365699248186921</x:v>
      </x:c>
      <x:c r="AJ76" s="58">
        <x:v>0.305567492612561</x:v>
      </x:c>
      <x:c r="AK76" s="58">
        <x:v>0.328733259200517</x:v>
      </x:c>
      <x:c r="AL76" s="57">
        <x:v>1.05</x:v>
      </x:c>
      <x:c r="AM76" s="57">
        <x:v>0.98</x:v>
      </x:c>
      <x:c r="AN76" s="57">
        <x:v>0.000225464160215206</x:v>
      </x:c>
      <x:c r="AO76" s="57">
        <x:v>1.57492919120075</x:v>
      </x:c>
      <x:c r="AP76" s="57">
        <x:v>-0.524929191200752</x:v>
      </x:c>
      <x:c r="AQ76" s="59" t="s">
        <x:v>99</x:v>
      </x:c>
      <x:c r="AR76" s="57">
        <x:v>-0.25</x:v>
      </x:c>
      <x:c r="AS76" s="57">
        <x:v>0.329040700134135</x:v>
      </x:c>
      <x:c r="AT76" s="57">
        <x:v>0.518215803734382</x:v>
      </x:c>
      <x:c r="AU76" s="57">
        <x:v>2.79</x:v>
      </x:c>
      <x:c r="AV76" s="57">
        <x:v>2.99</x:v>
      </x:c>
      <x:c r="AW76" s="57">
        <x:v>2.51</x:v>
      </x:c>
      <x:c r="AX76" s="59" t="s">
        <x:v>100</x:v>
      </x:c>
      <x:c r="AY76" s="59" t="s">
        <x:v>101</x:v>
      </x:c>
    </x:row>
    <x:row r="77" ht="22" customHeight="1">
      <x:c r="A77" s="49" t="s">
        <x:v>237</x:v>
      </x:c>
      <x:c r="B77" s="49" t="s">
        <x:v>414</x:v>
      </x:c>
      <x:c r="C77" s="49" t="s">
        <x:v>128</x:v>
      </x:c>
      <x:c r="D77" s="49" t="s">
        <x:v>116</x:v>
      </x:c>
      <x:c r="E77" s="49" t="s">
        <x:v>222</x:v>
      </x:c>
      <x:c r="F77" s="49" t="s">
        <x:v>418</x:v>
      </x:c>
      <x:c r="G77" s="60">
        <x:v>1.03</x:v>
      </x:c>
      <x:c r="H77" s="60">
        <x:v>1.25</x:v>
      </x:c>
      <x:c r="I77" s="60">
        <x:v>0.79</x:v>
      </x:c>
      <x:c r="J77" s="49" t="s">
        <x:v>419</x:v>
      </x:c>
      <x:c r="K77" s="49" t="s">
        <x:v>189</x:v>
      </x:c>
      <x:c r="L77" s="49" t="s">
        <x:v>420</x:v>
      </x:c>
      <x:c r="M77" s="61">
        <x:v>0.561</x:v>
      </x:c>
      <x:c r="N77" s="49" t="s">
        <x:v>96</x:v>
      </x:c>
      <x:c r="O77" s="49" t="s">
        <x:v>421</x:v>
      </x:c>
      <x:c r="P77" s="49" t="s">
        <x:v>30</x:v>
      </x:c>
      <x:c r="Q77" s="49" t="s">
        <x:v>20</x:v>
      </x:c>
      <x:c r="R77" s="50">
        <x:v>1.03</x:v>
      </x:c>
      <x:c r="S77" s="50">
        <x:f t="shared" si="8"/>
        <x:v>-0.5</x:v>
      </x:c>
      <x:c r="T77" s="49" t="s">
        <x:v>98</x:v>
      </x:c>
      <x:c r="U77" s="49" t="str">
        <x:f t="shared" si="6"/>
        <x:v>半红</x:v>
      </x:c>
      <x:c r="V77" s="50">
        <x:f t="shared" si="7"/>
        <x:v>0.79</x:v>
      </x:c>
      <x:c r="W77" s="50">
        <x:f t="shared" si="9"/>
        <x:v>0.395</x:v>
      </x:c>
      <x:c r="X77" s="57">
        <x:v>0.94</x:v>
      </x:c>
      <x:c r="Y77" s="57">
        <x:v>1</x:v>
      </x:c>
      <x:c r="Z77" s="57">
        <x:v>0.88</x:v>
      </x:c>
      <x:c r="AA77" s="57">
        <x:v>-1</x:v>
      </x:c>
      <x:c r="AB77" s="57">
        <x:v>0.94</x:v>
      </x:c>
      <x:c r="AC77" s="57">
        <x:v>1.03</x:v>
      </x:c>
      <x:c r="AD77" s="57">
        <x:v>1.52</x:v>
      </x:c>
      <x:c r="AE77" s="57">
        <x:v>3.71</x:v>
      </x:c>
      <x:c r="AF77" s="57">
        <x:v>5.93</x:v>
      </x:c>
      <x:c r="AG77" s="58">
        <x:v>0.0960705798987909</x:v>
      </x:c>
      <x:c r="AH77" s="58">
        <x:v>0.0460705798987909</x:v>
      </x:c>
      <x:c r="AI77" s="58">
        <x:v>0.600230267016978</x:v>
      </x:c>
      <x:c r="AJ77" s="58">
        <x:v>0.245916443629597</x:v>
      </x:c>
      <x:c r="AK77" s="58">
        <x:v>0.153853289353424</x:v>
      </x:c>
      <x:c r="AL77" s="57">
        <x:v>1.61</x:v>
      </x:c>
      <x:c r="AM77" s="57">
        <x:v>0.67</x:v>
      </x:c>
      <x:c r="AN77" s="57">
        <x:v>0.000568808635323006</x:v>
      </x:c>
      <x:c r="AO77" s="57">
        <x:v>1.62156603408948</x:v>
      </x:c>
      <x:c r="AP77" s="57">
        <x:v>-0.591566034089482</x:v>
      </x:c>
      <x:c r="AQ77" s="59" t="s">
        <x:v>99</x:v>
      </x:c>
      <x:c r="AR77" s="57">
        <x:v>-1.25</x:v>
      </x:c>
      <x:c r="AS77" s="57">
        <x:v>0.329768490227382</x:v>
      </x:c>
      <x:c r="AT77" s="57">
        <x:v>0.534741382865692</x:v>
      </x:c>
      <x:c r="AU77" s="57">
        <x:v>1.44</x:v>
      </x:c>
      <x:c r="AV77" s="57">
        <x:v>4.01</x:v>
      </x:c>
      <x:c r="AW77" s="57">
        <x:v>6.73</x:v>
      </x:c>
      <x:c r="AX77" s="59" t="s">
        <x:v>100</x:v>
      </x:c>
      <x:c r="AY77" s="59" t="s">
        <x:v>101</x:v>
      </x:c>
    </x:row>
    <x:row r="78" ht="22" customHeight="1">
      <x:c r="A78" s="49" t="s">
        <x:v>237</x:v>
      </x:c>
      <x:c r="B78" s="49" t="s">
        <x:v>414</x:v>
      </x:c>
      <x:c r="C78" s="49" t="s">
        <x:v>333</x:v>
      </x:c>
      <x:c r="D78" s="49" t="s">
        <x:v>116</x:v>
      </x:c>
      <x:c r="E78" s="49" t="s">
        <x:v>156</x:v>
      </x:c>
      <x:c r="F78" s="49" t="s">
        <x:v>422</x:v>
      </x:c>
      <x:c r="G78" s="60">
        <x:v>0.8</x:v>
      </x:c>
      <x:c r="H78" s="60">
        <x:v>-0.25</x:v>
      </x:c>
      <x:c r="I78" s="60">
        <x:v>1.08</x:v>
      </x:c>
      <x:c r="J78" s="49" t="s">
        <x:v>423</x:v>
      </x:c>
      <x:c r="K78" s="49" t="s">
        <x:v>189</x:v>
      </x:c>
      <x:c r="L78" s="49" t="s">
        <x:v>424</x:v>
      </x:c>
      <x:c r="M78" s="61">
        <x:v>0.551</x:v>
      </x:c>
      <x:c r="N78" s="49" t="s">
        <x:v>96</x:v>
      </x:c>
      <x:c r="O78" s="49" t="s">
        <x:v>126</x:v>
      </x:c>
      <x:c r="P78" s="49" t="s">
        <x:v>30</x:v>
      </x:c>
      <x:c r="Q78" s="49" t="s">
        <x:v>20</x:v>
      </x:c>
      <x:c r="R78" s="50">
        <x:v>1.08</x:v>
      </x:c>
      <x:c r="S78" s="50">
        <x:f t="shared" si="8"/>
        <x:v>-0.5</x:v>
      </x:c>
      <x:c r="T78" s="49" t="s">
        <x:v>98</x:v>
      </x:c>
      <x:c r="U78" s="49" t="str">
        <x:f t="shared" si="6"/>
        <x:v>半红</x:v>
      </x:c>
      <x:c r="V78" s="50">
        <x:f t="shared" si="7"/>
        <x:v>0.8</x:v>
      </x:c>
      <x:c r="W78" s="50">
        <x:f t="shared" si="9"/>
        <x:v>0.4</x:v>
      </x:c>
      <x:c r="X78" s="57">
        <x:v>0.89</x:v>
      </x:c>
      <x:c r="Y78" s="57">
        <x:v>0</x:v>
      </x:c>
      <x:c r="Z78" s="57">
        <x:v>0.99</x:v>
      </x:c>
      <x:c r="AA78" s="57">
        <x:v>0</x:v>
      </x:c>
      <x:c r="AB78" s="57">
        <x:v>0.99</x:v>
      </x:c>
      <x:c r="AC78" s="57">
        <x:v>1.08</x:v>
      </x:c>
      <x:c r="AD78" s="57">
        <x:v>2.38</x:v>
      </x:c>
      <x:c r="AE78" s="57">
        <x:v>3.45</x:v>
      </x:c>
      <x:c r="AF78" s="57">
        <x:v>2.81</x:v>
      </x:c>
      <x:c r="AG78" s="58">
        <x:v>0.0658950258116553</x:v>
      </x:c>
      <x:c r="AH78" s="58">
        <x:v>0.0158950258116553</x:v>
      </x:c>
      <x:c r="AI78" s="58">
        <x:v>0.394192727287513</x:v>
      </x:c>
      <x:c r="AJ78" s="58">
        <x:v>0.271935852447618</x:v>
      </x:c>
      <x:c r="AK78" s="58">
        <x:v>0.333871420264869</x:v>
      </x:c>
      <x:c r="AL78" s="57">
        <x:v>1.3</x:v>
      </x:c>
      <x:c r="AM78" s="57">
        <x:v>1.17</x:v>
      </x:c>
      <x:c r="AN78" s="57">
        <x:v>0.000916913352706087</x:v>
      </x:c>
      <x:c r="AO78" s="57">
        <x:v>1.5937663008047</x:v>
      </x:c>
      <x:c r="AP78" s="57">
        <x:v>-0.513766300804696</x:v>
      </x:c>
      <x:c r="AQ78" s="59" t="s">
        <x:v>99</x:v>
      </x:c>
      <x:c r="AR78" s="57">
        <x:v>-0.25</x:v>
      </x:c>
      <x:c r="AS78" s="57">
        <x:v>0.333248536082364</x:v>
      </x:c>
      <x:c r="AT78" s="57">
        <x:v>0.53112028660057</x:v>
      </x:c>
      <x:c r="AU78" s="57">
        <x:v>2.78</x:v>
      </x:c>
      <x:c r="AV78" s="57">
        <x:v>3.53</x:v>
      </x:c>
      <x:c r="AW78" s="57">
        <x:v>2.38</x:v>
      </x:c>
      <x:c r="AX78" s="59" t="s">
        <x:v>100</x:v>
      </x:c>
      <x:c r="AY78" s="59" t="s">
        <x:v>101</x:v>
      </x:c>
    </x:row>
    <x:row r="79" ht="22" customHeight="1">
      <x:c r="A79" s="49" t="s">
        <x:v>237</x:v>
      </x:c>
      <x:c r="B79" s="49" t="s">
        <x:v>414</x:v>
      </x:c>
      <x:c r="C79" s="49" t="s">
        <x:v>333</x:v>
      </x:c>
      <x:c r="D79" s="49" t="s">
        <x:v>116</x:v>
      </x:c>
      <x:c r="E79" s="49" t="s">
        <x:v>145</x:v>
      </x:c>
      <x:c r="F79" s="49" t="s">
        <x:v>425</x:v>
      </x:c>
      <x:c r="G79" s="60">
        <x:v>1.03</x:v>
      </x:c>
      <x:c r="H79" s="60">
        <x:v>0.5</x:v>
      </x:c>
      <x:c r="I79" s="60">
        <x:v>0.85</x:v>
      </x:c>
      <x:c r="J79" s="49" t="s">
        <x:v>426</x:v>
      </x:c>
      <x:c r="K79" s="49" t="s">
        <x:v>189</x:v>
      </x:c>
      <x:c r="L79" s="49" t="s">
        <x:v>427</x:v>
      </x:c>
      <x:c r="M79" s="61">
        <x:v>0.551</x:v>
      </x:c>
      <x:c r="N79" s="49" t="s">
        <x:v>96</x:v>
      </x:c>
      <x:c r="O79" s="49" t="s">
        <x:v>317</x:v>
      </x:c>
      <x:c r="P79" s="49" t="s">
        <x:v>30</x:v>
      </x:c>
      <x:c r="Q79" s="49" t="s">
        <x:v>11</x:v>
      </x:c>
      <x:c r="R79" s="50">
        <x:v>1.03</x:v>
      </x:c>
      <x:c r="S79" s="50">
        <x:f t="shared" si="8"/>
        <x:v>1.03</x:v>
      </x:c>
      <x:c r="T79" s="49" t="s">
        <x:v>98</x:v>
      </x:c>
      <x:c r="U79" s="49" t="str">
        <x:f t="shared" si="6"/>
        <x:v>黑</x:v>
      </x:c>
      <x:c r="V79" s="50">
        <x:f t="shared" si="7"/>
        <x:v>0.85</x:v>
      </x:c>
      <x:c r="W79" s="50">
        <x:f t="shared" si="9"/>
        <x:v>-1</x:v>
      </x:c>
      <x:c r="X79" s="57">
        <x:v>0.84</x:v>
      </x:c>
      <x:c r="Y79" s="57">
        <x:v>0.25</x:v>
      </x:c>
      <x:c r="Z79" s="57">
        <x:v>0.98</x:v>
      </x:c>
      <x:c r="AA79" s="57">
        <x:v>-0.25</x:v>
      </x:c>
      <x:c r="AB79" s="57">
        <x:v>0.84</x:v>
      </x:c>
      <x:c r="AC79" s="57">
        <x:v>1.03</x:v>
      </x:c>
      <x:c r="AD79" s="57">
        <x:v>2.17</x:v>
      </x:c>
      <x:c r="AE79" s="57">
        <x:v>3.36</x:v>
      </x:c>
      <x:c r="AF79" s="57">
        <x:v>3.04</x:v>
      </x:c>
      <x:c r="AG79" s="58">
        <x:v>0.0873959091276579</x:v>
      </x:c>
      <x:c r="AH79" s="58">
        <x:v>0.0373959091276579</x:v>
      </x:c>
      <x:c r="AI79" s="58">
        <x:v>0.423791821561338</x:v>
      </x:c>
      <x:c r="AJ79" s="58">
        <x:v>0.273698884758364</x:v>
      </x:c>
      <x:c r="AK79" s="58">
        <x:v>0.302509293680297</x:v>
      </x:c>
      <x:c r="AL79" s="57">
        <x:v>1.33</x:v>
      </x:c>
      <x:c r="AM79" s="57">
        <x:v>1.08</x:v>
      </x:c>
      <x:c r="AN79" s="57">
        <x:v>0.000390329764666895</x:v>
      </x:c>
      <x:c r="AO79" s="57">
        <x:v>1.35995933083995</x:v>
      </x:c>
      <x:c r="AP79" s="57">
        <x:v>-0.329959330839949</x:v>
      </x:c>
      <x:c r="AQ79" s="59" t="s">
        <x:v>99</x:v>
      </x:c>
      <x:c r="AR79" s="57">
        <x:v>-0.5</x:v>
      </x:c>
      <x:c r="AS79" s="57">
        <x:v>0.423736115674537</x:v>
      </x:c>
      <x:c r="AT79" s="57">
        <x:v>0.576263884325463</x:v>
      </x:c>
      <x:c r="AU79" s="57">
        <x:v>2.02</x:v>
      </x:c>
      <x:c r="AV79" s="57">
        <x:v>3.56</x:v>
      </x:c>
      <x:c r="AW79" s="57">
        <x:v>3.34</x:v>
      </x:c>
      <x:c r="AX79" s="59" t="s">
        <x:v>100</x:v>
      </x:c>
      <x:c r="AY79" s="59" t="s">
        <x:v>101</x:v>
      </x:c>
    </x:row>
    <x:row r="80" ht="22" customHeight="1">
      <x:c r="A80" s="49" t="s">
        <x:v>237</x:v>
      </x:c>
      <x:c r="B80" s="49" t="s">
        <x:v>428</x:v>
      </x:c>
      <x:c r="C80" s="49" t="s">
        <x:v>89</x:v>
      </x:c>
      <x:c r="D80" s="49" t="s">
        <x:v>90</x:v>
      </x:c>
      <x:c r="E80" s="49" t="s">
        <x:v>295</x:v>
      </x:c>
      <x:c r="F80" s="49" t="s">
        <x:v>429</x:v>
      </x:c>
      <x:c r="G80" s="60">
        <x:v>0.8</x:v>
      </x:c>
      <x:c r="H80" s="60">
        <x:v>1.25</x:v>
      </x:c>
      <x:c r="I80" s="60">
        <x:v>1.02</x:v>
      </x:c>
      <x:c r="J80" s="49" t="s">
        <x:v>430</x:v>
      </x:c>
      <x:c r="K80" s="49" t="s">
        <x:v>106</x:v>
      </x:c>
      <x:c r="L80" s="49" t="s">
        <x:v>431</x:v>
      </x:c>
      <x:c r="M80" s="61">
        <x:v>0.607</x:v>
      </x:c>
      <x:c r="N80" s="49" t="s">
        <x:v>96</x:v>
      </x:c>
      <x:c r="O80" s="49" t="s">
        <x:v>149</x:v>
      </x:c>
      <x:c r="P80" s="49" t="s">
        <x:v>30</x:v>
      </x:c>
      <x:c r="Q80" s="49" t="s">
        <x:v>23</x:v>
      </x:c>
      <x:c r="R80" s="50">
        <x:v>0.8</x:v>
      </x:c>
      <x:c r="S80" s="50">
        <x:f t="shared" si="8"/>
        <x:v>-1</x:v>
      </x:c>
      <x:c r="T80" s="49" t="s">
        <x:v>98</x:v>
      </x:c>
      <x:c r="U80" s="49" t="str">
        <x:f t="shared" si="6"/>
        <x:v>红</x:v>
      </x:c>
      <x:c r="V80" s="50">
        <x:f t="shared" si="7"/>
        <x:v>1.02</x:v>
      </x:c>
      <x:c r="W80" s="50">
        <x:f t="shared" si="9"/>
        <x:v>1.02</x:v>
      </x:c>
      <x:c r="X80" s="57">
        <x:v>0.8</x:v>
      </x:c>
      <x:c r="Y80" s="57">
        <x:v>1.25</x:v>
      </x:c>
      <x:c r="Z80" s="57">
        <x:v>1.02</x:v>
      </x:c>
      <x:c r="AA80" s="57">
        <x:v>-1.25</x:v>
      </x:c>
      <x:c r="AB80" s="57">
        <x:v>0.8</x:v>
      </x:c>
      <x:c r="AC80" s="57">
        <x:v>0.8</x:v>
      </x:c>
      <x:c r="AD80" s="57">
        <x:v>1.4</x:v>
      </x:c>
      <x:c r="AE80" s="57">
        <x:v>4.22</x:v>
      </x:c>
      <x:c r="AF80" s="57">
        <x:v>6.68</x:v>
      </x:c>
      <x:c r="AG80" s="58">
        <x:v>0.100953137732659</x:v>
      </x:c>
      <x:c r="AH80" s="58">
        <x:v>0.0509531377326594</x:v>
      </x:c>
      <x:c r="AI80" s="58">
        <x:v>0.648788481366917</x:v>
      </x:c>
      <x:c r="AJ80" s="58">
        <x:v>0.215237884813669</x:v>
      </x:c>
      <x:c r="AK80" s="58">
        <x:v>0.135973633819414</x:v>
      </x:c>
      <x:c r="AL80" s="57">
        <x:v>1.88</x:v>
      </x:c>
      <x:c r="AM80" s="57">
        <x:v>0.72</x:v>
      </x:c>
      <x:c r="AN80" s="57">
        <x:v>0.000655599080593744</x:v>
      </x:c>
      <x:c r="AO80" s="57">
        <x:v>1.22459269651496</x:v>
      </x:c>
      <x:c r="AP80" s="57">
        <x:v>-0.424592696514956</x:v>
      </x:c>
      <x:c r="AQ80" s="59" t="s">
        <x:v>99</x:v>
      </x:c>
      <x:c r="AR80" s="57">
        <x:v>-1.25</x:v>
      </x:c>
      <x:c r="AS80" s="57">
        <x:v>0.391524625225678</x:v>
      </x:c>
      <x:c r="AT80" s="57">
        <x:v>0.47945819655712</x:v>
      </x:c>
      <x:c r="AU80" s="57">
        <x:v>1.38</x:v>
      </x:c>
      <x:c r="AV80" s="57">
        <x:v>4.23</x:v>
      </x:c>
      <x:c r="AW80" s="57">
        <x:v>7.6</x:v>
      </x:c>
      <x:c r="AX80" s="59" t="s">
        <x:v>100</x:v>
      </x:c>
      <x:c r="AY80" s="59" t="s">
        <x:v>101</x:v>
      </x:c>
    </x:row>
    <x:row r="81" ht="22" customHeight="1">
      <x:c r="A81" s="49" t="s">
        <x:v>237</x:v>
      </x:c>
      <x:c r="B81" s="49" t="s">
        <x:v>432</x:v>
      </x:c>
      <x:c r="C81" s="49" t="s">
        <x:v>128</x:v>
      </x:c>
      <x:c r="D81" s="49" t="s">
        <x:v>116</x:v>
      </x:c>
      <x:c r="E81" s="49" t="s">
        <x:v>222</x:v>
      </x:c>
      <x:c r="F81" s="49" t="s">
        <x:v>433</x:v>
      </x:c>
      <x:c r="G81" s="60">
        <x:v>0.83</x:v>
      </x:c>
      <x:c r="H81" s="60">
        <x:v>0.75</x:v>
      </x:c>
      <x:c r="I81" s="60">
        <x:v>0.99</x:v>
      </x:c>
      <x:c r="J81" s="49" t="s">
        <x:v>434</x:v>
      </x:c>
      <x:c r="K81" s="49" t="s">
        <x:v>106</x:v>
      </x:c>
      <x:c r="L81" s="49" t="s">
        <x:v>435</x:v>
      </x:c>
      <x:c r="M81" s="61">
        <x:v>0.601</x:v>
      </x:c>
      <x:c r="N81" s="49" t="s">
        <x:v>96</x:v>
      </x:c>
      <x:c r="O81" s="49" t="s">
        <x:v>201</x:v>
      </x:c>
      <x:c r="P81" s="49" t="s">
        <x:v>30</x:v>
      </x:c>
      <x:c r="Q81" s="49" t="s">
        <x:v>14</x:v>
      </x:c>
      <x:c r="R81" s="50">
        <x:v>0.83</x:v>
      </x:c>
      <x:c r="S81" s="50">
        <x:f t="shared" si="8"/>
        <x:v>0.415</x:v>
      </x:c>
      <x:c r="T81" s="49" t="s">
        <x:v>98</x:v>
      </x:c>
      <x:c r="U81" s="49" t="str">
        <x:f t="shared" si="6"/>
        <x:v>半黑</x:v>
      </x:c>
      <x:c r="V81" s="50">
        <x:f t="shared" si="7"/>
        <x:v>0.99</x:v>
      </x:c>
      <x:c r="W81" s="50">
        <x:f t="shared" si="9"/>
        <x:v>-0.5</x:v>
      </x:c>
      <x:c r="X81" s="57">
        <x:v>0.83</x:v>
      </x:c>
      <x:c r="Y81" s="57">
        <x:v>0.5</x:v>
      </x:c>
      <x:c r="Z81" s="57">
        <x:v>0.99</x:v>
      </x:c>
      <x:c r="AA81" s="57">
        <x:v>-0.5</x:v>
      </x:c>
      <x:c r="AB81" s="57">
        <x:v>0.83</x:v>
      </x:c>
      <x:c r="AC81" s="57">
        <x:v>0.83</x:v>
      </x:c>
      <x:c r="AD81" s="57">
        <x:v>1.77</x:v>
      </x:c>
      <x:c r="AE81" s="57">
        <x:v>3.28</x:v>
      </x:c>
      <x:c r="AF81" s="57">
        <x:v>4.37</x:v>
      </x:c>
      <x:c r="AG81" s="58">
        <x:v>0.0986827521379972</x:v>
      </x:c>
      <x:c r="AH81" s="58">
        <x:v>0.0486827521379972</x:v>
      </x:c>
      <x:c r="AI81" s="58">
        <x:v>0.514226468298528</x:v>
      </x:c>
      <x:c r="AJ81" s="58">
        <x:v>0.277494161246462</x:v>
      </x:c>
      <x:c r="AK81" s="58">
        <x:v>0.20827937045501</x:v>
      </x:c>
      <x:c r="AL81" s="57">
        <x:v>1.38</x:v>
      </x:c>
      <x:c r="AM81" s="57">
        <x:v>0.77</x:v>
      </x:c>
      <x:c r="AN81" s="57">
        <x:v>0.00054537956492208</x:v>
      </x:c>
      <x:c r="AO81" s="57">
        <x:v>1.27196204405247</x:v>
      </x:c>
      <x:c r="AP81" s="57">
        <x:v>-0.441962044052469</x:v>
      </x:c>
      <x:c r="AQ81" s="59" t="s">
        <x:v>99</x:v>
      </x:c>
      <x:c r="AR81" s="57">
        <x:v>-0.75</x:v>
      </x:c>
      <x:c r="AS81" s="57">
        <x:v>0.382336487026171</x:v>
      </x:c>
      <x:c r="AT81" s="57">
        <x:v>0.486317499553649</x:v>
      </x:c>
      <x:c r="AU81" s="57">
        <x:v>1.63</x:v>
      </x:c>
      <x:c r="AV81" s="57">
        <x:v>3.51</x:v>
      </x:c>
      <x:c r="AW81" s="57">
        <x:v>5.23</x:v>
      </x:c>
      <x:c r="AX81" s="59" t="s">
        <x:v>100</x:v>
      </x:c>
      <x:c r="AY81" s="59" t="s">
        <x:v>101</x:v>
      </x:c>
    </x:row>
    <x:row r="82" ht="22" customHeight="1">
      <x:c r="A82" s="49" t="s">
        <x:v>237</x:v>
      </x:c>
      <x:c r="B82" s="49" t="s">
        <x:v>436</x:v>
      </x:c>
      <x:c r="C82" s="49" t="s">
        <x:v>128</x:v>
      </x:c>
      <x:c r="D82" s="49" t="s">
        <x:v>116</x:v>
      </x:c>
      <x:c r="E82" s="49" t="s">
        <x:v>437</x:v>
      </x:c>
      <x:c r="F82" s="49" t="s">
        <x:v>438</x:v>
      </x:c>
      <x:c r="G82" s="60">
        <x:v>1.09</x:v>
      </x:c>
      <x:c r="H82" s="60">
        <x:v>1</x:v>
      </x:c>
      <x:c r="I82" s="60">
        <x:v>0.8</x:v>
      </x:c>
      <x:c r="J82" s="49" t="s">
        <x:v>439</x:v>
      </x:c>
      <x:c r="K82" s="49" t="s">
        <x:v>189</x:v>
      </x:c>
      <x:c r="L82" s="49" t="s">
        <x:v>440</x:v>
      </x:c>
      <x:c r="M82" s="61">
        <x:v>0.561</x:v>
      </x:c>
      <x:c r="N82" s="49" t="s">
        <x:v>96</x:v>
      </x:c>
      <x:c r="O82" s="49" t="s">
        <x:v>201</x:v>
      </x:c>
      <x:c r="P82" s="49" t="s">
        <x:v>30</x:v>
      </x:c>
      <x:c r="Q82" s="49" t="s">
        <x:v>17</x:v>
      </x:c>
      <x:c r="R82" s="50">
        <x:v>1.09</x:v>
      </x:c>
      <x:c r="S82" s="50">
        <x:f t="shared" si="8"/>
        <x:v>0</x:v>
      </x:c>
      <x:c r="T82" s="49" t="s">
        <x:v>98</x:v>
      </x:c>
      <x:c r="U82" s="49" t="str">
        <x:f t="shared" si="6"/>
        <x:v>走</x:v>
      </x:c>
      <x:c r="V82" s="50">
        <x:f t="shared" si="7"/>
        <x:v>0.8</x:v>
      </x:c>
      <x:c r="W82" s="50">
        <x:f t="shared" si="9"/>
        <x:v>0</x:v>
      </x:c>
      <x:c r="X82" s="57">
        <x:v>0.8</x:v>
      </x:c>
      <x:c r="Y82" s="57">
        <x:v>0.75</x:v>
      </x:c>
      <x:c r="Z82" s="57">
        <x:v>1.08</x:v>
      </x:c>
      <x:c r="AA82" s="57">
        <x:v>-0.75</x:v>
      </x:c>
      <x:c r="AB82" s="57">
        <x:v>0.8</x:v>
      </x:c>
      <x:c r="AC82" s="57">
        <x:v>1.09</x:v>
      </x:c>
      <x:c r="AD82" s="57">
        <x:v>1.49</x:v>
      </x:c>
      <x:c r="AE82" s="57">
        <x:v>4.11</x:v>
      </x:c>
      <x:c r="AF82" s="57">
        <x:v>5.85</x:v>
      </x:c>
      <x:c r="AG82" s="58">
        <x:v>0.0853901129705765</x:v>
      </x:c>
      <x:c r="AH82" s="58">
        <x:v>0.0353901129705765</x:v>
      </x:c>
      <x:c r="AI82" s="58">
        <x:v>0.618340752856581</x:v>
      </x:c>
      <x:c r="AJ82" s="58">
        <x:v>0.224167328894478</x:v>
      </x:c>
      <x:c r="AK82" s="58">
        <x:v>0.157491918248941</x:v>
      </x:c>
      <x:c r="AL82" s="57">
        <x:v>1.82</x:v>
      </x:c>
      <x:c r="AM82" s="57">
        <x:v>0.79</x:v>
      </x:c>
      <x:c r="AN82" s="57">
        <x:v>0.000184951501930504</x:v>
      </x:c>
      <x:c r="AO82" s="57">
        <x:v>1.05316908765999</x:v>
      </x:c>
      <x:c r="AP82" s="57">
        <x:v>0.0368309123400112</x:v>
      </x:c>
      <x:c r="AQ82" s="59" t="s">
        <x:v>174</x:v>
      </x:c>
      <x:c r="AR82" s="57">
        <x:v>-1</x:v>
      </x:c>
      <x:c r="AS82" s="57">
        <x:v>0.362331603672595</x:v>
      </x:c>
      <x:c r="AT82" s="57">
        <x:v>0.381596444470247</x:v>
      </x:c>
      <x:c r="AU82" s="57">
        <x:v>1.52</x:v>
      </x:c>
      <x:c r="AV82" s="57">
        <x:v>3.91</x:v>
      </x:c>
      <x:c r="AW82" s="57">
        <x:v>5.82</x:v>
      </x:c>
      <x:c r="AX82" s="59" t="s">
        <x:v>100</x:v>
      </x:c>
      <x:c r="AY82" s="59" t="s">
        <x:v>101</x:v>
      </x:c>
    </x:row>
    <x:row r="83" ht="22" customHeight="1">
      <x:c r="A83" s="49" t="s">
        <x:v>237</x:v>
      </x:c>
      <x:c r="B83" s="49" t="s">
        <x:v>441</x:v>
      </x:c>
      <x:c r="C83" s="49" t="s">
        <x:v>128</x:v>
      </x:c>
      <x:c r="D83" s="49" t="s">
        <x:v>116</x:v>
      </x:c>
      <x:c r="E83" s="49" t="s">
        <x:v>442</x:v>
      </x:c>
      <x:c r="F83" s="49" t="s">
        <x:v>443</x:v>
      </x:c>
      <x:c r="G83" s="60">
        <x:v>0.99</x:v>
      </x:c>
      <x:c r="H83" s="60">
        <x:v>2</x:v>
      </x:c>
      <x:c r="I83" s="60">
        <x:v>0.9</x:v>
      </x:c>
      <x:c r="J83" s="49" t="s">
        <x:v>444</x:v>
      </x:c>
      <x:c r="K83" s="49" t="s">
        <x:v>94</x:v>
      </x:c>
      <x:c r="L83" s="49" t="s">
        <x:v>445</x:v>
      </x:c>
      <x:c r="M83" s="61">
        <x:v>0.571</x:v>
      </x:c>
      <x:c r="N83" s="49" t="s">
        <x:v>96</x:v>
      </x:c>
      <x:c r="O83" s="49" t="s">
        <x:v>161</x:v>
      </x:c>
      <x:c r="P83" s="49" t="s">
        <x:v>30</x:v>
      </x:c>
      <x:c r="Q83" s="49" t="s">
        <x:v>17</x:v>
      </x:c>
      <x:c r="R83" s="50">
        <x:v>0.9</x:v>
      </x:c>
      <x:c r="S83" s="50">
        <x:f t="shared" si="8"/>
        <x:v>0</x:v>
      </x:c>
      <x:c r="T83" s="49" t="s">
        <x:v>98</x:v>
      </x:c>
      <x:c r="U83" s="49" t="str">
        <x:f t="shared" si="6"/>
        <x:v>走</x:v>
      </x:c>
      <x:c r="V83" s="50">
        <x:f t="shared" si="7"/>
        <x:v>0.99</x:v>
      </x:c>
      <x:c r="W83" s="50">
        <x:f t="shared" si="9"/>
        <x:v>0</x:v>
      </x:c>
      <x:c r="X83" s="57">
        <x:v>0.88</x:v>
      </x:c>
      <x:c r="Y83" s="57">
        <x:v>1.5</x:v>
      </x:c>
      <x:c r="Z83" s="57">
        <x:v>1</x:v>
      </x:c>
      <x:c r="AA83" s="57">
        <x:v>1.5</x:v>
      </x:c>
      <x:c r="AB83" s="57">
        <x:v>1</x:v>
      </x:c>
      <x:c r="AC83" s="57">
        <x:v>0.9</x:v>
      </x:c>
      <x:c r="AD83" s="57">
        <x:v>1.36</x:v>
      </x:c>
      <x:c r="AE83" s="57">
        <x:v>4.72</x:v>
      </x:c>
      <x:c r="AF83" s="57">
        <x:v>8.37</x:v>
      </x:c>
      <x:c r="AG83" s="58">
        <x:v>0.0666328374494198</x:v>
      </x:c>
      <x:c r="AH83" s="58">
        <x:v>0.0166328374494198</x:v>
      </x:c>
      <x:c r="AI83" s="58">
        <x:v>0.689360098274611</x:v>
      </x:c>
      <x:c r="AJ83" s="58">
        <x:v>0.198629180858786</x:v>
      </x:c>
      <x:c r="AK83" s="58">
        <x:v>0.112010720866603</x:v>
      </x:c>
      <x:c r="AL83" s="57">
        <x:v>1.99</x:v>
      </x:c>
      <x:c r="AM83" s="57">
        <x:v>0.65</x:v>
      </x:c>
      <x:c r="AN83" s="57">
        <x:v>0.000637928400043273</x:v>
      </x:c>
      <x:c r="AO83" s="57">
        <x:v>0.391324976108172</x:v>
      </x:c>
      <x:c r="AP83" s="57">
        <x:v>0.508675023891829</x:v>
      </x:c>
      <x:c r="AQ83" s="59" t="s">
        <x:v>142</x:v>
      </x:c>
      <x:c r="AR83" s="57">
        <x:v>2</x:v>
      </x:c>
      <x:c r="AS83" s="57">
        <x:v>0.565669566412084</x:v>
      </x:c>
      <x:c r="AT83" s="57">
        <x:v>0.221360629561328</x:v>
      </x:c>
      <x:c r="AU83" s="57">
        <x:v>1.23</x:v>
      </x:c>
      <x:c r="AV83" s="57">
        <x:v>6.11</x:v>
      </x:c>
      <x:c r="AW83" s="57">
        <x:v>12.43</x:v>
      </x:c>
      <x:c r="AX83" s="59" t="s">
        <x:v>100</x:v>
      </x:c>
      <x:c r="AY83" s="59" t="s">
        <x:v>101</x:v>
      </x:c>
    </x:row>
    <x:row r="84" ht="22" customHeight="1">
      <x:c r="A84" s="49" t="s">
        <x:v>237</x:v>
      </x:c>
      <x:c r="B84" s="49" t="s">
        <x:v>446</x:v>
      </x:c>
      <x:c r="C84" s="49" t="s">
        <x:v>447</x:v>
      </x:c>
      <x:c r="D84" s="49" t="s">
        <x:v>116</x:v>
      </x:c>
      <x:c r="E84" s="49" t="s">
        <x:v>448</x:v>
      </x:c>
      <x:c r="F84" s="49" t="s">
        <x:v>449</x:v>
      </x:c>
      <x:c r="G84" s="60">
        <x:v>0.8</x:v>
      </x:c>
      <x:c r="H84" s="60">
        <x:v>0.75</x:v>
      </x:c>
      <x:c r="I84" s="60">
        <x:v>1.02</x:v>
      </x:c>
      <x:c r="J84" s="49" t="s">
        <x:v>450</x:v>
      </x:c>
      <x:c r="K84" s="49" t="s">
        <x:v>132</x:v>
      </x:c>
      <x:c r="L84" s="49" t="s">
        <x:v>451</x:v>
      </x:c>
      <x:c r="M84" s="61">
        <x:v>0.578</x:v>
      </x:c>
      <x:c r="N84" s="49" t="s">
        <x:v>96</x:v>
      </x:c>
      <x:c r="O84" s="49" t="s">
        <x:v>169</x:v>
      </x:c>
      <x:c r="P84" s="49" t="s">
        <x:v>30</x:v>
      </x:c>
      <x:c r="Q84" s="49" t="s">
        <x:v>23</x:v>
      </x:c>
      <x:c r="R84" s="50">
        <x:v>0.8</x:v>
      </x:c>
      <x:c r="S84" s="50">
        <x:f t="shared" si="8"/>
        <x:v>-1</x:v>
      </x:c>
      <x:c r="T84" s="49" t="s">
        <x:v>98</x:v>
      </x:c>
      <x:c r="U84" s="49" t="str">
        <x:f t="shared" si="6"/>
        <x:v>红</x:v>
      </x:c>
      <x:c r="V84" s="50">
        <x:f t="shared" si="7"/>
        <x:v>1.02</x:v>
      </x:c>
      <x:c r="W84" s="50">
        <x:f t="shared" si="9"/>
        <x:v>1.02</x:v>
      </x:c>
      <x:c r="X84" s="57">
        <x:v>0.9</x:v>
      </x:c>
      <x:c r="Y84" s="57">
        <x:v>1</x:v>
      </x:c>
      <x:c r="Z84" s="57">
        <x:v>0.92</x:v>
      </x:c>
      <x:c r="AA84" s="57">
        <x:v>-1</x:v>
      </x:c>
      <x:c r="AB84" s="57">
        <x:v>0.9</x:v>
      </x:c>
      <x:c r="AC84" s="57">
        <x:v>0.8</x:v>
      </x:c>
      <x:c r="AD84" s="57">
        <x:v>1.48</x:v>
      </x:c>
      <x:c r="AE84" s="57">
        <x:v>4.04</x:v>
      </x:c>
      <x:c r="AF84" s="57">
        <x:v>5.53</x:v>
      </x:c>
      <x:c r="AG84" s="58">
        <x:v>0.10403225455237</x:v>
      </x:c>
      <x:c r="AH84" s="58">
        <x:v>0.0540322545523697</x:v>
      </x:c>
      <x:c r="AI84" s="58">
        <x:v>0.612007188095812</x:v>
      </x:c>
      <x:c r="AJ84" s="58">
        <x:v>0.224200653064802</x:v>
      </x:c>
      <x:c r="AK84" s="58">
        <x:v>0.163792158839385</x:v>
      </x:c>
      <x:c r="AL84" s="57">
        <x:v>1.83</x:v>
      </x:c>
      <x:c r="AM84" s="57">
        <x:v>0.82</x:v>
      </x:c>
      <x:c r="AN84" s="57">
        <x:v>0.000697685663262086</x:v>
      </x:c>
      <x:c r="AO84" s="57">
        <x:v>0.796185221099361</x:v>
      </x:c>
      <x:c r="AP84" s="57">
        <x:v>0.0038147789006393</x:v>
      </x:c>
      <x:c r="AQ84" s="59" t="s">
        <x:v>174</x:v>
      </x:c>
      <x:c r="AR84" s="57">
        <x:v>-0.75</x:v>
      </x:c>
      <x:c r="AS84" s="57">
        <x:v>0.486076189830373</x:v>
      </x:c>
      <x:c r="AT84" s="57">
        <x:v>0.38700667867123</x:v>
      </x:c>
      <x:c r="AU84" s="57">
        <x:v>1.57</x:v>
      </x:c>
      <x:c r="AV84" s="57">
        <x:v>3.85</x:v>
      </x:c>
      <x:c r="AW84" s="57">
        <x:v>4.9</x:v>
      </x:c>
      <x:c r="AX84" s="59" t="s">
        <x:v>100</x:v>
      </x:c>
      <x:c r="AY84" s="59" t="s">
        <x:v>101</x:v>
      </x:c>
    </x:row>
    <x:row r="85" ht="22" customHeight="1">
      <x:c r="A85" s="49" t="s">
        <x:v>237</x:v>
      </x:c>
      <x:c r="B85" s="49" t="s">
        <x:v>446</x:v>
      </x:c>
      <x:c r="C85" s="49" t="s">
        <x:v>128</x:v>
      </x:c>
      <x:c r="D85" s="49" t="s">
        <x:v>90</x:v>
      </x:c>
      <x:c r="E85" s="49" t="s">
        <x:v>129</x:v>
      </x:c>
      <x:c r="F85" s="49" t="s">
        <x:v>452</x:v>
      </x:c>
      <x:c r="G85" s="60">
        <x:v>0.8</x:v>
      </x:c>
      <x:c r="H85" s="60">
        <x:v>-0.75</x:v>
      </x:c>
      <x:c r="I85" s="60">
        <x:v>0.9</x:v>
      </x:c>
      <x:c r="J85" s="49" t="s">
        <x:v>453</x:v>
      </x:c>
      <x:c r="K85" s="49" t="s">
        <x:v>195</x:v>
      </x:c>
      <x:c r="L85" s="49" t="s">
        <x:v>454</x:v>
      </x:c>
      <x:c r="M85" s="61">
        <x:v>0.568</x:v>
      </x:c>
      <x:c r="N85" s="49" t="s">
        <x:v>96</x:v>
      </x:c>
      <x:c r="O85" s="49" t="s">
        <x:v>273</x:v>
      </x:c>
      <x:c r="P85" s="49" t="s">
        <x:v>30</x:v>
      </x:c>
      <x:c r="Q85" s="49" t="s">
        <x:v>23</x:v>
      </x:c>
      <x:c r="R85" s="50">
        <x:v>0.9</x:v>
      </x:c>
      <x:c r="S85" s="50">
        <x:f t="shared" si="8"/>
        <x:v>-1</x:v>
      </x:c>
      <x:c r="T85" s="49" t="s">
        <x:v>98</x:v>
      </x:c>
      <x:c r="U85" s="49" t="str">
        <x:f t="shared" si="6"/>
        <x:v>红</x:v>
      </x:c>
      <x:c r="V85" s="50">
        <x:f t="shared" si="7"/>
        <x:v>0.8</x:v>
      </x:c>
      <x:c r="W85" s="50">
        <x:f t="shared" si="9"/>
        <x:v>0.8</x:v>
      </x:c>
      <x:c r="X85" s="57">
        <x:v>0.81</x:v>
      </x:c>
      <x:c r="Y85" s="57">
        <x:v>-0.75</x:v>
      </x:c>
      <x:c r="Z85" s="57">
        <x:v>0.89</x:v>
      </x:c>
      <x:c r="AA85" s="57">
        <x:v>-0.75</x:v>
      </x:c>
      <x:c r="AB85" s="57">
        <x:v>0.89</x:v>
      </x:c>
      <x:c r="AC85" s="57">
        <x:v>0.9</x:v>
      </x:c>
      <x:c r="AD85" s="57">
        <x:v>5.75</x:v>
      </x:c>
      <x:c r="AE85" s="57">
        <x:v>3.3</x:v>
      </x:c>
      <x:c r="AF85" s="57">
        <x:v>1.61</x:v>
      </x:c>
      <x:c r="AG85" s="58">
        <x:v>0.098061358930924</x:v>
      </x:c>
      <x:c r="AH85" s="58">
        <x:v>0.048061358930924</x:v>
      </x:c>
      <x:c r="AI85" s="58">
        <x:v>0.158381899211519</x:v>
      </x:c>
      <x:c r="AJ85" s="58">
        <x:v>0.275968460747343</x:v>
      </x:c>
      <x:c r="AK85" s="58">
        <x:v>0.565649640041138</x:v>
      </x:c>
      <x:c r="AL85" s="57">
        <x:v>0.59</x:v>
      </x:c>
      <x:c r="AM85" s="57">
        <x:v>1.39</x:v>
      </x:c>
      <x:c r="AN85" s="57">
        <x:v>0.00057768780935982</x:v>
      </x:c>
      <x:c r="AO85" s="57">
        <x:v>1.02376972883534</x:v>
      </x:c>
      <x:c r="AP85" s="57">
        <x:v>-0.123769728835336</x:v>
      </x:c>
      <x:c r="AQ85" s="59" t="s">
        <x:v>99</x:v>
      </x:c>
      <x:c r="AR85" s="57">
        <x:v>-0.75</x:v>
      </x:c>
      <x:c r="AS85" s="57">
        <x:v>0.42442231991884</x:v>
      </x:c>
      <x:c r="AT85" s="57">
        <x:v>0.434510723374975</x:v>
      </x:c>
      <x:c r="AU85" s="57">
        <x:v>5.88</x:v>
      </x:c>
      <x:c r="AV85" s="57">
        <x:v>3.01</x:v>
      </x:c>
      <x:c r="AW85" s="57">
        <x:v>1.66</x:v>
      </x:c>
      <x:c r="AX85" s="59" t="s">
        <x:v>100</x:v>
      </x:c>
      <x:c r="AY85" s="59" t="s">
        <x:v>101</x:v>
      </x:c>
    </x:row>
    <x:row r="86" ht="22" customHeight="1">
      <x:c r="A86" s="49" t="s">
        <x:v>237</x:v>
      </x:c>
      <x:c r="B86" s="49" t="s">
        <x:v>455</x:v>
      </x:c>
      <x:c r="C86" s="49" t="s">
        <x:v>447</x:v>
      </x:c>
      <x:c r="D86" s="49" t="s">
        <x:v>116</x:v>
      </x:c>
      <x:c r="E86" s="49" t="s">
        <x:v>456</x:v>
      </x:c>
      <x:c r="F86" s="49" t="s">
        <x:v>457</x:v>
      </x:c>
      <x:c r="G86" s="60">
        <x:v>0.78</x:v>
      </x:c>
      <x:c r="H86" s="60">
        <x:v>1.25</x:v>
      </x:c>
      <x:c r="I86" s="60">
        <x:v>0.92</x:v>
      </x:c>
      <x:c r="J86" s="49" t="s">
        <x:v>458</x:v>
      </x:c>
      <x:c r="K86" s="49" t="s">
        <x:v>106</x:v>
      </x:c>
      <x:c r="L86" s="49" t="s">
        <x:v>459</x:v>
      </x:c>
      <x:c r="M86" s="61">
        <x:v>0.605</x:v>
      </x:c>
      <x:c r="N86" s="49" t="s">
        <x:v>96</x:v>
      </x:c>
      <x:c r="O86" s="49" t="s">
        <x:v>178</x:v>
      </x:c>
      <x:c r="P86" s="49" t="s">
        <x:v>30</x:v>
      </x:c>
      <x:c r="Q86" s="49" t="s">
        <x:v>14</x:v>
      </x:c>
      <x:c r="R86" s="50">
        <x:v>0.92</x:v>
      </x:c>
      <x:c r="S86" s="50">
        <x:f t="shared" si="8"/>
        <x:v>0.46</x:v>
      </x:c>
      <x:c r="T86" s="49" t="s">
        <x:v>98</x:v>
      </x:c>
      <x:c r="U86" s="49" t="str">
        <x:f t="shared" si="6"/>
        <x:v>半黑</x:v>
      </x:c>
      <x:c r="V86" s="50">
        <x:f t="shared" si="7"/>
        <x:v>0.78</x:v>
      </x:c>
      <x:c r="W86" s="50">
        <x:f t="shared" si="9"/>
        <x:v>-0.5</x:v>
      </x:c>
      <x:c r="X86" s="57">
        <x:v>0.85</x:v>
      </x:c>
      <x:c r="Y86" s="57">
        <x:v>1.25</x:v>
      </x:c>
      <x:c r="Z86" s="57">
        <x:v>0.85</x:v>
      </x:c>
      <x:c r="AA86" s="57">
        <x:v>1.25</x:v>
      </x:c>
      <x:c r="AB86" s="57">
        <x:v>0.85</x:v>
      </x:c>
      <x:c r="AC86" s="57">
        <x:v>0.92</x:v>
      </x:c>
      <x:c r="AD86" s="57">
        <x:v>1.38</x:v>
      </x:c>
      <x:c r="AE86" s="57">
        <x:v>4.55</x:v>
      </x:c>
      <x:c r="AF86" s="57">
        <x:v>4.8</x:v>
      </x:c>
      <x:c r="AG86" s="58">
        <x:v>0.152751234272973</x:v>
      </x:c>
      <x:c r="AH86" s="58">
        <x:v>0.102751234272974</x:v>
      </x:c>
      <x:c r="AI86" s="58">
        <x:v>0.628615836283568</x:v>
      </x:c>
      <x:c r="AJ86" s="58">
        <x:v>0.190657110784906</x:v>
      </x:c>
      <x:c r="AK86" s="58">
        <x:v>0.180727052931526</x:v>
      </x:c>
      <x:c r="AL86" s="57">
        <x:v>2.31</x:v>
      </x:c>
      <x:c r="AM86" s="57">
        <x:v>1.17</x:v>
      </x:c>
      <x:c r="AN86" s="57">
        <x:v>0.000179305694524595</x:v>
      </x:c>
      <x:c r="AO86" s="57">
        <x:v>0.844028083696067</x:v>
      </x:c>
      <x:c r="AP86" s="57">
        <x:v>0.0759719163039333</x:v>
      </x:c>
      <x:c r="AQ86" s="59" t="s">
        <x:v>142</x:v>
      </x:c>
      <x:c r="AR86" s="57">
        <x:v>1.25</x:v>
      </x:c>
      <x:c r="AS86" s="57">
        <x:v>0.482135958322147</x:v>
      </x:c>
      <x:c r="AT86" s="57">
        <x:v>0.406936288983609</x:v>
      </x:c>
      <x:c r="AU86" s="57">
        <x:v>1.38</x:v>
      </x:c>
      <x:c r="AV86" s="57">
        <x:v>4.5</x:v>
      </x:c>
      <x:c r="AW86" s="57">
        <x:v>5</x:v>
      </x:c>
      <x:c r="AX86" s="59" t="s">
        <x:v>226</x:v>
      </x:c>
      <x:c r="AY86" s="59" t="s">
        <x:v>101</x:v>
      </x:c>
    </x:row>
    <x:row r="87" ht="22" customHeight="1">
      <x:c r="A87" s="49" t="s">
        <x:v>237</x:v>
      </x:c>
      <x:c r="B87" s="49" t="s">
        <x:v>455</x:v>
      </x:c>
      <x:c r="C87" s="49" t="s">
        <x:v>447</x:v>
      </x:c>
      <x:c r="D87" s="49" t="s">
        <x:v>116</x:v>
      </x:c>
      <x:c r="E87" s="49" t="s">
        <x:v>456</x:v>
      </x:c>
      <x:c r="F87" s="49" t="s">
        <x:v>460</x:v>
      </x:c>
      <x:c r="G87" s="60">
        <x:v>0.95</x:v>
      </x:c>
      <x:c r="H87" s="60">
        <x:v>0.5</x:v>
      </x:c>
      <x:c r="I87" s="60">
        <x:v>0.75</x:v>
      </x:c>
      <x:c r="J87" s="49" t="s">
        <x:v>461</x:v>
      </x:c>
      <x:c r="K87" s="49" t="s">
        <x:v>94</x:v>
      </x:c>
      <x:c r="L87" s="49" t="s">
        <x:v>462</x:v>
      </x:c>
      <x:c r="M87" s="61">
        <x:v>0.571</x:v>
      </x:c>
      <x:c r="N87" s="49" t="s">
        <x:v>96</x:v>
      </x:c>
      <x:c r="O87" s="49" t="s">
        <x:v>169</x:v>
      </x:c>
      <x:c r="P87" s="49" t="s">
        <x:v>30</x:v>
      </x:c>
      <x:c r="Q87" s="49" t="s">
        <x:v>23</x:v>
      </x:c>
      <x:c r="R87" s="50">
        <x:v>0.95</x:v>
      </x:c>
      <x:c r="S87" s="50">
        <x:f t="shared" si="8"/>
        <x:v>-1</x:v>
      </x:c>
      <x:c r="T87" s="49" t="s">
        <x:v>98</x:v>
      </x:c>
      <x:c r="U87" s="49" t="str">
        <x:f t="shared" si="6"/>
        <x:v>红</x:v>
      </x:c>
      <x:c r="V87" s="50">
        <x:f t="shared" si="7"/>
        <x:v>0.75</x:v>
      </x:c>
      <x:c r="W87" s="50">
        <x:f t="shared" si="9"/>
        <x:v>0.75</x:v>
      </x:c>
      <x:c r="X87" s="57">
        <x:v>0.78</x:v>
      </x:c>
      <x:c r="Y87" s="57">
        <x:v>0.25</x:v>
      </x:c>
      <x:c r="Z87" s="57">
        <x:v>0.92</x:v>
      </x:c>
      <x:c r="AA87" s="57">
        <x:v>-0.25</x:v>
      </x:c>
      <x:c r="AB87" s="57">
        <x:v>0.78</x:v>
      </x:c>
      <x:c r="AC87" s="57">
        <x:v>0.95</x:v>
      </x:c>
      <x:c r="AD87" s="57">
        <x:v>1.95</x:v>
      </x:c>
      <x:c r="AE87" s="57">
        <x:v>3.4</x:v>
      </x:c>
      <x:c r="AF87" s="57">
        <x:v>2.9</x:v>
      </x:c>
      <x:c r="AG87" s="58">
        <x:v>0.151765746086233</x:v>
      </x:c>
      <x:c r="AH87" s="58">
        <x:v>0.101765746086233</x:v>
      </x:c>
      <x:c r="AI87" s="58">
        <x:v>0.445247234138632</x:v>
      </x:c>
      <x:c r="AJ87" s="58">
        <x:v>0.255362384285392</x:v>
      </x:c>
      <x:c r="AK87" s="58">
        <x:v>0.299390381575977</x:v>
      </x:c>
      <x:c r="AL87" s="57">
        <x:v>1.5</x:v>
      </x:c>
      <x:c r="AM87" s="57">
        <x:v>1.18</x:v>
      </x:c>
      <x:c r="AN87" s="57">
        <x:v>0.000604674922829939</x:v>
      </x:c>
      <x:c r="AO87" s="57">
        <x:v>1.24241451943115</x:v>
      </x:c>
      <x:c r="AP87" s="57">
        <x:v>-0.29241451943115</x:v>
      </x:c>
      <x:c r="AQ87" s="59" t="s">
        <x:v>99</x:v>
      </x:c>
      <x:c r="AR87" s="57">
        <x:v>-0.5</x:v>
      </x:c>
      <x:c r="AS87" s="57">
        <x:v>0.445947879544446</x:v>
      </x:c>
      <x:c r="AT87" s="57">
        <x:v>0.554052120455554</x:v>
      </x:c>
      <x:c r="AU87" s="57">
        <x:v>2</x:v>
      </x:c>
      <x:c r="AV87" s="57">
        <x:v>3.4</x:v>
      </x:c>
      <x:c r="AW87" s="57">
        <x:v>2.82</x:v>
      </x:c>
      <x:c r="AX87" s="59" t="s">
        <x:v>226</x:v>
      </x:c>
      <x:c r="AY87" s="59" t="s">
        <x:v>101</x:v>
      </x:c>
    </x:row>
    <x:row r="88" ht="22" customHeight="1">
      <x:c r="A88" s="49" t="s">
        <x:v>237</x:v>
      </x:c>
      <x:c r="B88" s="49" t="s">
        <x:v>455</x:v>
      </x:c>
      <x:c r="C88" s="49" t="s">
        <x:v>447</x:v>
      </x:c>
      <x:c r="D88" s="49" t="s">
        <x:v>116</x:v>
      </x:c>
      <x:c r="E88" s="49" t="s">
        <x:v>456</x:v>
      </x:c>
      <x:c r="F88" s="49" t="s">
        <x:v>463</x:v>
      </x:c>
      <x:c r="G88" s="60">
        <x:v>0.87</x:v>
      </x:c>
      <x:c r="H88" s="60">
        <x:v>1.25</x:v>
      </x:c>
      <x:c r="I88" s="60">
        <x:v>0.83</x:v>
      </x:c>
      <x:c r="J88" s="49" t="s">
        <x:v>464</x:v>
      </x:c>
      <x:c r="K88" s="49" t="s">
        <x:v>94</x:v>
      </x:c>
      <x:c r="L88" s="49" t="s">
        <x:v>465</x:v>
      </x:c>
      <x:c r="M88" s="61">
        <x:v>0.571</x:v>
      </x:c>
      <x:c r="N88" s="49" t="s">
        <x:v>96</x:v>
      </x:c>
      <x:c r="O88" s="49" t="s">
        <x:v>161</x:v>
      </x:c>
      <x:c r="P88" s="49" t="s">
        <x:v>30</x:v>
      </x:c>
      <x:c r="Q88" s="49" t="s">
        <x:v>11</x:v>
      </x:c>
      <x:c r="R88" s="50">
        <x:v>0.87</x:v>
      </x:c>
      <x:c r="S88" s="50">
        <x:f t="shared" si="8"/>
        <x:v>0.87</x:v>
      </x:c>
      <x:c r="T88" s="49" t="s">
        <x:v>98</x:v>
      </x:c>
      <x:c r="U88" s="49" t="str">
        <x:f t="shared" si="6"/>
        <x:v>黑</x:v>
      </x:c>
      <x:c r="V88" s="50">
        <x:f t="shared" si="7"/>
        <x:v>0.83</x:v>
      </x:c>
      <x:c r="W88" s="50">
        <x:f t="shared" si="9"/>
        <x:v>-1</x:v>
      </x:c>
      <x:c r="X88" s="57">
        <x:v>0.76</x:v>
      </x:c>
      <x:c r="Y88" s="57">
        <x:v>1</x:v>
      </x:c>
      <x:c r="Z88" s="57">
        <x:v>0.94</x:v>
      </x:c>
      <x:c r="AA88" s="57">
        <x:v>-1</x:v>
      </x:c>
      <x:c r="AB88" s="57">
        <x:v>0.76</x:v>
      </x:c>
      <x:c r="AC88" s="57">
        <x:v>0.87</x:v>
      </x:c>
      <x:c r="AD88" s="57">
        <x:v>1.38</x:v>
      </x:c>
      <x:c r="AE88" s="57">
        <x:v>4.4</x:v>
      </x:c>
      <x:c r="AF88" s="57">
        <x:v>5</x:v>
      </x:c>
      <x:c r="AG88" s="58">
        <x:v>0.151910408432148</x:v>
      </x:c>
      <x:c r="AH88" s="58">
        <x:v>0.101910408432148</x:v>
      </x:c>
      <x:c r="AI88" s="58">
        <x:v>0.629074688322086</x:v>
      </x:c>
      <x:c r="AJ88" s="58">
        <x:v>0.197300697701018</x:v>
      </x:c>
      <x:c r="AK88" s="58">
        <x:v>0.173624613976896</x:v>
      </x:c>
      <x:c r="AL88" s="57">
        <x:v>2.18</x:v>
      </x:c>
      <x:c r="AM88" s="57">
        <x:v>1.06</x:v>
      </x:c>
      <x:c r="AN88" s="57">
        <x:v>0.000455302935487223</x:v>
      </x:c>
      <x:c r="AO88" s="57">
        <x:v>1.22218878111223</x:v>
      </x:c>
      <x:c r="AP88" s="57">
        <x:v>-0.352188781112235</x:v>
      </x:c>
      <x:c r="AQ88" s="59" t="s">
        <x:v>99</x:v>
      </x:c>
      <x:c r="AR88" s="57">
        <x:v>-1.25</x:v>
      </x:c>
      <x:c r="AS88" s="57">
        <x:v>0.398201138818942</x:v>
      </x:c>
      <x:c r="AT88" s="57">
        <x:v>0.486676964490626</x:v>
      </x:c>
      <x:c r="AU88" s="57">
        <x:v>1.44</x:v>
      </x:c>
      <x:c r="AV88" s="57">
        <x:v>4.15</x:v>
      </x:c>
      <x:c r="AW88" s="57">
        <x:v>4.65</x:v>
      </x:c>
      <x:c r="AX88" s="59" t="s">
        <x:v>226</x:v>
      </x:c>
      <x:c r="AY88" s="59" t="s">
        <x:v>101</x:v>
      </x:c>
    </x:row>
    <x:row r="89" ht="22" customHeight="1">
      <x:c r="A89" s="49" t="s">
        <x:v>237</x:v>
      </x:c>
      <x:c r="B89" s="49" t="s">
        <x:v>466</x:v>
      </x:c>
      <x:c r="C89" s="49" t="s">
        <x:v>128</x:v>
      </x:c>
      <x:c r="D89" s="49" t="s">
        <x:v>116</x:v>
      </x:c>
      <x:c r="E89" s="49" t="s">
        <x:v>222</x:v>
      </x:c>
      <x:c r="F89" s="49" t="s">
        <x:v>467</x:v>
      </x:c>
      <x:c r="G89" s="60">
        <x:v>0.94</x:v>
      </x:c>
      <x:c r="H89" s="60">
        <x:v>-0.5</x:v>
      </x:c>
      <x:c r="I89" s="60">
        <x:v>0.94</x:v>
      </x:c>
      <x:c r="J89" s="49" t="s">
        <x:v>468</x:v>
      </x:c>
      <x:c r="K89" s="49" t="s">
        <x:v>94</x:v>
      </x:c>
      <x:c r="L89" s="49" t="s">
        <x:v>469</x:v>
      </x:c>
      <x:c r="M89" s="61">
        <x:v>0.571</x:v>
      </x:c>
      <x:c r="N89" s="49" t="s">
        <x:v>96</x:v>
      </x:c>
      <x:c r="O89" s="49" t="s">
        <x:v>231</x:v>
      </x:c>
      <x:c r="P89" s="49" t="s">
        <x:v>30</x:v>
      </x:c>
      <x:c r="Q89" s="49" t="s">
        <x:v>11</x:v>
      </x:c>
      <x:c r="R89" s="50">
        <x:v>0.94</x:v>
      </x:c>
      <x:c r="S89" s="50">
        <x:f t="shared" si="8"/>
        <x:v>0.94</x:v>
      </x:c>
      <x:c r="T89" s="49" t="s">
        <x:v>98</x:v>
      </x:c>
      <x:c r="U89" s="49" t="str">
        <x:f t="shared" si="6"/>
        <x:v>黑</x:v>
      </x:c>
      <x:c r="V89" s="50">
        <x:f t="shared" si="7"/>
        <x:v>0.94</x:v>
      </x:c>
      <x:c r="W89" s="50">
        <x:f t="shared" si="9"/>
        <x:v>-1</x:v>
      </x:c>
      <x:c r="X89" s="57">
        <x:v>0.86</x:v>
      </x:c>
      <x:c r="Y89" s="57">
        <x:v>-0.25</x:v>
      </x:c>
      <x:c r="Z89" s="57">
        <x:v>0.96</x:v>
      </x:c>
      <x:c r="AA89" s="57">
        <x:v>0.25</x:v>
      </x:c>
      <x:c r="AB89" s="57">
        <x:v>0.86</x:v>
      </x:c>
      <x:c r="AC89" s="57">
        <x:v>0.94</x:v>
      </x:c>
      <x:c r="AD89" s="57">
        <x:v>3.45</x:v>
      </x:c>
      <x:c r="AE89" s="57">
        <x:v>3.4</x:v>
      </x:c>
      <x:c r="AF89" s="57">
        <x:v>1.94</x:v>
      </x:c>
      <x:c r="AG89" s="58">
        <x:v>0.099436637048365</x:v>
      </x:c>
      <x:c r="AH89" s="58">
        <x:v>0.049436637048365</x:v>
      </x:c>
      <x:c r="AI89" s="58">
        <x:v>0.263639633878253</x:v>
      </x:c>
      <x:c r="AJ89" s="58">
        <x:v>0.267516687317639</x:v>
      </x:c>
      <x:c r="AK89" s="58">
        <x:v>0.468843678804109</x:v>
      </x:c>
      <x:c r="AL89" s="57">
        <x:v>1</x:v>
      </x:c>
      <x:c r="AM89" s="57">
        <x:v>1.43</x:v>
      </x:c>
      <x:c r="AN89" s="57">
        <x:v>0.000583786350042277</x:v>
      </x:c>
      <x:c r="AO89" s="57">
        <x:v>0.885065026563506</x:v>
      </x:c>
      <x:c r="AP89" s="57">
        <x:v>0.0549349734364937</x:v>
      </x:c>
      <x:c r="AQ89" s="59" t="s">
        <x:v>142</x:v>
      </x:c>
      <x:c r="AR89" s="57">
        <x:v>0.5</x:v>
      </x:c>
      <x:c r="AS89" s="57">
        <x:v>0.530485678694602</x:v>
      </x:c>
      <x:c r="AT89" s="57">
        <x:v>0.469514321305398</x:v>
      </x:c>
      <x:c r="AU89" s="57">
        <x:v>2.91</x:v>
      </x:c>
      <x:c r="AV89" s="57">
        <x:v>3.3</x:v>
      </x:c>
      <x:c r="AW89" s="57">
        <x:v>2.19</x:v>
      </x:c>
      <x:c r="AX89" s="59" t="s">
        <x:v>226</x:v>
      </x:c>
      <x:c r="AY89" s="59" t="s">
        <x:v>101</x:v>
      </x:c>
    </x:row>
    <x:row r="90" ht="22" customHeight="1">
      <x:c r="A90" s="49" t="s">
        <x:v>470</x:v>
      </x:c>
      <x:c r="B90" s="49" t="s">
        <x:v>471</x:v>
      </x:c>
      <x:c r="C90" s="49" t="s">
        <x:v>244</x:v>
      </x:c>
      <x:c r="D90" s="49" t="s">
        <x:v>90</x:v>
      </x:c>
      <x:c r="E90" s="49" t="s">
        <x:v>472</x:v>
      </x:c>
      <x:c r="F90" s="49" t="s">
        <x:v>473</x:v>
      </x:c>
      <x:c r="G90" s="60">
        <x:v>1.01</x:v>
      </x:c>
      <x:c r="H90" s="60">
        <x:v>-0.75</x:v>
      </x:c>
      <x:c r="I90" s="60">
        <x:v>0.81</x:v>
      </x:c>
      <x:c r="J90" s="49" t="s">
        <x:v>474</x:v>
      </x:c>
      <x:c r="K90" s="49" t="s">
        <x:v>106</x:v>
      </x:c>
      <x:c r="L90" s="49" t="s">
        <x:v>475</x:v>
      </x:c>
      <x:c r="M90" s="61">
        <x:v>0.591</x:v>
      </x:c>
      <x:c r="N90" s="49" t="s">
        <x:v>96</x:v>
      </x:c>
      <x:c r="O90" s="49" t="s">
        <x:v>197</x:v>
      </x:c>
      <x:c r="P90" s="49" t="s">
        <x:v>30</x:v>
      </x:c>
      <x:c r="Q90" s="49" t="s">
        <x:v>23</x:v>
      </x:c>
      <x:c r="R90" s="50">
        <x:v>0.81</x:v>
      </x:c>
      <x:c r="S90" s="50">
        <x:f t="shared" si="8"/>
        <x:v>-1</x:v>
      </x:c>
      <x:c r="T90" s="49" t="s">
        <x:v>98</x:v>
      </x:c>
      <x:c r="U90" s="49" t="str">
        <x:f t="shared" si="6"/>
        <x:v>红</x:v>
      </x:c>
      <x:c r="V90" s="50">
        <x:f t="shared" si="7"/>
        <x:v>1.01</x:v>
      </x:c>
      <x:c r="W90" s="50">
        <x:f t="shared" si="9"/>
        <x:v>1.01</x:v>
      </x:c>
      <x:c r="X90" s="57">
        <x:v>0.95</x:v>
      </x:c>
      <x:c r="Y90" s="57">
        <x:v>-0.75</x:v>
      </x:c>
      <x:c r="Z90" s="57">
        <x:v>0.75</x:v>
      </x:c>
      <x:c r="AA90" s="57">
        <x:v>-0.75</x:v>
      </x:c>
      <x:c r="AB90" s="57">
        <x:v>0.75</x:v>
      </x:c>
      <x:c r="AC90" s="57">
        <x:v>0.81</x:v>
      </x:c>
      <x:c r="AD90" s="57">
        <x:v>4.28</x:v>
      </x:c>
      <x:c r="AE90" s="57">
        <x:v>3.88</x:v>
      </x:c>
      <x:c r="AF90" s="57">
        <x:v>1.63</x:v>
      </x:c>
      <x:c r="AG90" s="58">
        <x:v>0.104873751091308</x:v>
      </x:c>
      <x:c r="AH90" s="58">
        <x:v>0.0548737510913083</x:v>
      </x:c>
      <x:c r="AI90" s="58">
        <x:v>0.2114674727156</x:v>
      </x:c>
      <x:c r="AJ90" s="58">
        <x:v>0.233268243098652</x:v>
      </x:c>
      <x:c r="AK90" s="58">
        <x:v>0.555264284185748</x:v>
      </x:c>
      <x:c r="AL90" s="57">
        <x:v>1</x:v>
      </x:c>
      <x:c r="AM90" s="57">
        <x:v>1.77</x:v>
      </x:c>
      <x:c r="AN90" s="57">
        <x:v>0.000543391475847872</x:v>
      </x:c>
      <x:c r="AO90" s="57">
        <x:v>1.0283854905006</x:v>
      </x:c>
      <x:c r="AP90" s="57">
        <x:v>-0.218385490500598</x:v>
      </x:c>
      <x:c r="AQ90" s="59" t="s">
        <x:v>99</x:v>
      </x:c>
      <x:c r="AR90" s="57">
        <x:v>-0.75</x:v>
      </x:c>
      <x:c r="AS90" s="57">
        <x:v>0.433177705469117</x:v>
      </x:c>
      <x:c r="AT90" s="57">
        <x:v>0.445473667112782</x:v>
      </x:c>
      <x:c r="AU90" s="57">
        <x:v>4.65</x:v>
      </x:c>
      <x:c r="AV90" s="57">
        <x:v>3.91</x:v>
      </x:c>
      <x:c r="AW90" s="57">
        <x:v>1.59</x:v>
      </x:c>
      <x:c r="AX90" s="59" t="s">
        <x:v>100</x:v>
      </x:c>
      <x:c r="AY90" s="59" t="s">
        <x:v>101</x:v>
      </x:c>
    </x:row>
    <x:row r="91" ht="22" customHeight="1">
      <x:c r="A91" s="49" t="s">
        <x:v>470</x:v>
      </x:c>
      <x:c r="B91" s="49" t="s">
        <x:v>476</x:v>
      </x:c>
      <x:c r="C91" s="49" t="s">
        <x:v>136</x:v>
      </x:c>
      <x:c r="D91" s="49" t="s">
        <x:v>116</x:v>
      </x:c>
      <x:c r="E91" s="49" t="s">
        <x:v>477</x:v>
      </x:c>
      <x:c r="F91" s="49" t="s">
        <x:v>478</x:v>
      </x:c>
      <x:c r="G91" s="60">
        <x:v>0.94</x:v>
      </x:c>
      <x:c r="H91" s="60">
        <x:v>0</x:v>
      </x:c>
      <x:c r="I91" s="60">
        <x:v>0.76</x:v>
      </x:c>
      <x:c r="J91" s="49" t="s">
        <x:v>479</x:v>
      </x:c>
      <x:c r="K91" s="49" t="s">
        <x:v>195</x:v>
      </x:c>
      <x:c r="L91" s="49" t="s">
        <x:v>480</x:v>
      </x:c>
      <x:c r="M91" s="61">
        <x:v>0.543</x:v>
      </x:c>
      <x:c r="N91" s="49" t="s">
        <x:v>96</x:v>
      </x:c>
      <x:c r="O91" s="49" t="s">
        <x:v>108</x:v>
      </x:c>
      <x:c r="P91" s="49" t="s">
        <x:v>30</x:v>
      </x:c>
      <x:c r="Q91" s="49" t="s">
        <x:v>11</x:v>
      </x:c>
      <x:c r="R91" s="50">
        <x:v>0.94</x:v>
      </x:c>
      <x:c r="S91" s="50">
        <x:f t="shared" si="8"/>
        <x:v>0.94</x:v>
      </x:c>
      <x:c r="T91" s="49" t="s">
        <x:v>98</x:v>
      </x:c>
      <x:c r="U91" s="49" t="str">
        <x:f t="shared" si="6"/>
        <x:v>黑</x:v>
      </x:c>
      <x:c r="V91" s="50">
        <x:f t="shared" si="7"/>
        <x:v>0.76</x:v>
      </x:c>
      <x:c r="W91" s="50">
        <x:f t="shared" si="9"/>
        <x:v>-1</x:v>
      </x:c>
      <x:c r="X91" s="57">
        <x:v>0.74</x:v>
      </x:c>
      <x:c r="Y91" s="57">
        <x:v>0</x:v>
      </x:c>
      <x:c r="Z91" s="57">
        <x:v>0.96</x:v>
      </x:c>
      <x:c r="AA91" s="57">
        <x:v>0</x:v>
      </x:c>
      <x:c r="AB91" s="57">
        <x:v>0.74</x:v>
      </x:c>
      <x:c r="AC91" s="57">
        <x:v>0.94</x:v>
      </x:c>
      <x:c r="AD91" s="57">
        <x:v>2.17</x:v>
      </x:c>
      <x:c r="AE91" s="57">
        <x:v>3.78</x:v>
      </x:c>
      <x:c r="AF91" s="57">
        <x:v>2.53</x:v>
      </x:c>
      <x:c r="AG91" s="58">
        <x:v>0.12063667463387</x:v>
      </x:c>
      <x:c r="AH91" s="58">
        <x:v>0.0706366746338698</x:v>
      </x:c>
      <x:c r="AI91" s="58">
        <x:v>0.411221141979954</x:v>
      </x:c>
      <x:c r="AJ91" s="58">
        <x:v>0.236071396321825</x:v>
      </x:c>
      <x:c r="AK91" s="58">
        <x:v>0.352707461698221</x:v>
      </x:c>
      <x:c r="AL91" s="57">
        <x:v>1.64</x:v>
      </x:c>
      <x:c r="AM91" s="57">
        <x:v>1.5</x:v>
      </x:c>
      <x:c r="AN91" s="57">
        <x:v>0.000726443548205446</x:v>
      </x:c>
      <x:c r="AO91" s="57">
        <x:v>0.853700465021945</x:v>
      </x:c>
      <x:c r="AP91" s="57">
        <x:v>0.0862995349780549</x:v>
      </x:c>
      <x:c r="AQ91" s="59" t="s">
        <x:v>135</x:v>
      </x:c>
      <x:c r="AR91" s="57">
        <x:v>0</x:v>
      </x:c>
      <x:c r="AS91" s="57">
        <x:v>0.412050521938382</x:v>
      </x:c>
      <x:c r="AT91" s="57">
        <x:v>0.351767722191332</x:v>
      </x:c>
      <x:c r="AU91" s="57">
        <x:v>2.17</x:v>
      </x:c>
      <x:c r="AV91" s="57">
        <x:v>3.82</x:v>
      </x:c>
      <x:c r="AW91" s="57">
        <x:v>2.54</x:v>
      </x:c>
      <x:c r="AX91" s="59" t="s">
        <x:v>100</x:v>
      </x:c>
      <x:c r="AY91" s="59" t="s">
        <x:v>101</x:v>
      </x:c>
    </x:row>
    <x:row r="92" ht="22" customHeight="1">
      <x:c r="A92" s="49" t="s">
        <x:v>470</x:v>
      </x:c>
      <x:c r="B92" s="49" t="s">
        <x:v>481</x:v>
      </x:c>
      <x:c r="C92" s="49" t="s">
        <x:v>136</x:v>
      </x:c>
      <x:c r="D92" s="49" t="s">
        <x:v>116</x:v>
      </x:c>
      <x:c r="E92" s="49" t="s">
        <x:v>482</x:v>
      </x:c>
      <x:c r="F92" s="49" t="s">
        <x:v>483</x:v>
      </x:c>
      <x:c r="G92" s="60">
        <x:v>0.99</x:v>
      </x:c>
      <x:c r="H92" s="60">
        <x:v>0.25</x:v>
      </x:c>
      <x:c r="I92" s="60">
        <x:v>0.83</x:v>
      </x:c>
      <x:c r="J92" s="49" t="s">
        <x:v>484</x:v>
      </x:c>
      <x:c r="K92" s="49" t="s">
        <x:v>195</x:v>
      </x:c>
      <x:c r="L92" s="49" t="s">
        <x:v>485</x:v>
      </x:c>
      <x:c r="M92" s="61">
        <x:v>0.543</x:v>
      </x:c>
      <x:c r="N92" s="49" t="s">
        <x:v>96</x:v>
      </x:c>
      <x:c r="O92" s="49" t="s">
        <x:v>201</x:v>
      </x:c>
      <x:c r="P92" s="49" t="s">
        <x:v>30</x:v>
      </x:c>
      <x:c r="Q92" s="49" t="s">
        <x:v>11</x:v>
      </x:c>
      <x:c r="R92" s="50">
        <x:v>0.99</x:v>
      </x:c>
      <x:c r="S92" s="50">
        <x:f t="shared" si="8"/>
        <x:v>0.99</x:v>
      </x:c>
      <x:c r="T92" s="49" t="s">
        <x:v>98</x:v>
      </x:c>
      <x:c r="U92" s="49" t="str">
        <x:f t="shared" si="6"/>
        <x:v>黑</x:v>
      </x:c>
      <x:c r="V92" s="50">
        <x:f t="shared" si="7"/>
        <x:v>0.83</x:v>
      </x:c>
      <x:c r="W92" s="50">
        <x:f t="shared" si="9"/>
        <x:v>-1</x:v>
      </x:c>
      <x:c r="X92" s="57">
        <x:v>0.96</x:v>
      </x:c>
      <x:c r="Y92" s="57">
        <x:v>0.25</x:v>
      </x:c>
      <x:c r="Z92" s="57">
        <x:v>0.8</x:v>
      </x:c>
      <x:c r="AA92" s="57">
        <x:v>-0.25</x:v>
      </x:c>
      <x:c r="AB92" s="57">
        <x:v>0.96</x:v>
      </x:c>
      <x:c r="AC92" s="57">
        <x:v>0.99</x:v>
      </x:c>
      <x:c r="AD92" s="57">
        <x:v>2.22</x:v>
      </x:c>
      <x:c r="AE92" s="57">
        <x:v>3.47</x:v>
      </x:c>
      <x:c r="AF92" s="57">
        <x:v>2.72</x:v>
      </x:c>
      <x:c r="AG92" s="58">
        <x:v>0.106281947314326</x:v>
      </x:c>
      <x:c r="AH92" s="58">
        <x:v>0.0562819473143257</x:v>
      </x:c>
      <x:c r="AI92" s="58">
        <x:v>0.40717508908465</x:v>
      </x:c>
      <x:c r="AJ92" s="58">
        <x:v>0.26049818379479</x:v>
      </x:c>
      <x:c r="AK92" s="58">
        <x:v>0.33232672712056</x:v>
      </x:c>
      <x:c r="AL92" s="57">
        <x:v>1.4</x:v>
      </x:c>
      <x:c r="AM92" s="57">
        <x:v>1.24</x:v>
      </x:c>
      <x:c r="AN92" s="57">
        <x:v>0.000197058828820982</x:v>
      </x:c>
      <x:c r="AO92" s="57">
        <x:v>1.13738598582812</x:v>
      </x:c>
      <x:c r="AP92" s="57">
        <x:v>-0.147385985828119</x:v>
      </x:c>
      <x:c r="AQ92" s="59" t="s">
        <x:v>99</x:v>
      </x:c>
      <x:c r="AR92" s="57">
        <x:v>-0.25</x:v>
      </x:c>
      <x:c r="AS92" s="57">
        <x:v>0.406901769621006</x:v>
      </x:c>
      <x:c r="AT92" s="57">
        <x:v>0.462804370375594</x:v>
      </x:c>
      <x:c r="AU92" s="57">
        <x:v>2.24</x:v>
      </x:c>
      <x:c r="AV92" s="57">
        <x:v>3.52</x:v>
      </x:c>
      <x:c r="AW92" s="57">
        <x:v>2.71</x:v>
      </x:c>
      <x:c r="AX92" s="59" t="s">
        <x:v>100</x:v>
      </x:c>
      <x:c r="AY92" s="59" t="s">
        <x:v>101</x:v>
      </x:c>
    </x:row>
    <x:row r="93" ht="22" customHeight="1">
      <x:c r="A93" s="49" t="s">
        <x:v>470</x:v>
      </x:c>
      <x:c r="B93" s="49" t="s">
        <x:v>481</x:v>
      </x:c>
      <x:c r="C93" s="49" t="s">
        <x:v>89</x:v>
      </x:c>
      <x:c r="D93" s="49" t="s">
        <x:v>116</x:v>
      </x:c>
      <x:c r="E93" s="49" t="s">
        <x:v>117</x:v>
      </x:c>
      <x:c r="F93" s="49" t="s">
        <x:v>486</x:v>
      </x:c>
      <x:c r="G93" s="60">
        <x:v>0.84</x:v>
      </x:c>
      <x:c r="H93" s="60">
        <x:v>0.25</x:v>
      </x:c>
      <x:c r="I93" s="60">
        <x:v>1.02</x:v>
      </x:c>
      <x:c r="J93" s="49" t="s">
        <x:v>487</x:v>
      </x:c>
      <x:c r="K93" s="49" t="s">
        <x:v>106</x:v>
      </x:c>
      <x:c r="L93" s="49" t="s">
        <x:v>488</x:v>
      </x:c>
      <x:c r="M93" s="61">
        <x:v>0.607</x:v>
      </x:c>
      <x:c r="N93" s="49" t="s">
        <x:v>96</x:v>
      </x:c>
      <x:c r="O93" s="49" t="s">
        <x:v>173</x:v>
      </x:c>
      <x:c r="P93" s="49" t="s">
        <x:v>30</x:v>
      </x:c>
      <x:c r="Q93" s="49" t="s">
        <x:v>11</x:v>
      </x:c>
      <x:c r="R93" s="50">
        <x:v>0.84</x:v>
      </x:c>
      <x:c r="S93" s="50">
        <x:f t="shared" si="8"/>
        <x:v>0.84</x:v>
      </x:c>
      <x:c r="T93" s="49" t="s">
        <x:v>98</x:v>
      </x:c>
      <x:c r="U93" s="49" t="str">
        <x:f t="shared" si="6"/>
        <x:v>黑</x:v>
      </x:c>
      <x:c r="V93" s="50">
        <x:f t="shared" si="7"/>
        <x:v>1.02</x:v>
      </x:c>
      <x:c r="W93" s="50">
        <x:f t="shared" si="9"/>
        <x:v>-1</x:v>
      </x:c>
      <x:c r="X93" s="57">
        <x:v>0.79</x:v>
      </x:c>
      <x:c r="Y93" s="57">
        <x:v>0.25</x:v>
      </x:c>
      <x:c r="Z93" s="57">
        <x:v>0.97</x:v>
      </x:c>
      <x:c r="AA93" s="57">
        <x:v>-0.25</x:v>
      </x:c>
      <x:c r="AB93" s="57">
        <x:v>0.79</x:v>
      </x:c>
      <x:c r="AC93" s="57">
        <x:v>0.84</x:v>
      </x:c>
      <x:c r="AD93" s="57">
        <x:v>2.03</x:v>
      </x:c>
      <x:c r="AE93" s="57">
        <x:v>3.36</x:v>
      </x:c>
      <x:c r="AF93" s="57">
        <x:v>3.2</x:v>
      </x:c>
      <x:c r="AG93" s="58">
        <x:v>0.102729885057471</x:v>
      </x:c>
      <x:c r="AH93" s="58">
        <x:v>0.0527298850574714</x:v>
      </x:c>
      <x:c r="AI93" s="58">
        <x:v>0.446719404374127</x:v>
      </x:c>
      <x:c r="AJ93" s="58">
        <x:v>0.269892973476035</x:v>
      </x:c>
      <x:c r="AK93" s="58">
        <x:v>0.283387622149837</x:v>
      </x:c>
      <x:c r="AL93" s="57">
        <x:v>1.38</x:v>
      </x:c>
      <x:c r="AM93" s="57">
        <x:v>1.04</x:v>
      </x:c>
      <x:c r="AN93" s="57">
        <x:v>0.000316001247256749</x:v>
      </x:c>
      <x:c r="AO93" s="57">
        <x:v>0.936534209644672</x:v>
      </x:c>
      <x:c r="AP93" s="57">
        <x:v>-0.0965342096446723</x:v>
      </x:c>
      <x:c r="AQ93" s="59" t="s">
        <x:v>99</x:v>
      </x:c>
      <x:c r="AR93" s="57">
        <x:v>-0.25</x:v>
      </x:c>
      <x:c r="AS93" s="57">
        <x:v>0.446589521014033</x:v>
      </x:c>
      <x:c r="AT93" s="57">
        <x:v>0.41824636409847</x:v>
      </x:c>
      <x:c r="AU93" s="57">
        <x:v>2.05</x:v>
      </x:c>
      <x:c r="AV93" s="57">
        <x:v>3.37</x:v>
      </x:c>
      <x:c r="AW93" s="57">
        <x:v>3.23</x:v>
      </x:c>
      <x:c r="AX93" s="59" t="s">
        <x:v>100</x:v>
      </x:c>
      <x:c r="AY93" s="59" t="s">
        <x:v>101</x:v>
      </x:c>
    </x:row>
    <x:row r="94" ht="22" customHeight="1">
      <x:c r="A94" s="49" t="s">
        <x:v>470</x:v>
      </x:c>
      <x:c r="B94" s="49" t="s">
        <x:v>489</x:v>
      </x:c>
      <x:c r="C94" s="49" t="s">
        <x:v>89</x:v>
      </x:c>
      <x:c r="D94" s="49" t="s">
        <x:v>90</x:v>
      </x:c>
      <x:c r="E94" s="49" t="s">
        <x:v>91</x:v>
      </x:c>
      <x:c r="F94" s="49" t="s">
        <x:v>490</x:v>
      </x:c>
      <x:c r="G94" s="60">
        <x:v>1.07</x:v>
      </x:c>
      <x:c r="H94" s="60">
        <x:v>-1.25</x:v>
      </x:c>
      <x:c r="I94" s="60">
        <x:v>0.75</x:v>
      </x:c>
      <x:c r="J94" s="49" t="s">
        <x:v>491</x:v>
      </x:c>
      <x:c r="K94" s="49" t="s">
        <x:v>106</x:v>
      </x:c>
      <x:c r="L94" s="49" t="s">
        <x:v>492</x:v>
      </x:c>
      <x:c r="M94" s="61">
        <x:v>0.607</x:v>
      </x:c>
      <x:c r="N94" s="49" t="s">
        <x:v>96</x:v>
      </x:c>
      <x:c r="O94" s="49" t="s">
        <x:v>169</x:v>
      </x:c>
      <x:c r="P94" s="49" t="s">
        <x:v>30</x:v>
      </x:c>
      <x:c r="Q94" s="49" t="s">
        <x:v>20</x:v>
      </x:c>
      <x:c r="R94" s="50">
        <x:v>0.75</x:v>
      </x:c>
      <x:c r="S94" s="50">
        <x:f t="shared" si="8"/>
        <x:v>-0.5</x:v>
      </x:c>
      <x:c r="T94" s="49" t="s">
        <x:v>98</x:v>
      </x:c>
      <x:c r="U94" s="49" t="str">
        <x:f t="shared" si="6"/>
        <x:v>半红</x:v>
      </x:c>
      <x:c r="V94" s="50">
        <x:f t="shared" si="7"/>
        <x:v>1.07</x:v>
      </x:c>
      <x:c r="W94" s="50">
        <x:f t="shared" si="9"/>
        <x:v>0.535</x:v>
      </x:c>
      <x:c r="X94" s="57">
        <x:v>0.77</x:v>
      </x:c>
      <x:c r="Y94" s="57">
        <x:v>-1.25</x:v>
      </x:c>
      <x:c r="Z94" s="57">
        <x:v>0.93</x:v>
      </x:c>
      <x:c r="AA94" s="57">
        <x:v>-1.25</x:v>
      </x:c>
      <x:c r="AB94" s="57">
        <x:v>0.93</x:v>
      </x:c>
      <x:c r="AC94" s="57">
        <x:v>0.75</x:v>
      </x:c>
      <x:c r="AD94" s="57">
        <x:v>5.28</x:v>
      </x:c>
      <x:c r="AE94" s="57">
        <x:v>4.02</x:v>
      </x:c>
      <x:c r="AF94" s="57">
        <x:v>1.49</x:v>
      </x:c>
      <x:c r="AG94" s="58">
        <x:v>0.109291097896727</x:v>
      </x:c>
      <x:c r="AH94" s="58">
        <x:v>0.0592910978967274</x:v>
      </x:c>
      <x:c r="AI94" s="58">
        <x:v>0.170734210121257</x:v>
      </x:c>
      <x:c r="AJ94" s="58">
        <x:v>0.224247917771203</x:v>
      </x:c>
      <x:c r="AK94" s="58">
        <x:v>0.605017872107541</x:v>
      </x:c>
      <x:c r="AL94" s="57">
        <x:v>0.86</x:v>
      </x:c>
      <x:c r="AM94" s="57">
        <x:v>1.84</x:v>
      </x:c>
      <x:c r="AN94" s="57">
        <x:v>0.000329438325797118</x:v>
      </x:c>
      <x:c r="AO94" s="57">
        <x:v>1.46932256354162</x:v>
      </x:c>
      <x:c r="AP94" s="57">
        <x:v>-0.71932256354162</x:v>
      </x:c>
      <x:c r="AQ94" s="59" t="s">
        <x:v>99</x:v>
      </x:c>
      <x:c r="AR94" s="57">
        <x:v>-1.25</x:v>
      </x:c>
      <x:c r="AS94" s="57">
        <x:v>0.354148494648462</x:v>
      </x:c>
      <x:c r="AT94" s="57">
        <x:v>0.520358374031284</x:v>
      </x:c>
      <x:c r="AU94" s="57">
        <x:v>6.53</x:v>
      </x:c>
      <x:c r="AV94" s="57">
        <x:v>4.36</x:v>
      </x:c>
      <x:c r="AW94" s="57">
        <x:v>1.39</x:v>
      </x:c>
      <x:c r="AX94" s="59" t="s">
        <x:v>100</x:v>
      </x:c>
      <x:c r="AY94" s="59" t="s">
        <x:v>101</x:v>
      </x:c>
    </x:row>
    <x:row r="95" ht="22" customHeight="1">
      <x:c r="A95" s="49" t="s">
        <x:v>470</x:v>
      </x:c>
      <x:c r="B95" s="49" t="s">
        <x:v>493</x:v>
      </x:c>
      <x:c r="C95" s="49" t="s">
        <x:v>136</x:v>
      </x:c>
      <x:c r="D95" s="49" t="s">
        <x:v>116</x:v>
      </x:c>
      <x:c r="E95" s="49" t="s">
        <x:v>137</x:v>
      </x:c>
      <x:c r="F95" s="49" t="s">
        <x:v>494</x:v>
      </x:c>
      <x:c r="G95" s="60">
        <x:v>0.82</x:v>
      </x:c>
      <x:c r="H95" s="60">
        <x:v>-0.25</x:v>
      </x:c>
      <x:c r="I95" s="60">
        <x:v>1.06</x:v>
      </x:c>
      <x:c r="J95" s="49" t="s">
        <x:v>495</x:v>
      </x:c>
      <x:c r="K95" s="49" t="s">
        <x:v>189</x:v>
      </x:c>
      <x:c r="L95" s="49" t="s">
        <x:v>496</x:v>
      </x:c>
      <x:c r="M95" s="61">
        <x:v>0.549</x:v>
      </x:c>
      <x:c r="N95" s="49" t="s">
        <x:v>96</x:v>
      </x:c>
      <x:c r="O95" s="49" t="s">
        <x:v>273</x:v>
      </x:c>
      <x:c r="P95" s="49" t="s">
        <x:v>30</x:v>
      </x:c>
      <x:c r="Q95" s="49" t="s">
        <x:v>20</x:v>
      </x:c>
      <x:c r="R95" s="50">
        <x:v>1.06</x:v>
      </x:c>
      <x:c r="S95" s="50">
        <x:f t="shared" si="8"/>
        <x:v>-0.5</x:v>
      </x:c>
      <x:c r="T95" s="49" t="s">
        <x:v>98</x:v>
      </x:c>
      <x:c r="U95" s="49" t="str">
        <x:f t="shared" si="6"/>
        <x:v>半红</x:v>
      </x:c>
      <x:c r="V95" s="50">
        <x:f t="shared" si="7"/>
        <x:v>0.82</x:v>
      </x:c>
      <x:c r="W95" s="50">
        <x:f t="shared" si="9"/>
        <x:v>0.41</x:v>
      </x:c>
      <x:c r="X95" s="57">
        <x:v>0.86</x:v>
      </x:c>
      <x:c r="Y95" s="57">
        <x:v>0</x:v>
      </x:c>
      <x:c r="Z95" s="57">
        <x:v>0.96</x:v>
      </x:c>
      <x:c r="AA95" s="57">
        <x:v>0</x:v>
      </x:c>
      <x:c r="AB95" s="57">
        <x:v>0.96</x:v>
      </x:c>
      <x:c r="AC95" s="57">
        <x:v>1.06</x:v>
      </x:c>
      <x:c r="AD95" s="57">
        <x:v>2.65</x:v>
      </x:c>
      <x:c r="AE95" s="57">
        <x:v>3.13</x:v>
      </x:c>
      <x:c r="AF95" s="57">
        <x:v>2.57</x:v>
      </x:c>
      <x:c r="AG95" s="58">
        <x:v>0.0859523668231703</x:v>
      </x:c>
      <x:c r="AH95" s="58">
        <x:v>0.0359523668231703</x:v>
      </x:c>
      <x:c r="AI95" s="58">
        <x:v>0.347490831177022</x:v>
      </x:c>
      <x:c r="AJ95" s="58">
        <x:v>0.29420150243422</x:v>
      </x:c>
      <x:c r="AK95" s="58">
        <x:v>0.358307666388758</x:v>
      </x:c>
      <x:c r="AL95" s="57">
        <x:v>1.07</x:v>
      </x:c>
      <x:c r="AM95" s="57">
        <x:v>1.09</x:v>
      </x:c>
      <x:c r="AN95" s="57">
        <x:v>0.000353383453791985</x:v>
      </x:c>
      <x:c r="AO95" s="57">
        <x:v>1.38319528059392</x:v>
      </x:c>
      <x:c r="AP95" s="57">
        <x:v>-0.323195280593921</x:v>
      </x:c>
      <x:c r="AQ95" s="59" t="s">
        <x:v>99</x:v>
      </x:c>
      <x:c r="AR95" s="57">
        <x:v>-0.25</x:v>
      </x:c>
      <x:c r="AS95" s="57">
        <x:v>0.357814310900067</x:v>
      </x:c>
      <x:c r="AT95" s="57">
        <x:v>0.494927066165939</x:v>
      </x:c>
      <x:c r="AU95" s="57">
        <x:v>2.93</x:v>
      </x:c>
      <x:c r="AV95" s="57">
        <x:v>3.19</x:v>
      </x:c>
      <x:c r="AW95" s="57">
        <x:v>2.36</x:v>
      </x:c>
      <x:c r="AX95" s="59" t="s">
        <x:v>100</x:v>
      </x:c>
      <x:c r="AY95" s="59" t="s">
        <x:v>101</x:v>
      </x:c>
    </x:row>
    <x:row r="96" ht="22" customHeight="1">
      <x:c r="A96" s="49" t="s">
        <x:v>470</x:v>
      </x:c>
      <x:c r="B96" s="49" t="s">
        <x:v>497</x:v>
      </x:c>
      <x:c r="C96" s="49" t="s">
        <x:v>244</x:v>
      </x:c>
      <x:c r="D96" s="49" t="s">
        <x:v>116</x:v>
      </x:c>
      <x:c r="E96" s="49" t="s">
        <x:v>498</x:v>
      </x:c>
      <x:c r="F96" s="49" t="s">
        <x:v>499</x:v>
      </x:c>
      <x:c r="G96" s="60">
        <x:v>0.86</x:v>
      </x:c>
      <x:c r="H96" s="60">
        <x:v>0.25</x:v>
      </x:c>
      <x:c r="I96" s="60">
        <x:v>0.9</x:v>
      </x:c>
      <x:c r="J96" s="49" t="s">
        <x:v>500</x:v>
      </x:c>
      <x:c r="K96" s="49" t="s">
        <x:v>106</x:v>
      </x:c>
      <x:c r="L96" s="49" t="s">
        <x:v>501</x:v>
      </x:c>
      <x:c r="M96" s="61">
        <x:v>0.591</x:v>
      </x:c>
      <x:c r="N96" s="49" t="s">
        <x:v>96</x:v>
      </x:c>
      <x:c r="O96" s="49" t="s">
        <x:v>161</x:v>
      </x:c>
      <x:c r="P96" s="49" t="s">
        <x:v>30</x:v>
      </x:c>
      <x:c r="Q96" s="49" t="s">
        <x:v>11</x:v>
      </x:c>
      <x:c r="R96" s="50">
        <x:v>0.86</x:v>
      </x:c>
      <x:c r="S96" s="50">
        <x:f t="shared" si="8"/>
        <x:v>0.86</x:v>
      </x:c>
      <x:c r="T96" s="49" t="s">
        <x:v>98</x:v>
      </x:c>
      <x:c r="U96" s="49" t="str">
        <x:f t="shared" si="6"/>
        <x:v>黑</x:v>
      </x:c>
      <x:c r="V96" s="50">
        <x:f t="shared" si="7"/>
        <x:v>0.9</x:v>
      </x:c>
      <x:c r="W96" s="50">
        <x:f t="shared" si="9"/>
        <x:v>-1</x:v>
      </x:c>
      <x:c r="X96" s="57">
        <x:v>0.93</x:v>
      </x:c>
      <x:c r="Y96" s="57">
        <x:v>0</x:v>
      </x:c>
      <x:c r="Z96" s="57">
        <x:v>0.83</x:v>
      </x:c>
      <x:c r="AA96" s="57">
        <x:v>0</x:v>
      </x:c>
      <x:c r="AB96" s="57">
        <x:v>0.93</x:v>
      </x:c>
      <x:c r="AC96" s="57">
        <x:v>0.86</x:v>
      </x:c>
      <x:c r="AD96" s="57">
        <x:v>2.19</x:v>
      </x:c>
      <x:c r="AE96" s="57">
        <x:v>3.16</x:v>
      </x:c>
      <x:c r="AF96" s="57">
        <x:v>2.94</x:v>
      </x:c>
      <x:c r="AG96" s="58">
        <x:v>0.11321275519051</x:v>
      </x:c>
      <x:c r="AH96" s="58">
        <x:v>0.0632127551905104</x:v>
      </x:c>
      <x:c r="AI96" s="58">
        <x:v>0.410183051206654</x:v>
      </x:c>
      <x:c r="AJ96" s="58">
        <x:v>0.284272431057776</x:v>
      </x:c>
      <x:c r="AK96" s="58">
        <x:v>0.305544517735569</x:v>
      </x:c>
      <x:c r="AL96" s="57">
        <x:v>1.24</x:v>
      </x:c>
      <x:c r="AM96" s="57">
        <x:v>1.03</x:v>
      </x:c>
      <x:c r="AN96" s="57">
        <x:v>0.000353200031853894</x:v>
      </x:c>
      <x:c r="AO96" s="57">
        <x:v>1.0922296095781</x:v>
      </x:c>
      <x:c r="AP96" s="57">
        <x:v>-0.232229609578095</x:v>
      </x:c>
      <x:c r="AQ96" s="59" t="s">
        <x:v>99</x:v>
      </x:c>
      <x:c r="AR96" s="57">
        <x:v>-0.25</x:v>
      </x:c>
      <x:c r="AS96" s="57">
        <x:v>0.410118530118149</x:v>
      </x:c>
      <x:c r="AT96" s="57">
        <x:v>0.447943602031688</x:v>
      </x:c>
      <x:c r="AU96" s="57">
        <x:v>2.14</x:v>
      </x:c>
      <x:c r="AV96" s="57">
        <x:v>3.2</x:v>
      </x:c>
      <x:c r="AW96" s="57">
        <x:v>3.04</x:v>
      </x:c>
      <x:c r="AX96" s="59" t="s">
        <x:v>100</x:v>
      </x:c>
      <x:c r="AY96" s="59" t="s">
        <x:v>101</x:v>
      </x:c>
    </x:row>
    <x:row r="97" ht="22" customHeight="1">
      <x:c r="A97" s="49" t="s">
        <x:v>470</x:v>
      </x:c>
      <x:c r="B97" s="49" t="s">
        <x:v>497</x:v>
      </x:c>
      <x:c r="C97" s="49" t="s">
        <x:v>333</x:v>
      </x:c>
      <x:c r="D97" s="49" t="s">
        <x:v>90</x:v>
      </x:c>
      <x:c r="E97" s="49" t="s">
        <x:v>110</x:v>
      </x:c>
      <x:c r="F97" s="49" t="s">
        <x:v>502</x:v>
      </x:c>
      <x:c r="G97" s="60">
        <x:v>0.82</x:v>
      </x:c>
      <x:c r="H97" s="60">
        <x:v>0.75</x:v>
      </x:c>
      <x:c r="I97" s="60">
        <x:v>1.07</x:v>
      </x:c>
      <x:c r="J97" s="49" t="s">
        <x:v>503</x:v>
      </x:c>
      <x:c r="K97" s="49" t="s">
        <x:v>106</x:v>
      </x:c>
      <x:c r="L97" s="49" t="s">
        <x:v>504</x:v>
      </x:c>
      <x:c r="M97" s="61">
        <x:v>0.596</x:v>
      </x:c>
      <x:c r="N97" s="49" t="s">
        <x:v>96</x:v>
      </x:c>
      <x:c r="O97" s="49" t="s">
        <x:v>337</x:v>
      </x:c>
      <x:c r="P97" s="49" t="s">
        <x:v>30</x:v>
      </x:c>
      <x:c r="Q97" s="49" t="s">
        <x:v>11</x:v>
      </x:c>
      <x:c r="R97" s="50">
        <x:v>0.82</x:v>
      </x:c>
      <x:c r="S97" s="50">
        <x:f t="shared" si="8"/>
        <x:v>0.82</x:v>
      </x:c>
      <x:c r="T97" s="49" t="s">
        <x:v>98</x:v>
      </x:c>
      <x:c r="U97" s="49" t="str">
        <x:f t="shared" si="6"/>
        <x:v>黑</x:v>
      </x:c>
      <x:c r="V97" s="50">
        <x:f t="shared" si="7"/>
        <x:v>1.07</x:v>
      </x:c>
      <x:c r="W97" s="50">
        <x:f t="shared" si="9"/>
        <x:v>-1</x:v>
      </x:c>
      <x:c r="X97" s="57">
        <x:v>0.86</x:v>
      </x:c>
      <x:c r="Y97" s="57">
        <x:v>0.75</x:v>
      </x:c>
      <x:c r="Z97" s="57">
        <x:v>1.02</x:v>
      </x:c>
      <x:c r="AA97" s="57">
        <x:v>-0.75</x:v>
      </x:c>
      <x:c r="AB97" s="57">
        <x:v>0.86</x:v>
      </x:c>
      <x:c r="AC97" s="57">
        <x:v>0.82</x:v>
      </x:c>
      <x:c r="AD97" s="57">
        <x:v>1.6</x:v>
      </x:c>
      <x:c r="AE97" s="57">
        <x:v>3.95</x:v>
      </x:c>
      <x:c r="AF97" s="57">
        <x:v>4.98</x:v>
      </x:c>
      <x:c r="AG97" s="58">
        <x:v>0.078967769813431</x:v>
      </x:c>
      <x:c r="AH97" s="58">
        <x:v>0.028967769813431</x:v>
      </x:c>
      <x:c r="AI97" s="58">
        <x:v>0.579257339733208</x:v>
      </x:c>
      <x:c r="AJ97" s="58">
        <x:v>0.234635884448894</x:v>
      </x:c>
      <x:c r="AK97" s="58">
        <x:v>0.186106775817898</x:v>
      </x:c>
      <x:c r="AL97" s="57">
        <x:v>1.74</x:v>
      </x:c>
      <x:c r="AM97" s="57">
        <x:v>0.87</x:v>
      </x:c>
      <x:c r="AN97" s="57">
        <x:v>0.000421760106334154</x:v>
      </x:c>
      <x:c r="AO97" s="57">
        <x:v>0.927002510761106</x:v>
      </x:c>
      <x:c r="AP97" s="57">
        <x:v>-0.107002510761106</x:v>
      </x:c>
      <x:c r="AQ97" s="59" t="s">
        <x:v>99</x:v>
      </x:c>
      <x:c r="AR97" s="57">
        <x:v>-0.75</x:v>
      </x:c>
      <x:c r="AS97" s="57">
        <x:v>0.453409494760577</x:v>
      </x:c>
      <x:c r="AT97" s="57">
        <x:v>0.42031174004598</x:v>
      </x:c>
      <x:c r="AU97" s="57">
        <x:v>1.62</x:v>
      </x:c>
      <x:c r="AV97" s="57">
        <x:v>3.98</x:v>
      </x:c>
      <x:c r="AW97" s="57">
        <x:v>5.05</x:v>
      </x:c>
      <x:c r="AX97" s="59" t="s">
        <x:v>100</x:v>
      </x:c>
      <x:c r="AY97" s="59" t="s">
        <x:v>101</x:v>
      </x:c>
    </x:row>
    <x:row r="98" ht="22" customHeight="1">
      <x:c r="A98" s="49" t="s">
        <x:v>470</x:v>
      </x:c>
      <x:c r="B98" s="49" t="s">
        <x:v>505</x:v>
      </x:c>
      <x:c r="C98" s="49" t="s">
        <x:v>136</x:v>
      </x:c>
      <x:c r="D98" s="49" t="s">
        <x:v>116</x:v>
      </x:c>
      <x:c r="E98" s="49" t="s">
        <x:v>137</x:v>
      </x:c>
      <x:c r="F98" s="49" t="s">
        <x:v>506</x:v>
      </x:c>
      <x:c r="G98" s="60">
        <x:v>0.85</x:v>
      </x:c>
      <x:c r="H98" s="60">
        <x:v>0.75</x:v>
      </x:c>
      <x:c r="I98" s="60">
        <x:v>1.03</x:v>
      </x:c>
      <x:c r="J98" s="49" t="s">
        <x:v>507</x:v>
      </x:c>
      <x:c r="K98" s="49" t="s">
        <x:v>106</x:v>
      </x:c>
      <x:c r="L98" s="49" t="s">
        <x:v>508</x:v>
      </x:c>
      <x:c r="M98" s="61">
        <x:v>0.612</x:v>
      </x:c>
      <x:c r="N98" s="49" t="s">
        <x:v>96</x:v>
      </x:c>
      <x:c r="O98" s="49" t="s">
        <x:v>141</x:v>
      </x:c>
      <x:c r="P98" s="49" t="s">
        <x:v>30</x:v>
      </x:c>
      <x:c r="Q98" s="49" t="s">
        <x:v>11</x:v>
      </x:c>
      <x:c r="R98" s="50">
        <x:v>0.85</x:v>
      </x:c>
      <x:c r="S98" s="50">
        <x:f t="shared" si="8"/>
        <x:v>0.85</x:v>
      </x:c>
      <x:c r="T98" s="49" t="s">
        <x:v>98</x:v>
      </x:c>
      <x:c r="U98" s="49" t="str">
        <x:f t="shared" si="6"/>
        <x:v>黑</x:v>
      </x:c>
      <x:c r="V98" s="50">
        <x:f t="shared" si="7"/>
        <x:v>1.03</x:v>
      </x:c>
      <x:c r="W98" s="50">
        <x:f t="shared" si="9"/>
        <x:v>-1</x:v>
      </x:c>
      <x:c r="X98" s="57">
        <x:v>0.91</x:v>
      </x:c>
      <x:c r="Y98" s="57">
        <x:v>0.5</x:v>
      </x:c>
      <x:c r="Z98" s="57">
        <x:v>0.91</x:v>
      </x:c>
      <x:c r="AA98" s="57">
        <x:v>-0.5</x:v>
      </x:c>
      <x:c r="AB98" s="57">
        <x:v>0.91</x:v>
      </x:c>
      <x:c r="AC98" s="57">
        <x:v>0.85</x:v>
      </x:c>
      <x:c r="AD98" s="57">
        <x:v>1.82</x:v>
      </x:c>
      <x:c r="AE98" s="57">
        <x:v>3.61</x:v>
      </x:c>
      <x:c r="AF98" s="57">
        <x:v>3.93</x:v>
      </x:c>
      <x:c r="AG98" s="58">
        <x:v>0.0809117859085082</x:v>
      </x:c>
      <x:c r="AH98" s="58">
        <x:v>0.0309117859085082</x:v>
      </x:c>
      <x:c r="AI98" s="58">
        <x:v>0.508321360367752</x:v>
      </x:c>
      <x:c r="AJ98" s="58">
        <x:v>0.256272818800363</x:v>
      </x:c>
      <x:c r="AK98" s="58">
        <x:v>0.235405820831885</x:v>
      </x:c>
      <x:c r="AL98" s="57">
        <x:v>1.54</x:v>
      </x:c>
      <x:c r="AM98" s="57">
        <x:v>0.96</x:v>
      </x:c>
      <x:c r="AN98" s="57">
        <x:v>0.00021155184838943</x:v>
      </x:c>
      <x:c r="AO98" s="57">
        <x:v>1.27766395946633</x:v>
      </x:c>
      <x:c r="AP98" s="57">
        <x:v>-0.427663959466333</x:v>
      </x:c>
      <x:c r="AQ98" s="59" t="s">
        <x:v>99</x:v>
      </x:c>
      <x:c r="AR98" s="57">
        <x:v>-0.75</x:v>
      </x:c>
      <x:c r="AS98" s="57">
        <x:v>0.38505786389997</x:v>
      </x:c>
      <x:c r="AT98" s="57">
        <x:v>0.491974555014084</x:v>
      </x:c>
      <x:c r="AU98" s="57">
        <x:v>1.65</x:v>
      </x:c>
      <x:c r="AV98" s="57">
        <x:v>3.86</x:v>
      </x:c>
      <x:c r="AW98" s="57">
        <x:v>4.63</x:v>
      </x:c>
      <x:c r="AX98" s="59" t="s">
        <x:v>100</x:v>
      </x:c>
      <x:c r="AY98" s="59" t="s">
        <x:v>101</x:v>
      </x:c>
    </x:row>
    <x:row r="99" ht="22" customHeight="1">
      <x:c r="A99" s="49" t="s">
        <x:v>470</x:v>
      </x:c>
      <x:c r="B99" s="49" t="s">
        <x:v>509</x:v>
      </x:c>
      <x:c r="C99" s="49" t="s">
        <x:v>89</x:v>
      </x:c>
      <x:c r="D99" s="49" t="s">
        <x:v>116</x:v>
      </x:c>
      <x:c r="E99" s="49" t="s">
        <x:v>510</x:v>
      </x:c>
      <x:c r="F99" s="49" t="s">
        <x:v>511</x:v>
      </x:c>
      <x:c r="G99" s="60">
        <x:v>1.02</x:v>
      </x:c>
      <x:c r="H99" s="60">
        <x:v>-0.75</x:v>
      </x:c>
      <x:c r="I99" s="60">
        <x:v>0.87</x:v>
      </x:c>
      <x:c r="J99" s="49" t="s">
        <x:v>512</x:v>
      </x:c>
      <x:c r="K99" s="49" t="s">
        <x:v>94</x:v>
      </x:c>
      <x:c r="L99" s="49" t="s">
        <x:v>513</x:v>
      </x:c>
      <x:c r="M99" s="61">
        <x:v>0.574</x:v>
      </x:c>
      <x:c r="N99" s="49" t="s">
        <x:v>96</x:v>
      </x:c>
      <x:c r="O99" s="49" t="s">
        <x:v>114</x:v>
      </x:c>
      <x:c r="P99" s="49" t="s">
        <x:v>30</x:v>
      </x:c>
      <x:c r="Q99" s="49" t="s">
        <x:v>11</x:v>
      </x:c>
      <x:c r="R99" s="50">
        <x:v>0.87</x:v>
      </x:c>
      <x:c r="S99" s="50">
        <x:f t="shared" si="8"/>
        <x:v>0.87</x:v>
      </x:c>
      <x:c r="T99" s="49" t="s">
        <x:v>98</x:v>
      </x:c>
      <x:c r="U99" s="49" t="str">
        <x:f t="shared" si="6"/>
        <x:v>黑</x:v>
      </x:c>
      <x:c r="V99" s="50">
        <x:f t="shared" si="7"/>
        <x:v>1.02</x:v>
      </x:c>
      <x:c r="W99" s="50">
        <x:f t="shared" si="9"/>
        <x:v>-1</x:v>
      </x:c>
      <x:c r="X99" s="57">
        <x:v>1.02</x:v>
      </x:c>
      <x:c r="Y99" s="57">
        <x:v>-0.5</x:v>
      </x:c>
      <x:c r="Z99" s="57">
        <x:v>0.86</x:v>
      </x:c>
      <x:c r="AA99" s="57">
        <x:v>-0.5</x:v>
      </x:c>
      <x:c r="AB99" s="57">
        <x:v>0.86</x:v>
      </x:c>
      <x:c r="AC99" s="57">
        <x:v>0.87</x:v>
      </x:c>
      <x:c r="AD99" s="57">
        <x:v>3.39</x:v>
      </x:c>
      <x:c r="AE99" s="57">
        <x:v>3.68</x:v>
      </x:c>
      <x:c r="AF99" s="57">
        <x:v>1.98</x:v>
      </x:c>
      <x:c r="AG99" s="58">
        <x:v>0.0717748862227507</x:v>
      </x:c>
      <x:c r="AH99" s="58">
        <x:v>0.0217748862227507</x:v>
      </x:c>
      <x:c r="AI99" s="58">
        <x:v>0.275230605353217</x:v>
      </x:c>
      <x:c r="AJ99" s="58">
        <x:v>0.253541236996578</x:v>
      </x:c>
      <x:c r="AK99" s="58">
        <x:v>0.471228157650205</x:v>
      </x:c>
      <x:c r="AL99" s="57">
        <x:v>1.12</x:v>
      </x:c>
      <x:c r="AM99" s="57">
        <x:v>1.55</x:v>
      </x:c>
      <x:c r="AN99" s="57">
        <x:v>0.00080763445682894</x:v>
      </x:c>
      <x:c r="AO99" s="57">
        <x:v>1.48003410366515</x:v>
      </x:c>
      <x:c r="AP99" s="57">
        <x:v>-0.610034103665153</x:v>
      </x:c>
      <x:c r="AQ99" s="59" t="s">
        <x:v>99</x:v>
      </x:c>
      <x:c r="AR99" s="57">
        <x:v>-0.75</x:v>
      </x:c>
      <x:c r="AS99" s="57">
        <x:v>0.356501253475279</x:v>
      </x:c>
      <x:c r="AT99" s="57">
        <x:v>0.527634013142787</x:v>
      </x:c>
      <x:c r="AU99" s="57">
        <x:v>4.18</x:v>
      </x:c>
      <x:c r="AV99" s="57">
        <x:v>3.96</x:v>
      </x:c>
      <x:c r="AW99" s="57">
        <x:v>1.76</x:v>
      </x:c>
      <x:c r="AX99" s="59" t="s">
        <x:v>100</x:v>
      </x:c>
      <x:c r="AY99" s="59" t="s">
        <x:v>101</x:v>
      </x:c>
    </x:row>
    <x:row r="100" ht="22" customHeight="1">
      <x:c r="A100" s="49" t="s">
        <x:v>470</x:v>
      </x:c>
      <x:c r="B100" s="49" t="s">
        <x:v>514</x:v>
      </x:c>
      <x:c r="C100" s="49" t="s">
        <x:v>128</x:v>
      </x:c>
      <x:c r="D100" s="49" t="s">
        <x:v>90</x:v>
      </x:c>
      <x:c r="E100" s="49" t="s">
        <x:v>129</x:v>
      </x:c>
      <x:c r="F100" s="49" t="s">
        <x:v>515</x:v>
      </x:c>
      <x:c r="G100" s="60">
        <x:v>0.96</x:v>
      </x:c>
      <x:c r="H100" s="60">
        <x:v>0.25</x:v>
      </x:c>
      <x:c r="I100" s="60">
        <x:v>0.8</x:v>
      </x:c>
      <x:c r="J100" s="49" t="s">
        <x:v>516</x:v>
      </x:c>
      <x:c r="K100" s="49" t="s">
        <x:v>195</x:v>
      </x:c>
      <x:c r="L100" s="49" t="s">
        <x:v>517</x:v>
      </x:c>
      <x:c r="M100" s="61">
        <x:v>0.568</x:v>
      </x:c>
      <x:c r="N100" s="49" t="s">
        <x:v>96</x:v>
      </x:c>
      <x:c r="O100" s="49" t="s">
        <x:v>231</x:v>
      </x:c>
      <x:c r="P100" s="49" t="s">
        <x:v>30</x:v>
      </x:c>
      <x:c r="Q100" s="49" t="s">
        <x:v>11</x:v>
      </x:c>
      <x:c r="R100" s="50">
        <x:v>0.96</x:v>
      </x:c>
      <x:c r="S100" s="50">
        <x:f t="shared" si="8"/>
        <x:v>0.96</x:v>
      </x:c>
      <x:c r="T100" s="49" t="s">
        <x:v>98</x:v>
      </x:c>
      <x:c r="U100" s="49" t="str">
        <x:f t="shared" si="6"/>
        <x:v>黑</x:v>
      </x:c>
      <x:c r="V100" s="50">
        <x:f t="shared" si="7"/>
        <x:v>0.8</x:v>
      </x:c>
      <x:c r="W100" s="50">
        <x:f t="shared" si="9"/>
        <x:v>-1</x:v>
      </x:c>
      <x:c r="X100" s="57">
        <x:v>0.93</x:v>
      </x:c>
      <x:c r="Y100" s="57">
        <x:v>0.25</x:v>
      </x:c>
      <x:c r="Z100" s="57">
        <x:v>0.77</x:v>
      </x:c>
      <x:c r="AA100" s="57">
        <x:v>-0.25</x:v>
      </x:c>
      <x:c r="AB100" s="57">
        <x:v>0.93</x:v>
      </x:c>
      <x:c r="AC100" s="57">
        <x:v>0.96</x:v>
      </x:c>
      <x:c r="AD100" s="57">
        <x:v>2.09</x:v>
      </x:c>
      <x:c r="AE100" s="57">
        <x:v>3.19</x:v>
      </x:c>
      <x:c r="AF100" s="57">
        <x:v>3.28</x:v>
      </x:c>
      <x:c r="AG100" s="58">
        <x:v>0.0968265721264705</x:v>
      </x:c>
      <x:c r="AH100" s="58">
        <x:v>0.0468265721264705</x:v>
      </x:c>
      <x:c r="AI100" s="58">
        <x:v>0.436230222426049</x:v>
      </x:c>
      <x:c r="AJ100" s="58">
        <x:v>0.285806007796377</x:v>
      </x:c>
      <x:c r="AK100" s="58">
        <x:v>0.277963769777574</x:v>
      </x:c>
      <x:c r="AL100" s="57">
        <x:v>1.27</x:v>
      </x:c>
      <x:c r="AM100" s="57">
        <x:v>0.95</x:v>
      </x:c>
      <x:c r="AN100" s="57">
        <x:v>0.000877831140694647</x:v>
      </x:c>
      <x:c r="AO100" s="57">
        <x:v>0.960518275250455</x:v>
      </x:c>
      <x:c r="AP100" s="57">
        <x:v>-0.000518275250454669</x:v>
      </x:c>
      <x:c r="AQ100" s="59" t="s">
        <x:v>174</x:v>
      </x:c>
      <x:c r="AR100" s="57">
        <x:v>-0.25</x:v>
      </x:c>
      <x:c r="AS100" s="57">
        <x:v>0.437412936036395</x:v>
      </x:c>
      <x:c r="AT100" s="57">
        <x:v>0.420143118893916</x:v>
      </x:c>
      <x:c r="AU100" s="57">
        <x:v>2.16</x:v>
      </x:c>
      <x:c r="AV100" s="57">
        <x:v>3.08</x:v>
      </x:c>
      <x:c r="AW100" s="57">
        <x:v>3.2</x:v>
      </x:c>
      <x:c r="AX100" s="59" t="s">
        <x:v>100</x:v>
      </x:c>
      <x:c r="AY100" s="59" t="s">
        <x:v>101</x:v>
      </x:c>
    </x:row>
    <x:row r="101" ht="22" customHeight="1">
      <x:c r="A101" s="49" t="s">
        <x:v>470</x:v>
      </x:c>
      <x:c r="B101" s="49" t="s">
        <x:v>514</x:v>
      </x:c>
      <x:c r="C101" s="49" t="s">
        <x:v>136</x:v>
      </x:c>
      <x:c r="D101" s="49" t="s">
        <x:v>116</x:v>
      </x:c>
      <x:c r="E101" s="49" t="s">
        <x:v>137</x:v>
      </x:c>
      <x:c r="F101" s="49" t="s">
        <x:v>518</x:v>
      </x:c>
      <x:c r="G101" s="60">
        <x:v>1.08</x:v>
      </x:c>
      <x:c r="H101" s="60">
        <x:v>-1</x:v>
      </x:c>
      <x:c r="I101" s="60">
        <x:v>0.8</x:v>
      </x:c>
      <x:c r="J101" s="49" t="s">
        <x:v>519</x:v>
      </x:c>
      <x:c r="K101" s="49" t="s">
        <x:v>106</x:v>
      </x:c>
      <x:c r="L101" s="49" t="s">
        <x:v>520</x:v>
      </x:c>
      <x:c r="M101" s="61">
        <x:v>0.612</x:v>
      </x:c>
      <x:c r="N101" s="49" t="s">
        <x:v>96</x:v>
      </x:c>
      <x:c r="O101" s="49" t="s">
        <x:v>114</x:v>
      </x:c>
      <x:c r="P101" s="49" t="s">
        <x:v>30</x:v>
      </x:c>
      <x:c r="Q101" s="49" t="s">
        <x:v>11</x:v>
      </x:c>
      <x:c r="R101" s="50">
        <x:v>0.8</x:v>
      </x:c>
      <x:c r="S101" s="50">
        <x:f t="shared" si="8"/>
        <x:v>0.8</x:v>
      </x:c>
      <x:c r="T101" s="49" t="s">
        <x:v>98</x:v>
      </x:c>
      <x:c r="U101" s="49" t="str">
        <x:f t="shared" si="6"/>
        <x:v>黑</x:v>
      </x:c>
      <x:c r="V101" s="50">
        <x:f t="shared" si="7"/>
        <x:v>1.08</x:v>
      </x:c>
      <x:c r="W101" s="50">
        <x:f t="shared" si="9"/>
        <x:v>-1</x:v>
      </x:c>
      <x:c r="X101" s="57">
        <x:v>1</x:v>
      </x:c>
      <x:c r="Y101" s="57">
        <x:v>-1</x:v>
      </x:c>
      <x:c r="Z101" s="57">
        <x:v>0.82</x:v>
      </x:c>
      <x:c r="AA101" s="57">
        <x:v>-1</x:v>
      </x:c>
      <x:c r="AB101" s="57">
        <x:v>0.82</x:v>
      </x:c>
      <x:c r="AC101" s="57">
        <x:v>0.8</x:v>
      </x:c>
      <x:c r="AD101" s="57">
        <x:v>5.31</x:v>
      </x:c>
      <x:c r="AE101" s="57">
        <x:v>4.42</x:v>
      </x:c>
      <x:c r="AF101" s="57">
        <x:v>1.48</x:v>
      </x:c>
      <x:c r="AG101" s="58">
        <x:v>0.0902439367045549</x:v>
      </x:c>
      <x:c r="AH101" s="58">
        <x:v>0.0402439367045549</x:v>
      </x:c>
      <x:c r="AI101" s="58">
        <x:v>0.172735578522654</x:v>
      </x:c>
      <x:c r="AJ101" s="58">
        <x:v>0.207517176912962</x:v>
      </x:c>
      <x:c r="AK101" s="58">
        <x:v>0.619747244564385</x:v>
      </x:c>
      <x:c r="AL101" s="57">
        <x:v>0.97</x:v>
      </x:c>
      <x:c r="AM101" s="57">
        <x:v>2.03</x:v>
      </x:c>
      <x:c r="AN101" s="57">
        <x:v>0.000456656600595729</x:v>
      </x:c>
      <x:c r="AO101" s="57">
        <x:v>1.00216691089487</x:v>
      </x:c>
      <x:c r="AP101" s="57">
        <x:v>-0.202166910894868</x:v>
      </x:c>
      <x:c r="AQ101" s="59" t="s">
        <x:v>99</x:v>
      </x:c>
      <x:c r="AR101" s="57">
        <x:v>-1</x:v>
      </x:c>
      <x:c r="AS101" s="57">
        <x:v>0.380011837590014</x:v>
      </x:c>
      <x:c r="AT101" s="57">
        <x:v>0.380835289381066</x:v>
      </x:c>
      <x:c r="AU101" s="57">
        <x:v>5.5</x:v>
      </x:c>
      <x:c r="AV101" s="57">
        <x:v>4.6</x:v>
      </x:c>
      <x:c r="AW101" s="57">
        <x:v>1.47</x:v>
      </x:c>
      <x:c r="AX101" s="59" t="s">
        <x:v>100</x:v>
      </x:c>
      <x:c r="AY101" s="59" t="s">
        <x:v>101</x:v>
      </x:c>
    </x:row>
    <x:row r="102" ht="22" customHeight="1">
      <x:c r="A102" s="49" t="s">
        <x:v>470</x:v>
      </x:c>
      <x:c r="B102" s="49" t="s">
        <x:v>521</x:v>
      </x:c>
      <x:c r="C102" s="49" t="s">
        <x:v>89</x:v>
      </x:c>
      <x:c r="D102" s="49" t="s">
        <x:v>116</x:v>
      </x:c>
      <x:c r="E102" s="49" t="s">
        <x:v>522</x:v>
      </x:c>
      <x:c r="F102" s="49" t="s">
        <x:v>523</x:v>
      </x:c>
      <x:c r="G102" s="60">
        <x:v>0.99</x:v>
      </x:c>
      <x:c r="H102" s="60">
        <x:v>1.25</x:v>
      </x:c>
      <x:c r="I102" s="60">
        <x:v>0.9</x:v>
      </x:c>
      <x:c r="J102" s="49" t="s">
        <x:v>524</x:v>
      </x:c>
      <x:c r="K102" s="49" t="s">
        <x:v>94</x:v>
      </x:c>
      <x:c r="L102" s="49" t="s">
        <x:v>525</x:v>
      </x:c>
      <x:c r="M102" s="61">
        <x:v>0.574</x:v>
      </x:c>
      <x:c r="N102" s="49" t="s">
        <x:v>96</x:v>
      </x:c>
      <x:c r="O102" s="49" t="s">
        <x:v>201</x:v>
      </x:c>
      <x:c r="P102" s="49" t="s">
        <x:v>30</x:v>
      </x:c>
      <x:c r="Q102" s="49" t="s">
        <x:v>20</x:v>
      </x:c>
      <x:c r="R102" s="50">
        <x:v>0.99</x:v>
      </x:c>
      <x:c r="S102" s="50">
        <x:f t="shared" si="8"/>
        <x:v>-0.5</x:v>
      </x:c>
      <x:c r="T102" s="49" t="s">
        <x:v>98</x:v>
      </x:c>
      <x:c r="U102" s="49" t="str">
        <x:f t="shared" si="6"/>
        <x:v>半红</x:v>
      </x:c>
      <x:c r="V102" s="50">
        <x:f t="shared" si="7"/>
        <x:v>0.9</x:v>
      </x:c>
      <x:c r="W102" s="50">
        <x:f t="shared" si="9"/>
        <x:v>0.45</x:v>
      </x:c>
      <x:c r="X102" s="57">
        <x:v>0.85</x:v>
      </x:c>
      <x:c r="Y102" s="57">
        <x:v>1</x:v>
      </x:c>
      <x:c r="Z102" s="57">
        <x:v>1.03</x:v>
      </x:c>
      <x:c r="AA102" s="57">
        <x:v>-1</x:v>
      </x:c>
      <x:c r="AB102" s="57">
        <x:v>0.85</x:v>
      </x:c>
      <x:c r="AC102" s="57">
        <x:v>0.99</x:v>
      </x:c>
      <x:c r="AD102" s="57">
        <x:v>1.53</x:v>
      </x:c>
      <x:c r="AE102" s="57">
        <x:v>4.23</x:v>
      </x:c>
      <x:c r="AF102" s="57">
        <x:v>5.43</x:v>
      </x:c>
      <x:c r="AG102" s="58">
        <x:v>0.0741634532422741</x:v>
      </x:c>
      <x:c r="AH102" s="58">
        <x:v>0.0241634532422741</x:v>
      </x:c>
      <x:c r="AI102" s="58">
        <x:v>0.608468636006008</x:v>
      </x:c>
      <x:c r="AJ102" s="58">
        <x:v>0.220084400257492</x:v>
      </x:c>
      <x:c r="AK102" s="58">
        <x:v>0.1714469637365</x:v>
      </x:c>
      <x:c r="AL102" s="57">
        <x:v>1.88</x:v>
      </x:c>
      <x:c r="AM102" s="57">
        <x:v>0.88</x:v>
      </x:c>
      <x:c r="AN102" s="57">
        <x:v>0.000477384287097835</x:v>
      </x:c>
      <x:c r="AO102" s="57">
        <x:v>1.42981526062956</x:v>
      </x:c>
      <x:c r="AP102" s="57">
        <x:v>-0.439815260629564</x:v>
      </x:c>
      <x:c r="AQ102" s="59" t="s">
        <x:v>99</x:v>
      </x:c>
      <x:c r="AR102" s="57">
        <x:v>-1.25</x:v>
      </x:c>
      <x:c r="AS102" s="57">
        <x:v>0.360392732609602</x:v>
      </x:c>
      <x:c r="AT102" s="57">
        <x:v>0.515295028905199</x:v>
      </x:c>
      <x:c r="AU102" s="57">
        <x:v>1.43</x:v>
      </x:c>
      <x:c r="AV102" s="57">
        <x:v>4.66</x:v>
      </x:c>
      <x:c r="AW102" s="57">
        <x:v>6.43</x:v>
      </x:c>
      <x:c r="AX102" s="59" t="s">
        <x:v>100</x:v>
      </x:c>
      <x:c r="AY102" s="59" t="s">
        <x:v>101</x:v>
      </x:c>
    </x:row>
    <x:row r="103" ht="22" customHeight="1">
      <x:c r="A103" s="49" t="s">
        <x:v>470</x:v>
      </x:c>
      <x:c r="B103" s="49" t="s">
        <x:v>521</x:v>
      </x:c>
      <x:c r="C103" s="49" t="s">
        <x:v>89</x:v>
      </x:c>
      <x:c r="D103" s="49" t="s">
        <x:v>116</x:v>
      </x:c>
      <x:c r="E103" s="49" t="s">
        <x:v>387</x:v>
      </x:c>
      <x:c r="F103" s="49" t="s">
        <x:v>526</x:v>
      </x:c>
      <x:c r="G103" s="60">
        <x:v>0.96</x:v>
      </x:c>
      <x:c r="H103" s="60">
        <x:v>0.5</x:v>
      </x:c>
      <x:c r="I103" s="60">
        <x:v>0.93</x:v>
      </x:c>
      <x:c r="J103" s="49" t="s">
        <x:v>262</x:v>
      </x:c>
      <x:c r="K103" s="49" t="s">
        <x:v>94</x:v>
      </x:c>
      <x:c r="L103" s="49" t="s">
        <x:v>527</x:v>
      </x:c>
      <x:c r="M103" s="61">
        <x:v>0.574</x:v>
      </x:c>
      <x:c r="N103" s="49" t="s">
        <x:v>96</x:v>
      </x:c>
      <x:c r="O103" s="49" t="s">
        <x:v>201</x:v>
      </x:c>
      <x:c r="P103" s="49" t="s">
        <x:v>30</x:v>
      </x:c>
      <x:c r="Q103" s="49" t="s">
        <x:v>11</x:v>
      </x:c>
      <x:c r="R103" s="50">
        <x:v>0.96</x:v>
      </x:c>
      <x:c r="S103" s="50">
        <x:f t="shared" si="8"/>
        <x:v>0.96</x:v>
      </x:c>
      <x:c r="T103" s="49" t="s">
        <x:v>98</x:v>
      </x:c>
      <x:c r="U103" s="49" t="str">
        <x:f t="shared" si="6"/>
        <x:v>黑</x:v>
      </x:c>
      <x:c r="V103" s="50">
        <x:f t="shared" si="7"/>
        <x:v>0.93</x:v>
      </x:c>
      <x:c r="W103" s="50">
        <x:f t="shared" si="9"/>
        <x:v>-1</x:v>
      </x:c>
      <x:c r="X103" s="57">
        <x:v>0.8</x:v>
      </x:c>
      <x:c r="Y103" s="57">
        <x:v>0.25</x:v>
      </x:c>
      <x:c r="Z103" s="57">
        <x:v>1.02</x:v>
      </x:c>
      <x:c r="AA103" s="57">
        <x:v>-0.25</x:v>
      </x:c>
      <x:c r="AB103" s="57">
        <x:v>0.8</x:v>
      </x:c>
      <x:c r="AC103" s="57">
        <x:v>0.96</x:v>
      </x:c>
      <x:c r="AD103" s="57">
        <x:v>2.01</x:v>
      </x:c>
      <x:c r="AE103" s="57">
        <x:v>3.62</x:v>
      </x:c>
      <x:c r="AF103" s="57">
        <x:v>3.21</x:v>
      </x:c>
      <x:c r="AG103" s="58">
        <x:v>0.0852820114843762</x:v>
      </x:c>
      <x:c r="AH103" s="58">
        <x:v>0.0352820114843762</x:v>
      </x:c>
      <x:c r="AI103" s="58">
        <x:v>0.458417657849577</x:v>
      </x:c>
      <x:c r="AJ103" s="58">
        <x:v>0.254535771347417</x:v>
      </x:c>
      <x:c r="AK103" s="58">
        <x:v>0.287046570803006</x:v>
      </x:c>
      <x:c r="AL103" s="57">
        <x:v>1.52</x:v>
      </x:c>
      <x:c r="AM103" s="57">
        <x:v>1.15</x:v>
      </x:c>
      <x:c r="AN103" s="57">
        <x:v>0.000416007812531026</x:v>
      </x:c>
      <x:c r="AO103" s="57">
        <x:v>1.18411984031745</x:v>
      </x:c>
      <x:c r="AP103" s="57">
        <x:v>-0.224119840317449</x:v>
      </x:c>
      <x:c r="AQ103" s="59" t="s">
        <x:v>99</x:v>
      </x:c>
      <x:c r="AR103" s="57">
        <x:v>-0.5</x:v>
      </x:c>
      <x:c r="AS103" s="57">
        <x:v>0.457850334739259</x:v>
      </x:c>
      <x:c r="AT103" s="57">
        <x:v>0.542149665260741</x:v>
      </x:c>
      <x:c r="AU103" s="57">
        <x:v>1.91</x:v>
      </x:c>
      <x:c r="AV103" s="57">
        <x:v>3.76</x:v>
      </x:c>
      <x:c r="AW103" s="57">
        <x:v>3.53</x:v>
      </x:c>
      <x:c r="AX103" s="59" t="s">
        <x:v>100</x:v>
      </x:c>
      <x:c r="AY103" s="59" t="s">
        <x:v>101</x:v>
      </x:c>
    </x:row>
    <x:row r="104" ht="22" customHeight="1">
      <x:c r="A104" s="49" t="s">
        <x:v>470</x:v>
      </x:c>
      <x:c r="B104" s="49" t="s">
        <x:v>521</x:v>
      </x:c>
      <x:c r="C104" s="49" t="s">
        <x:v>89</x:v>
      </x:c>
      <x:c r="D104" s="49" t="s">
        <x:v>116</x:v>
      </x:c>
      <x:c r="E104" s="49" t="s">
        <x:v>387</x:v>
      </x:c>
      <x:c r="F104" s="49" t="s">
        <x:v>528</x:v>
      </x:c>
      <x:c r="G104" s="60">
        <x:v>1.09</x:v>
      </x:c>
      <x:c r="H104" s="60">
        <x:v>0</x:v>
      </x:c>
      <x:c r="I104" s="60">
        <x:v>0.8</x:v>
      </x:c>
      <x:c r="J104" s="49" t="s">
        <x:v>529</x:v>
      </x:c>
      <x:c r="K104" s="49" t="s">
        <x:v>106</x:v>
      </x:c>
      <x:c r="L104" s="49" t="s">
        <x:v>530</x:v>
      </x:c>
      <x:c r="M104" s="61">
        <x:v>0.607</x:v>
      </x:c>
      <x:c r="N104" s="49" t="s">
        <x:v>96</x:v>
      </x:c>
      <x:c r="O104" s="49" t="s">
        <x:v>169</x:v>
      </x:c>
      <x:c r="P104" s="49" t="s">
        <x:v>30</x:v>
      </x:c>
      <x:c r="Q104" s="49" t="s">
        <x:v>11</x:v>
      </x:c>
      <x:c r="R104" s="50">
        <x:v>0.8</x:v>
      </x:c>
      <x:c r="S104" s="50">
        <x:f t="shared" si="8"/>
        <x:v>0.8</x:v>
      </x:c>
      <x:c r="T104" s="49" t="s">
        <x:v>98</x:v>
      </x:c>
      <x:c r="U104" s="49" t="str">
        <x:f t="shared" si="6"/>
        <x:v>黑</x:v>
      </x:c>
      <x:c r="V104" s="50">
        <x:f t="shared" si="7"/>
        <x:v>1.09</x:v>
      </x:c>
      <x:c r="W104" s="50">
        <x:f t="shared" si="9"/>
        <x:v>-1</x:v>
      </x:c>
      <x:c r="X104" s="57">
        <x:v>0.93</x:v>
      </x:c>
      <x:c r="Y104" s="57">
        <x:v>0</x:v>
      </x:c>
      <x:c r="Z104" s="57">
        <x:v>0.89</x:v>
      </x:c>
      <x:c r="AA104" s="57">
        <x:v>0</x:v>
      </x:c>
      <x:c r="AB104" s="57">
        <x:v>0.89</x:v>
      </x:c>
      <x:c r="AC104" s="57">
        <x:v>0.8</x:v>
      </x:c>
      <x:c r="AD104" s="57">
        <x:v>2.53</x:v>
      </x:c>
      <x:c r="AE104" s="57">
        <x:v>3.52</x:v>
      </x:c>
      <x:c r="AF104" s="57">
        <x:v>2.47</x:v>
      </x:c>
      <x:c r="AG104" s="58">
        <x:v>0.0842061256820983</x:v>
      </x:c>
      <x:c r="AH104" s="58">
        <x:v>0.0342061256820983</x:v>
      </x:c>
      <x:c r="AI104" s="58">
        <x:v>0.364558830312255</x:v>
      </x:c>
      <x:c r="AJ104" s="58">
        <x:v>0.262026659286933</x:v>
      </x:c>
      <x:c r="AK104" s="58">
        <x:v>0.373414510400812</x:v>
      </x:c>
      <x:c r="AL104" s="57">
        <x:v>1.31</x:v>
      </x:c>
      <x:c r="AM104" s="57">
        <x:v>1.33</x:v>
      </x:c>
      <x:c r="AN104" s="57">
        <x:v>0.000378605656159044</x:v>
      </x:c>
      <x:c r="AO104" s="57">
        <x:v>0.9751018268333</x:v>
      </x:c>
      <x:c r="AP104" s="57">
        <x:v>-0.1751018268333</x:v>
      </x:c>
      <x:c r="AQ104" s="59" t="s">
        <x:v>150</x:v>
      </x:c>
      <x:c r="AR104" s="57">
        <x:v>0</x:v>
      </x:c>
      <x:c r="AS104" s="57">
        <x:v>0.373874652590078</x:v>
      </x:c>
      <x:c r="AT104" s="57">
        <x:v>0.364565856747251</x:v>
      </x:c>
      <x:c r="AU104" s="57">
        <x:v>2.6</x:v>
      </x:c>
      <x:c r="AV104" s="57">
        <x:v>3.65</x:v>
      </x:c>
      <x:c r="AW104" s="57">
        <x:v>2.41</x:v>
      </x:c>
      <x:c r="AX104" s="59" t="s">
        <x:v>100</x:v>
      </x:c>
      <x:c r="AY104" s="59" t="s">
        <x:v>101</x:v>
      </x:c>
    </x:row>
    <x:row r="105" ht="22" customHeight="1">
      <x:c r="A105" s="49" t="s">
        <x:v>470</x:v>
      </x:c>
      <x:c r="B105" s="49" t="s">
        <x:v>531</x:v>
      </x:c>
      <x:c r="C105" s="49" t="s">
        <x:v>333</x:v>
      </x:c>
      <x:c r="D105" s="49" t="s">
        <x:v>116</x:v>
      </x:c>
      <x:c r="E105" s="49" t="s">
        <x:v>532</x:v>
      </x:c>
      <x:c r="F105" s="49" t="s">
        <x:v>533</x:v>
      </x:c>
      <x:c r="G105" s="60">
        <x:v>0.87</x:v>
      </x:c>
      <x:c r="H105" s="60">
        <x:v>-0.5</x:v>
      </x:c>
      <x:c r="I105" s="60">
        <x:v>1.02</x:v>
      </x:c>
      <x:c r="J105" s="49" t="s">
        <x:v>534</x:v>
      </x:c>
      <x:c r="K105" s="49" t="s">
        <x:v>189</x:v>
      </x:c>
      <x:c r="L105" s="49" t="s">
        <x:v>535</x:v>
      </x:c>
      <x:c r="M105" s="61">
        <x:v>0.551</x:v>
      </x:c>
      <x:c r="N105" s="49" t="s">
        <x:v>96</x:v>
      </x:c>
      <x:c r="O105" s="49" t="s">
        <x:v>191</x:v>
      </x:c>
      <x:c r="P105" s="49" t="s">
        <x:v>30</x:v>
      </x:c>
      <x:c r="Q105" s="49" t="s">
        <x:v>11</x:v>
      </x:c>
      <x:c r="R105" s="50">
        <x:v>1.02</x:v>
      </x:c>
      <x:c r="S105" s="50">
        <x:f t="shared" si="8"/>
        <x:v>1.02</x:v>
      </x:c>
      <x:c r="T105" s="49" t="s">
        <x:v>98</x:v>
      </x:c>
      <x:c r="U105" s="49" t="str">
        <x:f t="shared" si="6"/>
        <x:v>黑</x:v>
      </x:c>
      <x:c r="V105" s="50">
        <x:f t="shared" si="7"/>
        <x:v>0.87</x:v>
      </x:c>
      <x:c r="W105" s="50">
        <x:f t="shared" si="9"/>
        <x:v>-1</x:v>
      </x:c>
      <x:c r="X105" s="57">
        <x:v>1.02</x:v>
      </x:c>
      <x:c r="Y105" s="57">
        <x:v>-0.25</x:v>
      </x:c>
      <x:c r="Z105" s="57">
        <x:v>0.86</x:v>
      </x:c>
      <x:c r="AA105" s="57">
        <x:v>-0.25</x:v>
      </x:c>
      <x:c r="AB105" s="57">
        <x:v>0.86</x:v>
      </x:c>
      <x:c r="AC105" s="57">
        <x:v>1.02</x:v>
      </x:c>
      <x:c r="AD105" s="57">
        <x:v>3.28</x:v>
      </x:c>
      <x:c r="AE105" s="57">
        <x:v>3.32</x:v>
      </x:c>
      <x:c r="AF105" s="57">
        <x:v>2.2</x:v>
      </x:c>
      <x:c r="AG105" s="58">
        <x:v>0.0606283226030508</x:v>
      </x:c>
      <x:c r="AH105" s="58">
        <x:v>0.0106283226030508</x:v>
      </x:c>
      <x:c r="AI105" s="58">
        <x:v>0.287450412442541</x:v>
      </x:c>
      <x:c r="AJ105" s="58">
        <x:v>0.283987154461306</x:v>
      </x:c>
      <x:c r="AK105" s="58">
        <x:v>0.428562433096153</x:v>
      </x:c>
      <x:c r="AL105" s="57">
        <x:v>0.98</x:v>
      </x:c>
      <x:c r="AM105" s="57">
        <x:v>1.26</x:v>
      </x:c>
      <x:c r="AN105" s="57">
        <x:v>0.000799371019191252</x:v>
      </x:c>
      <x:c r="AO105" s="57">
        <x:v>1.33954875657573</x:v>
      </x:c>
      <x:c r="AP105" s="57">
        <x:v>-0.319548756575733</x:v>
      </x:c>
      <x:c r="AQ105" s="59" t="s">
        <x:v>99</x:v>
      </x:c>
      <x:c r="AR105" s="57">
        <x:v>-0.5</x:v>
      </x:c>
      <x:c r="AS105" s="57">
        <x:v>0.427432853104393</x:v>
      </x:c>
      <x:c r="AT105" s="57">
        <x:v>0.572567146895607</x:v>
      </x:c>
      <x:c r="AU105" s="57">
        <x:v>3.82</x:v>
      </x:c>
      <x:c r="AV105" s="57">
        <x:v>3.46</x:v>
      </x:c>
      <x:c r="AW105" s="57">
        <x:v>2</x:v>
      </x:c>
      <x:c r="AX105" s="59" t="s">
        <x:v>100</x:v>
      </x:c>
      <x:c r="AY105" s="59" t="s">
        <x:v>101</x:v>
      </x:c>
    </x:row>
    <x:row r="106" ht="22" customHeight="1">
      <x:c r="A106" s="49" t="s">
        <x:v>470</x:v>
      </x:c>
      <x:c r="B106" s="49" t="s">
        <x:v>536</x:v>
      </x:c>
      <x:c r="C106" s="49" t="s">
        <x:v>128</x:v>
      </x:c>
      <x:c r="D106" s="49" t="s">
        <x:v>116</x:v>
      </x:c>
      <x:c r="E106" s="49" t="s">
        <x:v>233</x:v>
      </x:c>
      <x:c r="F106" s="49" t="s">
        <x:v>537</x:v>
      </x:c>
      <x:c r="G106" s="60">
        <x:v>0.82</x:v>
      </x:c>
      <x:c r="H106" s="60">
        <x:v>1.25</x:v>
      </x:c>
      <x:c r="I106" s="60">
        <x:v>1.06</x:v>
      </x:c>
      <x:c r="J106" s="49" t="s">
        <x:v>538</x:v>
      </x:c>
      <x:c r="K106" s="49" t="s">
        <x:v>106</x:v>
      </x:c>
      <x:c r="L106" s="49" t="s">
        <x:v>539</x:v>
      </x:c>
      <x:c r="M106" s="61">
        <x:v>0.601</x:v>
      </x:c>
      <x:c r="N106" s="49" t="s">
        <x:v>96</x:v>
      </x:c>
      <x:c r="O106" s="49" t="s">
        <x:v>141</x:v>
      </x:c>
      <x:c r="P106" s="49" t="s">
        <x:v>30</x:v>
      </x:c>
      <x:c r="Q106" s="49" t="s">
        <x:v>11</x:v>
      </x:c>
      <x:c r="R106" s="50">
        <x:v>0.82</x:v>
      </x:c>
      <x:c r="S106" s="50">
        <x:f t="shared" si="8"/>
        <x:v>0.82</x:v>
      </x:c>
      <x:c r="T106" s="49" t="s">
        <x:v>98</x:v>
      </x:c>
      <x:c r="U106" s="49" t="str">
        <x:f t="shared" si="6"/>
        <x:v>黑</x:v>
      </x:c>
      <x:c r="V106" s="50">
        <x:f t="shared" si="7"/>
        <x:v>1.06</x:v>
      </x:c>
      <x:c r="W106" s="50">
        <x:f t="shared" si="9"/>
        <x:v>-1</x:v>
      </x:c>
      <x:c r="X106" s="57">
        <x:v>0.95</x:v>
      </x:c>
      <x:c r="Y106" s="57">
        <x:v>1.25</x:v>
      </x:c>
      <x:c r="Z106" s="57">
        <x:v>0.87</x:v>
      </x:c>
      <x:c r="AA106" s="57">
        <x:v>-1.25</x:v>
      </x:c>
      <x:c r="AB106" s="57">
        <x:v>0.95</x:v>
      </x:c>
      <x:c r="AC106" s="57">
        <x:v>0.82</x:v>
      </x:c>
      <x:c r="AD106" s="57">
        <x:v>1.43</x:v>
      </x:c>
      <x:c r="AE106" s="57">
        <x:v>3.93</x:v>
      </x:c>
      <x:c r="AF106" s="57">
        <x:v>7.08</x:v>
      </x:c>
      <x:c r="AG106" s="58">
        <x:v>0.0949965633624581</x:v>
      </x:c>
      <x:c r="AH106" s="58">
        <x:v>0.0449965633624581</x:v>
      </x:c>
      <x:c r="AI106" s="58">
        <x:v>0.638632779954417</x:v>
      </x:c>
      <x:c r="AJ106" s="58">
        <x:v>0.232377830873999</x:v>
      </x:c>
      <x:c r="AK106" s="58">
        <x:v>0.128989389171584</x:v>
      </x:c>
      <x:c r="AL106" s="57">
        <x:v>1.7</x:v>
      </x:c>
      <x:c r="AM106" s="57">
        <x:v>0.61</x:v>
      </x:c>
      <x:c r="AN106" s="57">
        <x:v>0.000187847384755944</x:v>
      </x:c>
      <x:c r="AO106" s="57">
        <x:v>1.36050386633816</x:v>
      </x:c>
      <x:c r="AP106" s="57">
        <x:v>-0.540503866338158</x:v>
      </x:c>
      <x:c r="AQ106" s="59" t="s">
        <x:v>99</x:v>
      </x:c>
      <x:c r="AR106" s="57">
        <x:v>-1.25</x:v>
      </x:c>
      <x:c r="AS106" s="57">
        <x:v>0.365867489140383</x:v>
      </x:c>
      <x:c r="AT106" s="57">
        <x:v>0.497764133542926</x:v>
      </x:c>
      <x:c r="AU106" s="57">
        <x:v>1.33</x:v>
      </x:c>
      <x:c r="AV106" s="57">
        <x:v>4.47</x:v>
      </x:c>
      <x:c r="AW106" s="57">
        <x:v>9.2</x:v>
      </x:c>
      <x:c r="AX106" s="59" t="s">
        <x:v>100</x:v>
      </x:c>
      <x:c r="AY106" s="59" t="s">
        <x:v>101</x:v>
      </x:c>
    </x:row>
    <x:row r="107" ht="22" customHeight="1">
      <x:c r="A107" s="49" t="s">
        <x:v>540</x:v>
      </x:c>
      <x:c r="B107" s="49" t="s">
        <x:v>541</x:v>
      </x:c>
      <x:c r="C107" s="49" t="s">
        <x:v>136</x:v>
      </x:c>
      <x:c r="D107" s="49" t="s">
        <x:v>116</x:v>
      </x:c>
      <x:c r="E107" s="49" t="s">
        <x:v>482</x:v>
      </x:c>
      <x:c r="F107" s="49" t="s">
        <x:v>542</x:v>
      </x:c>
      <x:c r="G107" s="60">
        <x:v>0.88</x:v>
      </x:c>
      <x:c r="H107" s="60">
        <x:v>0.75</x:v>
      </x:c>
      <x:c r="I107" s="60">
        <x:v>0.94</x:v>
      </x:c>
      <x:c r="J107" s="49" t="s">
        <x:v>543</x:v>
      </x:c>
      <x:c r="K107" s="49" t="s">
        <x:v>544</x:v>
      </x:c>
      <x:c r="L107" s="49" t="s">
        <x:v>545</x:v>
      </x:c>
      <x:c r="M107" s="61">
        <x:v>0.543</x:v>
      </x:c>
      <x:c r="N107" s="49" t="s">
        <x:v>96</x:v>
      </x:c>
      <x:c r="O107" s="49" t="s">
        <x:v>173</x:v>
      </x:c>
      <x:c r="P107" s="49" t="s">
        <x:v>30</x:v>
      </x:c>
      <x:c r="Q107" s="49" t="s">
        <x:v>11</x:v>
      </x:c>
      <x:c r="R107" s="50">
        <x:v>0.99</x:v>
      </x:c>
      <x:c r="S107" s="50">
        <x:f t="shared" si="8"/>
        <x:v>0.99</x:v>
      </x:c>
      <x:c r="T107" s="49" t="s">
        <x:v>98</x:v>
      </x:c>
      <x:c r="U107" s="49" t="str">
        <x:f t="shared" si="6"/>
        <x:v>黑</x:v>
      </x:c>
      <x:c r="V107" s="50">
        <x:f t="shared" si="7"/>
        <x:v>0.94</x:v>
      </x:c>
      <x:c r="W107" s="50">
        <x:f t="shared" si="9"/>
        <x:v>-1</x:v>
      </x:c>
      <x:c r="X107" s="57">
        <x:v>0.99</x:v>
      </x:c>
      <x:c r="Y107" s="57">
        <x:v>0.75</x:v>
      </x:c>
      <x:c r="Z107" s="57">
        <x:v>0.77</x:v>
      </x:c>
      <x:c r="AA107" s="57">
        <x:v>-0.75</x:v>
      </x:c>
      <x:c r="AB107" s="57">
        <x:v>0.99</x:v>
      </x:c>
      <x:c r="AC107" s="57">
        <x:v>0.99</x:v>
      </x:c>
      <x:c r="AD107" s="57">
        <x:v>1.75</x:v>
      </x:c>
      <x:c r="AE107" s="57">
        <x:v>3.67</x:v>
      </x:c>
      <x:c r="AF107" s="57">
        <x:v>3.86</x:v>
      </x:c>
      <x:c r="AG107" s="58">
        <x:v>0.102975492974222</x:v>
      </x:c>
      <x:c r="AH107" s="58">
        <x:v>0.0529754929742224</x:v>
      </x:c>
      <x:c r="AI107" s="58">
        <x:v>0.518079118773246</x:v>
      </x:c>
      <x:c r="AJ107" s="58">
        <x:v>0.247040451731112</x:v>
      </x:c>
      <x:c r="AK107" s="58">
        <x:v>0.234880429495643</x:v>
      </x:c>
      <x:c r="AL107" s="57">
        <x:v>1.63</x:v>
      </x:c>
      <x:c r="AM107" s="57">
        <x:v>1.01</x:v>
      </x:c>
      <x:c r="AN107" s="57">
        <x:v>0.000306009458973967</x:v>
      </x:c>
      <x:c r="AO107" s="57">
        <x:v>1.21189726179375</x:v>
      </x:c>
      <x:c r="AP107" s="57">
        <x:v>-0.221897261793754</x:v>
      </x:c>
      <x:c r="AQ107" s="59" t="s">
        <x:v>99</x:v>
      </x:c>
      <x:c r="AR107" s="57">
        <x:v>-0.75</x:v>
      </x:c>
      <x:c r="AS107" s="57">
        <x:v>0.397338472125796</x:v>
      </x:c>
      <x:c r="AT107" s="57">
        <x:v>0.481533406374566</x:v>
      </x:c>
      <x:c r="AU107" s="57">
        <x:v>1.75</x:v>
      </x:c>
      <x:c r="AV107" s="57">
        <x:v>3.64</x:v>
      </x:c>
      <x:c r="AW107" s="57">
        <x:v>3.9</x:v>
      </x:c>
      <x:c r="AX107" s="59" t="s">
        <x:v>226</x:v>
      </x:c>
      <x:c r="AY107" s="59" t="s">
        <x:v>546</x:v>
      </x:c>
    </x:row>
    <x:row r="108" ht="22" customHeight="1">
      <x:c r="A108" s="49" t="s">
        <x:v>540</x:v>
      </x:c>
      <x:c r="B108" s="49" t="s">
        <x:v>547</x:v>
      </x:c>
      <x:c r="C108" s="49" t="s">
        <x:v>244</x:v>
      </x:c>
      <x:c r="D108" s="49" t="s">
        <x:v>90</x:v>
      </x:c>
      <x:c r="E108" s="49" t="s">
        <x:v>548</x:v>
      </x:c>
      <x:c r="F108" s="49" t="s">
        <x:v>549</x:v>
      </x:c>
      <x:c r="G108" s="60">
        <x:v>0.92</x:v>
      </x:c>
      <x:c r="H108" s="60">
        <x:v>1.25</x:v>
      </x:c>
      <x:c r="I108" s="60">
        <x:v>0.84</x:v>
      </x:c>
      <x:c r="J108" s="49" t="s">
        <x:v>550</x:v>
      </x:c>
      <x:c r="K108" s="49" t="s">
        <x:v>94</x:v>
      </x:c>
      <x:c r="L108" s="49" t="s">
        <x:v>551</x:v>
      </x:c>
      <x:c r="M108" s="61">
        <x:v>0.591</x:v>
      </x:c>
      <x:c r="N108" s="49" t="s">
        <x:v>96</x:v>
      </x:c>
      <x:c r="O108" s="49" t="s">
        <x:v>197</x:v>
      </x:c>
      <x:c r="P108" s="49" t="s">
        <x:v>30</x:v>
      </x:c>
      <x:c r="Q108" s="49" t="s">
        <x:v>11</x:v>
      </x:c>
      <x:c r="R108" s="50">
        <x:v>0.76</x:v>
      </x:c>
      <x:c r="S108" s="50">
        <x:f t="shared" si="8"/>
        <x:v>0.76</x:v>
      </x:c>
      <x:c r="T108" s="49" t="s">
        <x:v>98</x:v>
      </x:c>
      <x:c r="U108" s="49" t="str">
        <x:f t="shared" si="6"/>
        <x:v>黑</x:v>
      </x:c>
      <x:c r="V108" s="50">
        <x:f t="shared" si="7"/>
        <x:v>0.84</x:v>
      </x:c>
      <x:c r="W108" s="50">
        <x:f t="shared" si="9"/>
        <x:v>-1</x:v>
      </x:c>
      <x:c r="X108" s="57">
        <x:v>0.83</x:v>
      </x:c>
      <x:c r="Y108" s="57">
        <x:v>1</x:v>
      </x:c>
      <x:c r="Z108" s="57">
        <x:v>0.87</x:v>
      </x:c>
      <x:c r="AA108" s="57">
        <x:v>-1</x:v>
      </x:c>
      <x:c r="AB108" s="57">
        <x:v>0.83</x:v>
      </x:c>
      <x:c r="AC108" s="57">
        <x:v>0.76</x:v>
      </x:c>
      <x:c r="AD108" s="57">
        <x:v>1.52</x:v>
      </x:c>
      <x:c r="AE108" s="57">
        <x:v>3.45</x:v>
      </x:c>
      <x:c r="AF108" s="57">
        <x:v>6.4</x:v>
      </x:c>
      <x:c r="AG108" s="58">
        <x:v>0.103999809305873</x:v>
      </x:c>
      <x:c r="AH108" s="58">
        <x:v>0.0539998093058734</x:v>
      </x:c>
      <x:c r="AI108" s="58">
        <x:v>0.595919248623556</x:v>
      </x:c>
      <x:c r="AJ108" s="58">
        <x:v>0.262549929828349</x:v>
      </x:c>
      <x:c r="AK108" s="58">
        <x:v>0.141530821548095</x:v>
      </x:c>
      <x:c r="AL108" s="57">
        <x:v>1.48</x:v>
      </x:c>
      <x:c r="AM108" s="57">
        <x:v>0.57</x:v>
      </x:c>
      <x:c r="AN108" s="57">
        <x:v>0.000436453945515182</x:v>
      </x:c>
      <x:c r="AO108" s="57">
        <x:v>1.29514938758267</x:v>
      </x:c>
      <x:c r="AP108" s="57">
        <x:v>-0.535149387582674</x:v>
      </x:c>
      <x:c r="AQ108" s="59" t="s">
        <x:v>99</x:v>
      </x:c>
      <x:c r="AR108" s="57">
        <x:v>-1</x:v>
      </x:c>
      <x:c r="AS108" s="57">
        <x:v>0.312389126601138</x:v>
      </x:c>
      <x:c r="AT108" s="57">
        <x:v>0.40459058600495</x:v>
      </x:c>
      <x:c r="AU108" s="57">
        <x:v>1.43</x:v>
      </x:c>
      <x:c r="AV108" s="57">
        <x:v>3.67</x:v>
      </x:c>
      <x:c r="AW108" s="57">
        <x:v>7.5</x:v>
      </x:c>
      <x:c r="AX108" s="59" t="s">
        <x:v>226</x:v>
      </x:c>
      <x:c r="AY108" s="59" t="s">
        <x:v>546</x:v>
      </x:c>
    </x:row>
    <x:row r="109" ht="22" customHeight="1">
      <x:c r="A109" s="49" t="s">
        <x:v>540</x:v>
      </x:c>
      <x:c r="B109" s="49" t="s">
        <x:v>552</x:v>
      </x:c>
      <x:c r="C109" s="49" t="s">
        <x:v>89</x:v>
      </x:c>
      <x:c r="D109" s="49" t="s">
        <x:v>116</x:v>
      </x:c>
      <x:c r="E109" s="49" t="s">
        <x:v>553</x:v>
      </x:c>
      <x:c r="F109" s="49" t="s">
        <x:v>554</x:v>
      </x:c>
      <x:c r="G109" s="60">
        <x:v>1.05</x:v>
      </x:c>
      <x:c r="H109" s="60">
        <x:v>0.25</x:v>
      </x:c>
      <x:c r="I109" s="60">
        <x:v>0.84</x:v>
      </x:c>
      <x:c r="J109" s="49" t="s">
        <x:v>555</x:v>
      </x:c>
      <x:c r="K109" s="49" t="s">
        <x:v>556</x:v>
      </x:c>
      <x:c r="L109" s="49" t="s">
        <x:v>557</x:v>
      </x:c>
      <x:c r="M109" s="61">
        <x:v>0.596</x:v>
      </x:c>
      <x:c r="N109" s="49" t="s">
        <x:v>96</x:v>
      </x:c>
      <x:c r="O109" s="49" t="s">
        <x:v>558</x:v>
      </x:c>
      <x:c r="P109" s="49" t="s">
        <x:v>30</x:v>
      </x:c>
      <x:c r="Q109" s="49" t="s">
        <x:v>23</x:v>
      </x:c>
      <x:c r="R109" s="50">
        <x:v>1.03</x:v>
      </x:c>
      <x:c r="S109" s="50">
        <x:f t="shared" si="8"/>
        <x:v>-1</x:v>
      </x:c>
      <x:c r="T109" s="49" t="s">
        <x:v>98</x:v>
      </x:c>
      <x:c r="U109" s="49" t="str">
        <x:f t="shared" si="6"/>
        <x:v>红</x:v>
      </x:c>
      <x:c r="V109" s="50">
        <x:f t="shared" si="7"/>
        <x:v>0.84</x:v>
      </x:c>
      <x:c r="W109" s="50">
        <x:f t="shared" si="9"/>
        <x:v>0.84</x:v>
      </x:c>
      <x:c r="X109" s="57">
        <x:v>0.82</x:v>
      </x:c>
      <x:c r="Y109" s="57">
        <x:v>-0.25</x:v>
      </x:c>
      <x:c r="Z109" s="57">
        <x:v>1</x:v>
      </x:c>
      <x:c r="AA109" s="57">
        <x:v>0.25</x:v>
      </x:c>
      <x:c r="AB109" s="57">
        <x:v>0.82</x:v>
      </x:c>
      <x:c r="AC109" s="57">
        <x:v>1.03</x:v>
      </x:c>
      <x:c r="AD109" s="57">
        <x:v>2.78</x:v>
      </x:c>
      <x:c r="AE109" s="57">
        <x:v>3.34</x:v>
      </x:c>
      <x:c r="AF109" s="57">
        <x:v>2.29</x:v>
      </x:c>
      <x:c r="AG109" s="58">
        <x:v>0.0957946505280414</x:v>
      </x:c>
      <x:c r="AH109" s="58">
        <x:v>0.0457946505280414</x:v>
      </x:c>
      <x:c r="AI109" s="58">
        <x:v>0.328266094420601</x:v>
      </x:c>
      <x:c r="AJ109" s="58">
        <x:v>0.273227467811159</x:v>
      </x:c>
      <x:c r="AK109" s="58">
        <x:v>0.39850643776824</x:v>
      </x:c>
      <x:c r="AL109" s="57">
        <x:v>1.14</x:v>
      </x:c>
      <x:c r="AM109" s="57">
        <x:v>1.29</x:v>
      </x:c>
      <x:c r="AN109" s="57">
        <x:v>0.00089182053909915</x:v>
      </x:c>
      <x:c r="AO109" s="57">
        <x:v>1.22109890777958</x:v>
      </x:c>
      <x:c r="AP109" s="57">
        <x:v>-0.191098907779582</x:v>
      </x:c>
      <x:c r="AQ109" s="59" t="s">
        <x:v>150</x:v>
      </x:c>
      <x:c r="AR109" s="57">
        <x:v>0</x:v>
      </x:c>
      <x:c r="AS109" s="57">
        <x:v>0.327027935832027</x:v>
      </x:c>
      <x:c r="AT109" s="57">
        <x:v>0.3993334552579</x:v>
      </x:c>
      <x:c r="AU109" s="57">
        <x:v>2.7</x:v>
      </x:c>
      <x:c r="AV109" s="57">
        <x:v>3.35</x:v>
      </x:c>
      <x:c r="AW109" s="57">
        <x:v>2.38</x:v>
      </x:c>
      <x:c r="AX109" s="59" t="s">
        <x:v>226</x:v>
      </x:c>
      <x:c r="AY109" s="59" t="s">
        <x:v>546</x:v>
      </x:c>
    </x:row>
    <x:row r="110" ht="22" customHeight="1">
      <x:c r="A110" s="49" t="s">
        <x:v>540</x:v>
      </x:c>
      <x:c r="B110" s="49" t="s">
        <x:v>559</x:v>
      </x:c>
      <x:c r="C110" s="49" t="s">
        <x:v>136</x:v>
      </x:c>
      <x:c r="D110" s="49" t="s">
        <x:v>116</x:v>
      </x:c>
      <x:c r="E110" s="49" t="s">
        <x:v>482</x:v>
      </x:c>
      <x:c r="F110" s="49" t="s">
        <x:v>560</x:v>
      </x:c>
      <x:c r="G110" s="60">
        <x:v>1.07</x:v>
      </x:c>
      <x:c r="H110" s="60">
        <x:v>-0.75</x:v>
      </x:c>
      <x:c r="I110" s="60">
        <x:v>0.75</x:v>
      </x:c>
      <x:c r="J110" s="49" t="s">
        <x:v>561</x:v>
      </x:c>
      <x:c r="K110" s="49" t="s">
        <x:v>106</x:v>
      </x:c>
      <x:c r="L110" s="49" t="s">
        <x:v>562</x:v>
      </x:c>
      <x:c r="M110" s="61">
        <x:v>0.524</x:v>
      </x:c>
      <x:c r="N110" s="49" t="s">
        <x:v>96</x:v>
      </x:c>
      <x:c r="O110" s="49" t="s">
        <x:v>108</x:v>
      </x:c>
      <x:c r="P110" s="49" t="s">
        <x:v>30</x:v>
      </x:c>
      <x:c r="Q110" s="49" t="s">
        <x:v>23</x:v>
      </x:c>
      <x:c r="R110" s="50">
        <x:v>1.03</x:v>
      </x:c>
      <x:c r="S110" s="50">
        <x:f t="shared" si="8"/>
        <x:v>-1</x:v>
      </x:c>
      <x:c r="T110" s="49" t="s">
        <x:v>98</x:v>
      </x:c>
      <x:c r="U110" s="49" t="str">
        <x:f t="shared" si="6"/>
        <x:v>红</x:v>
      </x:c>
      <x:c r="V110" s="50">
        <x:f t="shared" si="7"/>
        <x:v>1.07</x:v>
      </x:c>
      <x:c r="W110" s="50">
        <x:f t="shared" si="9"/>
        <x:v>1.07</x:v>
      </x:c>
      <x:c r="X110" s="57">
        <x:v>0.88</x:v>
      </x:c>
      <x:c r="Y110" s="57">
        <x:v>-0.75</x:v>
      </x:c>
      <x:c r="Z110" s="57">
        <x:v>0.88</x:v>
      </x:c>
      <x:c r="AA110" s="57">
        <x:v>-0.75</x:v>
      </x:c>
      <x:c r="AB110" s="57">
        <x:v>0.88</x:v>
      </x:c>
      <x:c r="AC110" s="57">
        <x:v>1.03</x:v>
      </x:c>
      <x:c r="AD110" s="57">
        <x:v>4.18</x:v>
      </x:c>
      <x:c r="AE110" s="57">
        <x:v>3.92</x:v>
      </x:c>
      <x:c r="AF110" s="57">
        <x:v>1.64</x:v>
      </x:c>
      <x:c r="AG110" s="58">
        <x:v>0.104092588138068</x:v>
      </x:c>
      <x:c r="AH110" s="58">
        <x:v>0.0540925881380677</x:v>
      </x:c>
      <x:c r="AI110" s="58">
        <x:v>0.216679699085933</x:v>
      </x:c>
      <x:c r="AJ110" s="58">
        <x:v>0.231051311780408</x:v>
      </x:c>
      <x:c r="AK110" s="58">
        <x:v>0.552268989133659</x:v>
      </x:c>
      <x:c r="AL110" s="57">
        <x:v>1.04</x:v>
      </x:c>
      <x:c r="AM110" s="57">
        <x:v>1.8</x:v>
      </x:c>
      <x:c r="AN110" s="57">
        <x:v>0.000378951922650614</x:v>
      </x:c>
      <x:c r="AO110" s="57">
        <x:v>1.43516889473947</x:v>
      </x:c>
      <x:c r="AP110" s="57">
        <x:v>-0.405168894739472</x:v>
      </x:c>
      <x:c r="AQ110" s="59" t="s">
        <x:v>99</x:v>
      </x:c>
      <x:c r="AR110" s="57">
        <x:v>-1</x:v>
      </x:c>
      <x:c r="AS110" s="57">
        <x:v>0.312264812099102</x:v>
      </x:c>
      <x:c r="AT110" s="57">
        <x:v>0.448152745246297</x:v>
      </x:c>
      <x:c r="AU110" s="57">
        <x:v>4.27</x:v>
      </x:c>
      <x:c r="AV110" s="57">
        <x:v>3.89</x:v>
      </x:c>
      <x:c r="AW110" s="57">
        <x:v>1.63</x:v>
      </x:c>
      <x:c r="AX110" s="59" t="s">
        <x:v>226</x:v>
      </x:c>
      <x:c r="AY110" s="59" t="s">
        <x:v>546</x:v>
      </x:c>
    </x:row>
    <x:row r="111" ht="22" customHeight="1">
      <x:c r="A111" s="49" t="s">
        <x:v>540</x:v>
      </x:c>
      <x:c r="B111" s="49" t="s">
        <x:v>559</x:v>
      </x:c>
      <x:c r="C111" s="49" t="s">
        <x:v>136</x:v>
      </x:c>
      <x:c r="D111" s="49" t="s">
        <x:v>116</x:v>
      </x:c>
      <x:c r="E111" s="49" t="s">
        <x:v>563</x:v>
      </x:c>
      <x:c r="F111" s="49" t="s">
        <x:v>564</x:v>
      </x:c>
      <x:c r="G111" s="60">
        <x:v>0.84</x:v>
      </x:c>
      <x:c r="H111" s="60">
        <x:v>1.5</x:v>
      </x:c>
      <x:c r="I111" s="60">
        <x:v>1.04</x:v>
      </x:c>
      <x:c r="J111" s="49" t="s">
        <x:v>565</x:v>
      </x:c>
      <x:c r="K111" s="49" t="s">
        <x:v>106</x:v>
      </x:c>
      <x:c r="L111" s="49" t="s">
        <x:v>566</x:v>
      </x:c>
      <x:c r="M111" s="61">
        <x:v>0.599</x:v>
      </x:c>
      <x:c r="N111" s="49" t="s">
        <x:v>96</x:v>
      </x:c>
      <x:c r="O111" s="49" t="s">
        <x:v>337</x:v>
      </x:c>
      <x:c r="P111" s="49" t="s">
        <x:v>30</x:v>
      </x:c>
      <x:c r="Q111" s="49" t="s">
        <x:v>11</x:v>
      </x:c>
      <x:c r="R111" s="50">
        <x:v>0.84</x:v>
      </x:c>
      <x:c r="S111" s="50">
        <x:f t="shared" si="8"/>
        <x:v>0.84</x:v>
      </x:c>
      <x:c r="T111" s="49" t="s">
        <x:v>98</x:v>
      </x:c>
      <x:c r="U111" s="49" t="str">
        <x:f t="shared" ref="U111:U174" si="10">IF(Q111="","",IF(Q111="待结算","待结算",IF(Q111="红","黑",IF(Q111="半红","半黑",IF(Q111="走","走",IF(Q111="半黑","半红","红"))))))</x:f>
        <x:v>黑</x:v>
      </x:c>
      <x:c r="V111" s="50" t="n">
        <x:f t="shared" ref="V111:V174" si="11">IF(OR(Q111="",Q111="待结算"),"",IF(L111=LEFT(F111,FIND(" vs ",F111)-1),I111,G111))</x:f>
        <x:v>1.04</x:v>
      </x:c>
      <x:c r="W111" s="50">
        <x:f t="shared" si="9"/>
        <x:v>-1</x:v>
      </x:c>
      <x:c r="X111" s="57">
        <x:v>0.84</x:v>
      </x:c>
      <x:c r="Y111" s="57">
        <x:v>1.5</x:v>
      </x:c>
      <x:c r="Z111" s="57">
        <x:v>0.98</x:v>
      </x:c>
      <x:c r="AA111" s="57">
        <x:v>-1.5</x:v>
      </x:c>
      <x:c r="AB111" s="57">
        <x:v>0.84</x:v>
      </x:c>
      <x:c r="AC111" s="57">
        <x:v>0.84</x:v>
      </x:c>
      <x:c r="AD111" s="57">
        <x:v>1.27</x:v>
      </x:c>
      <x:c r="AE111" s="57">
        <x:v>5.53</x:v>
      </x:c>
      <x:c r="AF111" s="57">
        <x:v>7.67</x:v>
      </x:c>
      <x:c r="AG111" s="58">
        <x:v>0.0986114976843877</x:v>
      </x:c>
      <x:c r="AH111" s="58">
        <x:v>0.0486114976843877</x:v>
      </x:c>
      <x:c r="AI111" s="58">
        <x:v>0.716724316523908</x:v>
      </x:c>
      <x:c r="AJ111" s="58">
        <x:v>0.164600340322851</x:v>
      </x:c>
      <x:c r="AK111" s="58">
        <x:v>0.118675343153242</x:v>
      </x:c>
      <x:c r="AL111" s="57">
        <x:v>2.49</x:v>
      </x:c>
      <x:c r="AM111" s="57">
        <x:v>0.92</x:v>
      </x:c>
      <x:c r="AN111" s="57">
        <x:v>0.000280458822053811</x:v>
      </x:c>
      <x:c r="AO111" s="57">
        <x:v>1.01561456618292</x:v>
      </x:c>
      <x:c r="AP111" s="57">
        <x:v>-0.175614566182924</x:v>
      </x:c>
      <x:c r="AQ111" s="59" t="s">
        <x:v>99</x:v>
      </x:c>
      <x:c r="AR111" s="57">
        <x:v>-1.5</x:v>
      </x:c>
      <x:c r="AS111" s="57">
        <x:v>0.496126599190913</x:v>
      </x:c>
      <x:c r="AT111" s="57">
        <x:v>0.503873400809088</x:v>
      </x:c>
      <x:c r="AU111" s="57">
        <x:v>1.28</x:v>
      </x:c>
      <x:c r="AV111" s="57">
        <x:v>5.48</x:v>
      </x:c>
      <x:c r="AW111" s="57">
        <x:v>7.57</x:v>
      </x:c>
      <x:c r="AX111" s="59" t="s">
        <x:v>100</x:v>
      </x:c>
      <x:c r="AY111" s="59" t="s">
        <x:v>101</x:v>
      </x:c>
    </x:row>
    <x:row r="112" ht="22" customHeight="1">
      <x:c r="A112" s="49" t="s">
        <x:v>540</x:v>
      </x:c>
      <x:c r="B112" s="49" t="s">
        <x:v>567</x:v>
      </x:c>
      <x:c r="C112" s="49" t="s">
        <x:v>333</x:v>
      </x:c>
      <x:c r="D112" s="49" t="s">
        <x:v>116</x:v>
      </x:c>
      <x:c r="E112" s="49" t="s">
        <x:v>568</x:v>
      </x:c>
      <x:c r="F112" s="49" t="s">
        <x:v>569</x:v>
      </x:c>
      <x:c r="G112" s="60">
        <x:v>1.06</x:v>
      </x:c>
      <x:c r="H112" s="60">
        <x:v>1.25</x:v>
      </x:c>
      <x:c r="I112" s="60">
        <x:v>0.83</x:v>
      </x:c>
      <x:c r="J112" s="49" t="s">
        <x:v>570</x:v>
      </x:c>
      <x:c r="K112" s="49" t="s">
        <x:v>189</x:v>
      </x:c>
      <x:c r="L112" s="49" t="s">
        <x:v>571</x:v>
      </x:c>
      <x:c r="M112" s="61">
        <x:v>0.601</x:v>
      </x:c>
      <x:c r="N112" s="49" t="s">
        <x:v>96</x:v>
      </x:c>
      <x:c r="O112" s="49" t="s">
        <x:v>273</x:v>
      </x:c>
      <x:c r="P112" s="49" t="s">
        <x:v>30</x:v>
      </x:c>
      <x:c r="Q112" s="49" t="s">
        <x:v>23</x:v>
      </x:c>
      <x:c r="R112" s="50">
        <x:v>0.86</x:v>
      </x:c>
      <x:c r="S112" s="50">
        <x:f t="shared" si="8"/>
        <x:v>-1</x:v>
      </x:c>
      <x:c r="T112" s="49" t="s">
        <x:v>98</x:v>
      </x:c>
      <x:c r="U112" s="49" t="str">
        <x:f t="shared" si="10"/>
        <x:v>红</x:v>
      </x:c>
      <x:c r="V112" s="50">
        <x:f t="shared" si="11"/>
        <x:v>0.83</x:v>
      </x:c>
      <x:c r="W112" s="50">
        <x:f t="shared" si="9"/>
        <x:v>0.83</x:v>
      </x:c>
      <x:c r="X112" s="57">
        <x:v>1.02</x:v>
      </x:c>
      <x:c r="Y112" s="57">
        <x:v>1</x:v>
      </x:c>
      <x:c r="Z112" s="57">
        <x:v>0.86</x:v>
      </x:c>
      <x:c r="AA112" s="57">
        <x:v>-1</x:v>
      </x:c>
      <x:c r="AB112" s="57">
        <x:v>1.02</x:v>
      </x:c>
      <x:c r="AC112" s="57">
        <x:v>0.86</x:v>
      </x:c>
      <x:c r="AD112" s="57">
        <x:v>1.57</x:v>
      </x:c>
      <x:c r="AE112" s="57">
        <x:v>4.01</x:v>
      </x:c>
      <x:c r="AF112" s="57">
        <x:v>5.19</x:v>
      </x:c>
      <x:c r="AG112" s="58">
        <x:v>0.0789974611230351</x:v>
      </x:c>
      <x:c r="AH112" s="58">
        <x:v>0.0289974611230351</x:v>
      </x:c>
      <x:c r="AI112" s="58">
        <x:v>0.59030970702776</x:v>
      </x:c>
      <x:c r="AJ112" s="58">
        <x:v>0.231118763100644</x:v>
      </x:c>
      <x:c r="AK112" s="58">
        <x:v>0.178571529871596</x:v>
      </x:c>
      <x:c r="AL112" s="57">
        <x:v>1.76</x:v>
      </x:c>
      <x:c r="AM112" s="57">
        <x:v>0.85</x:v>
      </x:c>
      <x:c r="AN112" s="57">
        <x:v>0.0008176428445333</x:v>
      </x:c>
      <x:c r="AO112" s="57">
        <x:v>0.887519960574983</x:v>
      </x:c>
      <x:c r="AP112" s="57">
        <x:v>-0.0275199605749825</x:v>
      </x:c>
      <x:c r="AQ112" s="59" t="s">
        <x:v>174</x:v>
      </x:c>
      <x:c r="AR112" s="57">
        <x:v>-0.75</x:v>
      </x:c>
      <x:c r="AS112" s="57">
        <x:v>0.462614834860048</x:v>
      </x:c>
      <x:c r="AT112" s="57">
        <x:v>0.410579899996392</x:v>
      </x:c>
      <x:c r="AU112" s="57">
        <x:v>1.65</x:v>
      </x:c>
      <x:c r="AV112" s="57">
        <x:v>4.04</x:v>
      </x:c>
      <x:c r="AW112" s="57">
        <x:v>4.63</x:v>
      </x:c>
      <x:c r="AX112" s="59" t="s">
        <x:v>226</x:v>
      </x:c>
      <x:c r="AY112" s="59" t="s">
        <x:v>546</x:v>
      </x:c>
    </x:row>
    <x:row r="113" ht="22" customHeight="1">
      <x:c r="A113" s="49" t="s">
        <x:v>540</x:v>
      </x:c>
      <x:c r="B113" s="49" t="s">
        <x:v>572</x:v>
      </x:c>
      <x:c r="C113" s="49" t="s">
        <x:v>89</x:v>
      </x:c>
      <x:c r="D113" s="49" t="s">
        <x:v>116</x:v>
      </x:c>
      <x:c r="E113" s="49" t="s">
        <x:v>573</x:v>
      </x:c>
      <x:c r="F113" s="49" t="s">
        <x:v>574</x:v>
      </x:c>
      <x:c r="G113" s="60">
        <x:v>0.89</x:v>
      </x:c>
      <x:c r="H113" s="60">
        <x:v>0.25</x:v>
      </x:c>
      <x:c r="I113" s="60">
        <x:v>0.93</x:v>
      </x:c>
      <x:c r="J113" s="49" t="s">
        <x:v>575</x:v>
      </x:c>
      <x:c r="K113" s="49" t="s">
        <x:v>544</x:v>
      </x:c>
      <x:c r="L113" s="49" t="s">
        <x:v>576</x:v>
      </x:c>
      <x:c r="M113" s="61">
        <x:v>0.582</x:v>
      </x:c>
      <x:c r="N113" s="49" t="s">
        <x:v>96</x:v>
      </x:c>
      <x:c r="O113" s="49" t="s">
        <x:v>126</x:v>
      </x:c>
      <x:c r="P113" s="49" t="s">
        <x:v>30</x:v>
      </x:c>
      <x:c r="Q113" s="49" t="s">
        <x:v>20</x:v>
      </x:c>
      <x:c r="R113" s="50">
        <x:v>0.78</x:v>
      </x:c>
      <x:c r="S113" s="50">
        <x:f t="shared" si="8"/>
        <x:v>-0.5</x:v>
      </x:c>
      <x:c r="T113" s="49" t="s">
        <x:v>98</x:v>
      </x:c>
      <x:c r="U113" s="49" t="str">
        <x:f t="shared" si="10"/>
        <x:v>半红</x:v>
      </x:c>
      <x:c r="V113" s="50">
        <x:f t="shared" si="11"/>
        <x:v>0.93</x:v>
      </x:c>
      <x:c r="W113" s="50">
        <x:f t="shared" si="9"/>
        <x:v>0.465</x:v>
      </x:c>
      <x:c r="X113" s="57">
        <x:v>0.78</x:v>
      </x:c>
      <x:c r="Y113" s="57">
        <x:v>0.25</x:v>
      </x:c>
      <x:c r="Z113" s="57">
        <x:v>0.92</x:v>
      </x:c>
      <x:c r="AA113" s="57">
        <x:v>-0.25</x:v>
      </x:c>
      <x:c r="AB113" s="57">
        <x:v>0.78</x:v>
      </x:c>
      <x:c r="AC113" s="57">
        <x:v>0.78</x:v>
      </x:c>
      <x:c r="AD113" s="57">
        <x:v>2.1</x:v>
      </x:c>
      <x:c r="AE113" s="57">
        <x:v>3.43</x:v>
      </x:c>
      <x:c r="AF113" s="57">
        <x:v>2.99</x:v>
      </x:c>
      <x:c r="AG113" s="58">
        <x:v>0.102183826229966</x:v>
      </x:c>
      <x:c r="AH113" s="58">
        <x:v>0.0521838262299663</x:v>
      </x:c>
      <x:c r="AI113" s="58">
        <x:v>0.432042700008847</x:v>
      </x:c>
      <x:c r="AJ113" s="58">
        <x:v>0.264515938780926</x:v>
      </x:c>
      <x:c r="AK113" s="58">
        <x:v>0.303441361210227</x:v>
      </x:c>
      <x:c r="AL113" s="57">
        <x:v>1.4</x:v>
      </x:c>
      <x:c r="AM113" s="57">
        <x:v>1.13</x:v>
      </x:c>
      <x:c r="AN113" s="57">
        <x:v>0.000630121650741198</x:v>
      </x:c>
      <x:c r="AO113" s="57">
        <x:v>1.01154778227519</x:v>
      </x:c>
      <x:c r="AP113" s="57">
        <x:v>-0.23154778227519</x:v>
      </x:c>
      <x:c r="AQ113" s="59" t="s">
        <x:v>99</x:v>
      </x:c>
      <x:c r="AR113" s="57">
        <x:v>-0.25</x:v>
      </x:c>
      <x:c r="AS113" s="57">
        <x:v>0.431208937669674</x:v>
      </x:c>
      <x:c r="AT113" s="57">
        <x:v>0.436188444597</x:v>
      </x:c>
      <x:c r="AU113" s="57">
        <x:v>2.07</x:v>
      </x:c>
      <x:c r="AV113" s="57">
        <x:v>3.55</x:v>
      </x:c>
      <x:c r="AW113" s="57">
        <x:v>2.96</x:v>
      </x:c>
      <x:c r="AX113" s="59" t="s">
        <x:v>226</x:v>
      </x:c>
      <x:c r="AY113" s="59" t="s">
        <x:v>546</x:v>
      </x:c>
    </x:row>
    <x:row r="114" ht="22" customHeight="1">
      <x:c r="A114" s="49" t="s">
        <x:v>540</x:v>
      </x:c>
      <x:c r="B114" s="49" t="s">
        <x:v>572</x:v>
      </x:c>
      <x:c r="C114" s="49" t="s">
        <x:v>89</x:v>
      </x:c>
      <x:c r="D114" s="49" t="s">
        <x:v>116</x:v>
      </x:c>
      <x:c r="E114" s="49" t="s">
        <x:v>553</x:v>
      </x:c>
      <x:c r="F114" s="49" t="s">
        <x:v>577</x:v>
      </x:c>
      <x:c r="G114" s="60">
        <x:v>0.95</x:v>
      </x:c>
      <x:c r="H114" s="60">
        <x:v>0</x:v>
      </x:c>
      <x:c r="I114" s="60">
        <x:v>0.94</x:v>
      </x:c>
      <x:c r="J114" s="49" t="s">
        <x:v>578</x:v>
      </x:c>
      <x:c r="K114" s="49" t="s">
        <x:v>132</x:v>
      </x:c>
      <x:c r="L114" s="49" t="s">
        <x:v>579</x:v>
      </x:c>
      <x:c r="M114" s="61">
        <x:v>0.596</x:v>
      </x:c>
      <x:c r="N114" s="49" t="s">
        <x:v>96</x:v>
      </x:c>
      <x:c r="O114" s="49" t="s">
        <x:v>126</x:v>
      </x:c>
      <x:c r="P114" s="49" t="s">
        <x:v>30</x:v>
      </x:c>
      <x:c r="Q114" s="49" t="s">
        <x:v>17</x:v>
      </x:c>
      <x:c r="R114" s="50">
        <x:v>1</x:v>
      </x:c>
      <x:c r="S114" s="50">
        <x:f t="shared" si="8"/>
        <x:v>0</x:v>
      </x:c>
      <x:c r="T114" s="49" t="s">
        <x:v>98</x:v>
      </x:c>
      <x:c r="U114" s="49" t="str">
        <x:f t="shared" si="10"/>
        <x:v>走</x:v>
      </x:c>
      <x:c r="V114" s="50">
        <x:f t="shared" si="11"/>
        <x:v>0.94</x:v>
      </x:c>
      <x:c r="W114" s="50">
        <x:f t="shared" si="9"/>
        <x:v>0</x:v>
      </x:c>
      <x:c r="X114" s="57">
        <x:v>0.79</x:v>
      </x:c>
      <x:c r="Y114" s="57">
        <x:v>-0.25</x:v>
      </x:c>
      <x:c r="Z114" s="57">
        <x:v>1.03</x:v>
      </x:c>
      <x:c r="AA114" s="57">
        <x:v>0.25</x:v>
      </x:c>
      <x:c r="AB114" s="57">
        <x:v>0.79</x:v>
      </x:c>
      <x:c r="AC114" s="57">
        <x:v>1</x:v>
      </x:c>
      <x:c r="AD114" s="57">
        <x:v>2.69</x:v>
      </x:c>
      <x:c r="AE114" s="57">
        <x:v>3.37</x:v>
      </x:c>
      <x:c r="AF114" s="57">
        <x:v>2.34</x:v>
      </x:c>
      <x:c r="AG114" s="58">
        <x:v>0.0958335442908487</x:v>
      </x:c>
      <x:c r="AH114" s="58">
        <x:v>0.0458335442908487</x:v>
      </x:c>
      <x:c r="AI114" s="58">
        <x:v>0.339236934142659</x:v>
      </x:c>
      <x:c r="AJ114" s="58">
        <x:v>0.270785564642063</x:v>
      </x:c>
      <x:c r="AK114" s="58">
        <x:v>0.389977501215279</x:v>
      </x:c>
      <x:c r="AL114" s="57">
        <x:v>1.19</x:v>
      </x:c>
      <x:c r="AM114" s="57">
        <x:v>1.3</x:v>
      </x:c>
      <x:c r="AN114" s="57">
        <x:v>0.00083328528783525</x:v>
      </x:c>
      <x:c r="AO114" s="57">
        <x:v>1.15500013147762</x:v>
      </x:c>
      <x:c r="AP114" s="57">
        <x:v>-0.155000131477617</x:v>
      </x:c>
      <x:c r="AQ114" s="59" t="s">
        <x:v>150</x:v>
      </x:c>
      <x:c r="AR114" s="57">
        <x:v>0</x:v>
      </x:c>
      <x:c r="AS114" s="57">
        <x:v>0.338663003374181</x:v>
      </x:c>
      <x:c r="AT114" s="57">
        <x:v>0.391155813423784</x:v>
      </x:c>
      <x:c r="AU114" s="57">
        <x:v>2.62</x:v>
      </x:c>
      <x:c r="AV114" s="57">
        <x:v>3.41</x:v>
      </x:c>
      <x:c r="AW114" s="57">
        <x:v>2.42</x:v>
      </x:c>
      <x:c r="AX114" s="59" t="s">
        <x:v>226</x:v>
      </x:c>
      <x:c r="AY114" s="59" t="s">
        <x:v>546</x:v>
      </x:c>
    </x:row>
    <x:row r="115" ht="22" customHeight="1">
      <x:c r="A115" s="49" t="s">
        <x:v>540</x:v>
      </x:c>
      <x:c r="B115" s="49" t="s">
        <x:v>572</x:v>
      </x:c>
      <x:c r="C115" s="49" t="s">
        <x:v>89</x:v>
      </x:c>
      <x:c r="D115" s="49" t="s">
        <x:v>116</x:v>
      </x:c>
      <x:c r="E115" s="49" t="s">
        <x:v>580</x:v>
      </x:c>
      <x:c r="F115" s="49" t="s">
        <x:v>581</x:v>
      </x:c>
      <x:c r="G115" s="60">
        <x:v>0.99</x:v>
      </x:c>
      <x:c r="H115" s="60">
        <x:v>-1.5</x:v>
      </x:c>
      <x:c r="I115" s="60">
        <x:v>0.9</x:v>
      </x:c>
      <x:c r="J115" s="49" t="s">
        <x:v>582</x:v>
      </x:c>
      <x:c r="K115" s="49" t="s">
        <x:v>544</x:v>
      </x:c>
      <x:c r="L115" s="49" t="s">
        <x:v>583</x:v>
      </x:c>
      <x:c r="M115" s="61">
        <x:v>0.554</x:v>
      </x:c>
      <x:c r="N115" s="49" t="s">
        <x:v>96</x:v>
      </x:c>
      <x:c r="O115" s="49" t="s">
        <x:v>169</x:v>
      </x:c>
      <x:c r="P115" s="49" t="s">
        <x:v>30</x:v>
      </x:c>
      <x:c r="Q115" s="49" t="s">
        <x:v>23</x:v>
      </x:c>
      <x:c r="R115" s="50">
        <x:v>0.94</x:v>
      </x:c>
      <x:c r="S115" s="50">
        <x:f t="shared" si="8"/>
        <x:v>-1</x:v>
      </x:c>
      <x:c r="T115" s="49" t="s">
        <x:v>98</x:v>
      </x:c>
      <x:c r="U115" s="49" t="str">
        <x:f t="shared" si="10"/>
        <x:v>红</x:v>
      </x:c>
      <x:c r="V115" s="50">
        <x:f t="shared" si="11"/>
        <x:v>0.99</x:v>
      </x:c>
      <x:c r="W115" s="50">
        <x:f t="shared" si="9"/>
        <x:v>0.99</x:v>
      </x:c>
      <x:c r="X115" s="57">
        <x:v>0.99</x:v>
      </x:c>
      <x:c r="Y115" s="57">
        <x:v>-1.5</x:v>
      </x:c>
      <x:c r="Z115" s="57">
        <x:v>0.89</x:v>
      </x:c>
      <x:c r="AA115" s="57">
        <x:v>-1.5</x:v>
      </x:c>
      <x:c r="AB115" s="57">
        <x:v>0.89</x:v>
      </x:c>
      <x:c r="AC115" s="57">
        <x:v>0.94</x:v>
      </x:c>
      <x:c r="AD115" s="57">
        <x:v>7.32</x:v>
      </x:c>
      <x:c r="AE115" s="57">
        <x:v>5.26</x:v>
      </x:c>
      <x:c r="AF115" s="57">
        <x:v>1.33</x:v>
      </x:c>
      <x:c r="AG115" s="58">
        <x:v>0.0786057895471084</x:v>
      </x:c>
      <x:c r="AH115" s="58">
        <x:v>0.0286057895471084</x:v>
      </x:c>
      <x:c r="AI115" s="58">
        <x:v>0.126656117723311</x:v>
      </x:c>
      <x:c r="AJ115" s="58">
        <x:v>0.176259083979969</x:v>
      </x:c>
      <x:c r="AK115" s="58">
        <x:v>0.69708479829672</x:v>
      </x:c>
      <x:c r="AL115" s="57">
        <x:v>0.89</x:v>
      </x:c>
      <x:c r="AM115" s="57">
        <x:v>2.34</x:v>
      </x:c>
      <x:c r="AN115" s="57">
        <x:v>0.000311202064788703</x:v>
      </x:c>
      <x:c r="AO115" s="57">
        <x:v>1.45327023302643</x:v>
      </x:c>
      <x:c r="AP115" s="57">
        <x:v>-0.513270233026432</x:v>
      </x:c>
      <x:c r="AQ115" s="59" t="s">
        <x:v>99</x:v>
      </x:c>
      <x:c r="AR115" s="57">
        <x:v>-1.75</x:v>
      </x:c>
      <x:c r="AS115" s="57">
        <x:v>0.365629797653937</x:v>
      </x:c>
      <x:c r="AT115" s="57">
        <x:v>0.531358901237944</x:v>
      </x:c>
      <x:c r="AU115" s="57">
        <x:v>8.52</x:v>
      </x:c>
      <x:c r="AV115" s="57">
        <x:v>5.79</x:v>
      </x:c>
      <x:c r="AW115" s="57">
        <x:v>1.28</x:v>
      </x:c>
      <x:c r="AX115" s="59" t="s">
        <x:v>226</x:v>
      </x:c>
      <x:c r="AY115" s="59" t="s">
        <x:v>546</x:v>
      </x:c>
    </x:row>
    <x:row r="116" ht="22" customHeight="1">
      <x:c r="A116" s="49" t="s">
        <x:v>540</x:v>
      </x:c>
      <x:c r="B116" s="49" t="s">
        <x:v>572</x:v>
      </x:c>
      <x:c r="C116" s="49" t="s">
        <x:v>333</x:v>
      </x:c>
      <x:c r="D116" s="49" t="s">
        <x:v>116</x:v>
      </x:c>
      <x:c r="E116" s="49" t="s">
        <x:v>532</x:v>
      </x:c>
      <x:c r="F116" s="49" t="s">
        <x:v>584</x:v>
      </x:c>
      <x:c r="G116" s="60">
        <x:v>0.9</x:v>
      </x:c>
      <x:c r="H116" s="60">
        <x:v>1.25</x:v>
      </x:c>
      <x:c r="I116" s="60">
        <x:v>0.99</x:v>
      </x:c>
      <x:c r="J116" s="49" t="s">
        <x:v>585</x:v>
      </x:c>
      <x:c r="K116" s="49" t="s">
        <x:v>94</x:v>
      </x:c>
      <x:c r="L116" s="49" t="s">
        <x:v>586</x:v>
      </x:c>
      <x:c r="M116" s="61">
        <x:v>0.587</x:v>
      </x:c>
      <x:c r="N116" s="49" t="s">
        <x:v>96</x:v>
      </x:c>
      <x:c r="O116" s="49" t="s">
        <x:v>197</x:v>
      </x:c>
      <x:c r="P116" s="49" t="s">
        <x:v>30</x:v>
      </x:c>
      <x:c r="Q116" s="49" t="s">
        <x:v>11</x:v>
      </x:c>
      <x:c r="R116" s="50">
        <x:v>0.82</x:v>
      </x:c>
      <x:c r="S116" s="50">
        <x:f t="shared" si="8"/>
        <x:v>0.82</x:v>
      </x:c>
      <x:c r="T116" s="49" t="s">
        <x:v>98</x:v>
      </x:c>
      <x:c r="U116" s="49" t="str">
        <x:f t="shared" si="10"/>
        <x:v>黑</x:v>
      </x:c>
      <x:c r="V116" s="50">
        <x:f t="shared" si="11"/>
        <x:v>0.99</x:v>
      </x:c>
      <x:c r="W116" s="50">
        <x:f t="shared" si="9"/>
        <x:v>-1</x:v>
      </x:c>
      <x:c r="X116" s="57">
        <x:v>0.9</x:v>
      </x:c>
      <x:c r="Y116" s="57">
        <x:v>1</x:v>
      </x:c>
      <x:c r="Z116" s="57">
        <x:v>0.98</x:v>
      </x:c>
      <x:c r="AA116" s="57">
        <x:v>-1</x:v>
      </x:c>
      <x:c r="AB116" s="57">
        <x:v>0.9</x:v>
      </x:c>
      <x:c r="AC116" s="57">
        <x:v>0.82</x:v>
      </x:c>
      <x:c r="AD116" s="57">
        <x:v>1.51</x:v>
      </x:c>
      <x:c r="AE116" s="57">
        <x:v>4.32</x:v>
      </x:c>
      <x:c r="AF116" s="57">
        <x:v>5.86</x:v>
      </x:c>
      <x:c r="AG116" s="58">
        <x:v>0.0643816012744431</x:v>
      </x:c>
      <x:c r="AH116" s="58">
        <x:v>0.0143816012744431</x:v>
      </x:c>
      <x:c r="AI116" s="58">
        <x:v>0.622193821122226</x:v>
      </x:c>
      <x:c r="AJ116" s="58">
        <x:v>0.217479784697815</x:v>
      </x:c>
      <x:c r="AK116" s="58">
        <x:v>0.160326394179959</x:v>
      </x:c>
      <x:c r="AL116" s="57">
        <x:v>1.89</x:v>
      </x:c>
      <x:c r="AM116" s="57">
        <x:v>0.84</x:v>
      </x:c>
      <x:c r="AN116" s="57">
        <x:v>0.000711753143280437</x:v>
      </x:c>
      <x:c r="AO116" s="57">
        <x:v>1.02247089935672</x:v>
      </x:c>
      <x:c r="AP116" s="57">
        <x:v>-0.202470899356719</x:v>
      </x:c>
      <x:c r="AQ116" s="59" t="s">
        <x:v>99</x:v>
      </x:c>
      <x:c r="AR116" s="57">
        <x:v>-1</x:v>
      </x:c>
      <x:c r="AS116" s="57">
        <x:v>0.370480305589743</x:v>
      </x:c>
      <x:c r="AT116" s="57">
        <x:v>0.378805331250297</x:v>
      </x:c>
      <x:c r="AU116" s="57">
        <x:v>1.49</x:v>
      </x:c>
      <x:c r="AV116" s="57">
        <x:v>4.44</x:v>
      </x:c>
      <x:c r="AW116" s="57">
        <x:v>6.18</x:v>
      </x:c>
      <x:c r="AX116" s="59" t="s">
        <x:v>226</x:v>
      </x:c>
      <x:c r="AY116" s="59" t="s">
        <x:v>546</x:v>
      </x:c>
    </x:row>
    <x:row r="117" ht="22" customHeight="1">
      <x:c r="A117" s="49" t="s">
        <x:v>540</x:v>
      </x:c>
      <x:c r="B117" s="49" t="s">
        <x:v>572</x:v>
      </x:c>
      <x:c r="C117" s="49" t="s">
        <x:v>89</x:v>
      </x:c>
      <x:c r="D117" s="49" t="s">
        <x:v>116</x:v>
      </x:c>
      <x:c r="E117" s="49" t="s">
        <x:v>587</x:v>
      </x:c>
      <x:c r="F117" s="49" t="s">
        <x:v>588</x:v>
      </x:c>
      <x:c r="G117" s="60">
        <x:v>0.97</x:v>
      </x:c>
      <x:c r="H117" s="60">
        <x:v>1.25</x:v>
      </x:c>
      <x:c r="I117" s="60">
        <x:v>0.92</x:v>
      </x:c>
      <x:c r="J117" s="49" t="s">
        <x:v>589</x:v>
      </x:c>
      <x:c r="K117" s="49" t="s">
        <x:v>94</x:v>
      </x:c>
      <x:c r="L117" s="49" t="s">
        <x:v>590</x:v>
      </x:c>
      <x:c r="M117" s="61">
        <x:v>0.604</x:v>
      </x:c>
      <x:c r="N117" s="49" t="s">
        <x:v>96</x:v>
      </x:c>
      <x:c r="O117" s="49" t="s">
        <x:v>273</x:v>
      </x:c>
      <x:c r="P117" s="49" t="s">
        <x:v>30</x:v>
      </x:c>
      <x:c r="Q117" s="49" t="s">
        <x:v>23</x:v>
      </x:c>
      <x:c r="R117" s="50">
        <x:v>0.86</x:v>
      </x:c>
      <x:c r="S117" s="50">
        <x:f t="shared" si="8"/>
        <x:v>-1</x:v>
      </x:c>
      <x:c r="T117" s="49" t="s">
        <x:v>98</x:v>
      </x:c>
      <x:c r="U117" s="49" t="str">
        <x:f t="shared" si="10"/>
        <x:v>红</x:v>
      </x:c>
      <x:c r="V117" s="50">
        <x:f t="shared" si="11"/>
        <x:v>0.92</x:v>
      </x:c>
      <x:c r="W117" s="50">
        <x:f t="shared" si="9"/>
        <x:v>0.92</x:v>
      </x:c>
      <x:c r="X117" s="57">
        <x:v>0.95</x:v>
      </x:c>
      <x:c r="Y117" s="57">
        <x:v>1</x:v>
      </x:c>
      <x:c r="Z117" s="57">
        <x:v>0.93</x:v>
      </x:c>
      <x:c r="AA117" s="57">
        <x:v>-1</x:v>
      </x:c>
      <x:c r="AB117" s="57">
        <x:v>0.95</x:v>
      </x:c>
      <x:c r="AC117" s="57">
        <x:v>0.86</x:v>
      </x:c>
      <x:c r="AD117" s="57">
        <x:v>1.53</x:v>
      </x:c>
      <x:c r="AE117" s="57">
        <x:v>4.14</x:v>
      </x:c>
      <x:c r="AF117" s="57">
        <x:v>5.12</x:v>
      </x:c>
      <x:c r="AG117" s="58">
        <x:v>0.0904531649616369</x:v>
      </x:c>
      <x:c r="AH117" s="58">
        <x:v>0.0404531649616369</x:v>
      </x:c>
      <x:c r="AI117" s="58">
        <x:v>0.599379040057006</x:v>
      </x:c>
      <x:c r="AJ117" s="58">
        <x:v>0.221509645238459</x:v>
      </x:c>
      <x:c r="AK117" s="58">
        <x:v>0.179111314704535</x:v>
      </x:c>
      <x:c r="AL117" s="57">
        <x:v>1.87</x:v>
      </x:c>
      <x:c r="AM117" s="57">
        <x:v>0.91</x:v>
      </x:c>
      <x:c r="AN117" s="57">
        <x:v>0.000382185796266516</x:v>
      </x:c>
      <x:c r="AO117" s="57">
        <x:v>1.13709307804645</x:v>
      </x:c>
      <x:c r="AP117" s="57">
        <x:v>-0.277093078046451</x:v>
      </x:c>
      <x:c r="AQ117" s="59" t="s">
        <x:v>99</x:v>
      </x:c>
      <x:c r="AR117" s="57">
        <x:v>-1</x:v>
      </x:c>
      <x:c r="AS117" s="57">
        <x:v>0.352327165099258</x:v>
      </x:c>
      <x:c r="AT117" s="57">
        <x:v>0.400628780642095</x:v>
      </x:c>
      <x:c r="AU117" s="57">
        <x:v>1.47</x:v>
      </x:c>
      <x:c r="AV117" s="57">
        <x:v>4.33</x:v>
      </x:c>
      <x:c r="AW117" s="57">
        <x:v>5.66</x:v>
      </x:c>
      <x:c r="AX117" s="59" t="s">
        <x:v>226</x:v>
      </x:c>
      <x:c r="AY117" s="59" t="s">
        <x:v>546</x:v>
      </x:c>
    </x:row>
    <x:row r="118" ht="22" customHeight="1">
      <x:c r="A118" s="49" t="s">
        <x:v>540</x:v>
      </x:c>
      <x:c r="B118" s="49" t="s">
        <x:v>591</x:v>
      </x:c>
      <x:c r="C118" s="49" t="s">
        <x:v>89</x:v>
      </x:c>
      <x:c r="D118" s="49" t="s">
        <x:v>116</x:v>
      </x:c>
      <x:c r="E118" s="49" t="s">
        <x:v>592</x:v>
      </x:c>
      <x:c r="F118" s="49" t="s">
        <x:v>593</x:v>
      </x:c>
      <x:c r="G118" s="60">
        <x:v>0.85</x:v>
      </x:c>
      <x:c r="H118" s="60">
        <x:v>0.75</x:v>
      </x:c>
      <x:c r="I118" s="60">
        <x:v>1.01</x:v>
      </x:c>
      <x:c r="J118" s="49" t="s">
        <x:v>594</x:v>
      </x:c>
      <x:c r="K118" s="49" t="s">
        <x:v>106</x:v>
      </x:c>
      <x:c r="L118" s="49" t="s">
        <x:v>595</x:v>
      </x:c>
      <x:c r="M118" s="61">
        <x:v>0.582</x:v>
      </x:c>
      <x:c r="N118" s="49" t="s">
        <x:v>96</x:v>
      </x:c>
      <x:c r="O118" s="49" t="s">
        <x:v>173</x:v>
      </x:c>
      <x:c r="P118" s="49" t="s">
        <x:v>30</x:v>
      </x:c>
      <x:c r="Q118" s="49" t="s">
        <x:v>11</x:v>
      </x:c>
      <x:c r="R118" s="50">
        <x:v>0.78</x:v>
      </x:c>
      <x:c r="S118" s="50">
        <x:f t="shared" si="8"/>
        <x:v>0.78</x:v>
      </x:c>
      <x:c r="T118" s="49" t="s">
        <x:v>98</x:v>
      </x:c>
      <x:c r="U118" s="49" t="str">
        <x:f t="shared" si="10"/>
        <x:v>黑</x:v>
      </x:c>
      <x:c r="V118" s="50">
        <x:f t="shared" si="11"/>
        <x:v>1.01</x:v>
      </x:c>
      <x:c r="W118" s="50">
        <x:f t="shared" si="9"/>
        <x:v>-1</x:v>
      </x:c>
      <x:c r="X118" s="57">
        <x:v>0.78</x:v>
      </x:c>
      <x:c r="Y118" s="57">
        <x:v>0.5</x:v>
      </x:c>
      <x:c r="Z118" s="57">
        <x:v>0.98</x:v>
      </x:c>
      <x:c r="AA118" s="57">
        <x:v>-0.5</x:v>
      </x:c>
      <x:c r="AB118" s="57">
        <x:v>0.78</x:v>
      </x:c>
      <x:c r="AC118" s="57">
        <x:v>0.78</x:v>
      </x:c>
      <x:c r="AD118" s="57">
        <x:v>1.81</x:v>
      </x:c>
      <x:c r="AE118" s="57">
        <x:v>3.33</x:v>
      </x:c>
      <x:c r="AF118" s="57">
        <x:v>3.98</x:v>
      </x:c>
      <x:c r="AG118" s="58">
        <x:v>0.104042769552639</x:v>
      </x:c>
      <x:c r="AH118" s="58">
        <x:v>0.0540427695526394</x:v>
      </x:c>
      <x:c r="AI118" s="58">
        <x:v>0.500421000962827</x:v>
      </x:c>
      <x:c r="AJ118" s="58">
        <x:v>0.272000604126942</x:v>
      </x:c>
      <x:c r="AK118" s="58">
        <x:v>0.22757839491023</x:v>
      </x:c>
      <x:c r="AL118" s="57">
        <x:v>1.41</x:v>
      </x:c>
      <x:c r="AM118" s="57">
        <x:v>0.85</x:v>
      </x:c>
      <x:c r="AN118" s="57">
        <x:v>0.000792680530518204</x:v>
      </x:c>
      <x:c r="AO118" s="57">
        <x:v>0.995095151779487</x:v>
      </x:c>
      <x:c r="AP118" s="57">
        <x:v>-0.215095151779487</x:v>
      </x:c>
      <x:c r="AQ118" s="59" t="s">
        <x:v>99</x:v>
      </x:c>
      <x:c r="AR118" s="57">
        <x:v>-0.5</x:v>
      </x:c>
      <x:c r="AS118" s="57">
        <x:v>0.501229226640178</x:v>
      </x:c>
      <x:c r="AT118" s="57">
        <x:v>0.498770773359822</x:v>
      </x:c>
      <x:c r="AU118" s="57">
        <x:v>1.79</x:v>
      </x:c>
      <x:c r="AV118" s="57">
        <x:v>3.36</x:v>
      </x:c>
      <x:c r="AW118" s="57">
        <x:v>4.1</x:v>
      </x:c>
      <x:c r="AX118" s="59" t="s">
        <x:v>226</x:v>
      </x:c>
      <x:c r="AY118" s="59" t="s">
        <x:v>546</x:v>
      </x:c>
    </x:row>
    <x:row r="119" ht="22" customHeight="1">
      <x:c r="A119" s="49" t="s">
        <x:v>540</x:v>
      </x:c>
      <x:c r="B119" s="49" t="s">
        <x:v>596</x:v>
      </x:c>
      <x:c r="C119" s="49" t="s">
        <x:v>333</x:v>
      </x:c>
      <x:c r="D119" s="49" t="s">
        <x:v>116</x:v>
      </x:c>
      <x:c r="E119" s="49" t="s">
        <x:v>597</x:v>
      </x:c>
      <x:c r="F119" s="49" t="s">
        <x:v>598</x:v>
      </x:c>
      <x:c r="G119" s="60">
        <x:v>0.94</x:v>
      </x:c>
      <x:c r="H119" s="60">
        <x:v>1.25</x:v>
      </x:c>
      <x:c r="I119" s="60">
        <x:v>0.95</x:v>
      </x:c>
      <x:c r="J119" s="49" t="s">
        <x:v>599</x:v>
      </x:c>
      <x:c r="K119" s="49" t="s">
        <x:v>544</x:v>
      </x:c>
      <x:c r="L119" s="49" t="s">
        <x:v>600</x:v>
      </x:c>
      <x:c r="M119" s="61">
        <x:v>0.601</x:v>
      </x:c>
      <x:c r="N119" s="49" t="s">
        <x:v>96</x:v>
      </x:c>
      <x:c r="O119" s="49" t="s">
        <x:v>410</x:v>
      </x:c>
      <x:c r="P119" s="49" t="s">
        <x:v>30</x:v>
      </x:c>
      <x:c r="Q119" s="49" t="s">
        <x:v>11</x:v>
      </x:c>
      <x:c r="R119" s="50">
        <x:v>0.81</x:v>
      </x:c>
      <x:c r="S119" s="50">
        <x:f t="shared" si="8"/>
        <x:v>0.81</x:v>
      </x:c>
      <x:c r="T119" s="49" t="s">
        <x:v>98</x:v>
      </x:c>
      <x:c r="U119" s="49" t="str">
        <x:f t="shared" si="10"/>
        <x:v>黑</x:v>
      </x:c>
      <x:c r="V119" s="50">
        <x:f t="shared" si="11"/>
        <x:v>0.95</x:v>
      </x:c>
      <x:c r="W119" s="50">
        <x:f t="shared" si="9"/>
        <x:v>-1</x:v>
      </x:c>
      <x:c r="X119" s="57">
        <x:v>1</x:v>
      </x:c>
      <x:c r="Y119" s="57">
        <x:v>1.25</x:v>
      </x:c>
      <x:c r="Z119" s="57">
        <x:v>0.88</x:v>
      </x:c>
      <x:c r="AA119" s="57">
        <x:v>-1.25</x:v>
      </x:c>
      <x:c r="AB119" s="57">
        <x:v>1</x:v>
      </x:c>
      <x:c r="AC119" s="57">
        <x:v>0.81</x:v>
      </x:c>
      <x:c r="AD119" s="57">
        <x:v>1.46</x:v>
      </x:c>
      <x:c r="AE119" s="57">
        <x:v>4.91</x:v>
      </x:c>
      <x:c r="AF119" s="57">
        <x:v>5.63</x:v>
      </x:c>
      <x:c r="AG119" s="58">
        <x:v>0.0662173880574197</x:v>
      </x:c>
      <x:c r="AH119" s="58">
        <x:v>0.0162173880574197</x:v>
      </x:c>
      <x:c r="AI119" s="58">
        <x:v>0.64239386312881</x:v>
      </x:c>
      <x:c r="AJ119" s="58">
        <x:v>0.191017319789829</x:v>
      </x:c>
      <x:c r="AK119" s="58">
        <x:v>0.166588817081361</x:v>
      </x:c>
      <x:c r="AL119" s="57">
        <x:v>2.25</x:v>
      </x:c>
      <x:c r="AM119" s="57">
        <x:v>1.06</x:v>
      </x:c>
      <x:c r="AN119" s="57">
        <x:v>0.000384988382278236</x:v>
      </x:c>
      <x:c r="AO119" s="57">
        <x:v>0.864095992694089</x:v>
      </x:c>
      <x:c r="AP119" s="57">
        <x:v>-0.0540959926940886</x:v>
      </x:c>
      <x:c r="AQ119" s="59" t="s">
        <x:v>99</x:v>
      </x:c>
      <x:c r="AR119" s="57">
        <x:v>-1</x:v>
      </x:c>
      <x:c r="AS119" s="57">
        <x:v>0.414234901586537</x:v>
      </x:c>
      <x:c r="AT119" s="57">
        <x:v>0.357938718494957</x:v>
      </x:c>
      <x:c r="AU119" s="57">
        <x:v>1.49</x:v>
      </x:c>
      <x:c r="AV119" s="57">
        <x:v>4.85</x:v>
      </x:c>
      <x:c r="AW119" s="57">
        <x:v>5.5</x:v>
      </x:c>
      <x:c r="AX119" s="59" t="s">
        <x:v>226</x:v>
      </x:c>
      <x:c r="AY119" s="59" t="s">
        <x:v>546</x:v>
      </x:c>
    </x:row>
    <x:row r="120" ht="22" customHeight="1">
      <x:c r="A120" s="49" t="s">
        <x:v>540</x:v>
      </x:c>
      <x:c r="B120" s="49" t="s">
        <x:v>601</x:v>
      </x:c>
      <x:c r="C120" s="49" t="s">
        <x:v>333</x:v>
      </x:c>
      <x:c r="D120" s="49" t="s">
        <x:v>116</x:v>
      </x:c>
      <x:c r="E120" s="49" t="s">
        <x:v>602</x:v>
      </x:c>
      <x:c r="F120" s="49" t="s">
        <x:v>603</x:v>
      </x:c>
      <x:c r="G120" s="60">
        <x:v>0.87</x:v>
      </x:c>
      <x:c r="H120" s="60">
        <x:v>-0.75</x:v>
      </x:c>
      <x:c r="I120" s="60">
        <x:v>1.02</x:v>
      </x:c>
      <x:c r="J120" s="49" t="s">
        <x:v>604</x:v>
      </x:c>
      <x:c r="K120" s="49" t="s">
        <x:v>556</x:v>
      </x:c>
      <x:c r="L120" s="49" t="s">
        <x:v>605</x:v>
      </x:c>
      <x:c r="M120" s="61">
        <x:v>0.601</x:v>
      </x:c>
      <x:c r="N120" s="49" t="s">
        <x:v>96</x:v>
      </x:c>
      <x:c r="O120" s="49" t="s">
        <x:v>353</x:v>
      </x:c>
      <x:c r="P120" s="49" t="s">
        <x:v>30</x:v>
      </x:c>
      <x:c r="Q120" s="49" t="s">
        <x:v>11</x:v>
      </x:c>
      <x:c r="R120" s="50">
        <x:v>0.83</x:v>
      </x:c>
      <x:c r="S120" s="50">
        <x:f t="shared" si="8"/>
        <x:v>0.83</x:v>
      </x:c>
      <x:c r="T120" s="49" t="s">
        <x:v>98</x:v>
      </x:c>
      <x:c r="U120" s="49" t="str">
        <x:f t="shared" si="10"/>
        <x:v>黑</x:v>
      </x:c>
      <x:c r="V120" s="50">
        <x:f t="shared" si="11"/>
        <x:v>0.87</x:v>
      </x:c>
      <x:c r="W120" s="50">
        <x:f t="shared" si="9"/>
        <x:v>-1</x:v>
      </x:c>
      <x:c r="X120" s="57">
        <x:v>0.82</x:v>
      </x:c>
      <x:c r="Y120" s="57">
        <x:v>-0.75</x:v>
      </x:c>
      <x:c r="Z120" s="57">
        <x:v>1.06</x:v>
      </x:c>
      <x:c r="AA120" s="57">
        <x:v>-0.75</x:v>
      </x:c>
      <x:c r="AB120" s="57">
        <x:v>1.06</x:v>
      </x:c>
      <x:c r="AC120" s="57">
        <x:v>0.83</x:v>
      </x:c>
      <x:c r="AD120" s="57">
        <x:v>5.12</x:v>
      </x:c>
      <x:c r="AE120" s="57">
        <x:v>3.34</x:v>
      </x:c>
      <x:c r="AF120" s="57">
        <x:v>1.76</x:v>
      </x:c>
      <x:c r="AG120" s="58">
        <x:v>0.0628955157866087</x:v>
      </x:c>
      <x:c r="AH120" s="58">
        <x:v>0.0128955157866087</x:v>
      </x:c>
      <x:c r="AI120" s="58">
        <x:v>0.183755126537961</x:v>
      </x:c>
      <x:c r="AJ120" s="58">
        <x:v>0.281684505351605</x:v>
      </x:c>
      <x:c r="AK120" s="58">
        <x:v>0.534560368110433</x:v>
      </x:c>
      <x:c r="AL120" s="57">
        <x:v>0.67</x:v>
      </x:c>
      <x:c r="AM120" s="57">
        <x:v>1.36</x:v>
      </x:c>
      <x:c r="AN120" s="57">
        <x:v>0.000354868640871335</x:v>
      </x:c>
      <x:c r="AO120" s="57">
        <x:v>0.8695284322411</x:v>
      </x:c>
      <x:c r="AP120" s="57">
        <x:v>-0.0395284322411</x:v>
      </x:c>
      <x:c r="AQ120" s="59" t="s">
        <x:v>174</x:v>
      </x:c>
      <x:c r="AR120" s="57">
        <x:v>-0.5</x:v>
      </x:c>
      <x:c r="AS120" s="57">
        <x:v>0.534894245390667</x:v>
      </x:c>
      <x:c r="AT120" s="57">
        <x:v>0.465105754609333</x:v>
      </x:c>
      <x:c r="AU120" s="57">
        <x:v>5.06</x:v>
      </x:c>
      <x:c r="AV120" s="57">
        <x:v>3.28</x:v>
      </x:c>
      <x:c r="AW120" s="57">
        <x:v>1.81</x:v>
      </x:c>
      <x:c r="AX120" s="59" t="s">
        <x:v>226</x:v>
      </x:c>
      <x:c r="AY120" s="59" t="s">
        <x:v>546</x:v>
      </x:c>
    </x:row>
    <x:row r="121" ht="22" customHeight="1">
      <x:c r="A121" s="49" t="s">
        <x:v>540</x:v>
      </x:c>
      <x:c r="B121" s="49" t="s">
        <x:v>606</x:v>
      </x:c>
      <x:c r="C121" s="49" t="s">
        <x:v>89</x:v>
      </x:c>
      <x:c r="D121" s="49" t="s">
        <x:v>116</x:v>
      </x:c>
      <x:c r="E121" s="49" t="s">
        <x:v>580</x:v>
      </x:c>
      <x:c r="F121" s="49" t="s">
        <x:v>607</x:v>
      </x:c>
      <x:c r="G121" s="60">
        <x:v>0.87</x:v>
      </x:c>
      <x:c r="H121" s="60">
        <x:v>-0.75</x:v>
      </x:c>
      <x:c r="I121" s="60">
        <x:v>1.02</x:v>
      </x:c>
      <x:c r="J121" s="49" t="s">
        <x:v>604</x:v>
      </x:c>
      <x:c r="K121" s="49" t="s">
        <x:v>556</x:v>
      </x:c>
      <x:c r="L121" s="49" t="s">
        <x:v>608</x:v>
      </x:c>
      <x:c r="M121" s="61">
        <x:v>0.604</x:v>
      </x:c>
      <x:c r="N121" s="49" t="s">
        <x:v>96</x:v>
      </x:c>
      <x:c r="O121" s="49" t="s">
        <x:v>126</x:v>
      </x:c>
      <x:c r="P121" s="49" t="s">
        <x:v>30</x:v>
      </x:c>
      <x:c r="Q121" s="49" t="s">
        <x:v>23</x:v>
      </x:c>
      <x:c r="R121" s="50">
        <x:v>0.85</x:v>
      </x:c>
      <x:c r="S121" s="50">
        <x:f t="shared" si="8"/>
        <x:v>-1</x:v>
      </x:c>
      <x:c r="T121" s="49" t="s">
        <x:v>98</x:v>
      </x:c>
      <x:c r="U121" s="49" t="str">
        <x:f t="shared" si="10"/>
        <x:v>红</x:v>
      </x:c>
      <x:c r="V121" s="50">
        <x:f t="shared" si="11"/>
        <x:v>0.87</x:v>
      </x:c>
      <x:c r="W121" s="50">
        <x:f t="shared" si="9"/>
        <x:v>0.87</x:v>
      </x:c>
      <x:c r="X121" s="57">
        <x:v>1.01</x:v>
      </x:c>
      <x:c r="Y121" s="57">
        <x:v>-0.75</x:v>
      </x:c>
      <x:c r="Z121" s="57">
        <x:v>0.87</x:v>
      </x:c>
      <x:c r="AA121" s="57">
        <x:v>-0.75</x:v>
      </x:c>
      <x:c r="AB121" s="57">
        <x:v>0.87</x:v>
      </x:c>
      <x:c r="AC121" s="57">
        <x:v>0.85</x:v>
      </x:c>
      <x:c r="AD121" s="57">
        <x:v>4.2</x:v>
      </x:c>
      <x:c r="AE121" s="57">
        <x:v>4.07</x:v>
      </x:c>
      <x:c r="AF121" s="57">
        <x:v>1.67</x:v>
      </x:c>
      <x:c r="AG121" s="58">
        <x:v>0.0825978790050645</x:v>
      </x:c>
      <x:c r="AH121" s="58">
        <x:v>0.0325978790050645</x:v>
      </x:c>
      <x:c r="AI121" s="58">
        <x:v>0.219929525738637</x:v>
      </x:c>
      <x:c r="AJ121" s="58">
        <x:v>0.226954301745031</x:v>
      </x:c>
      <x:c r="AK121" s="58">
        <x:v>0.553116172516332</x:v>
      </x:c>
      <x:c r="AL121" s="57">
        <x:v>1.08</x:v>
      </x:c>
      <x:c r="AM121" s="57">
        <x:v>1.85</x:v>
      </x:c>
      <x:c r="AN121" s="57">
        <x:v>0.000486496050580673</x:v>
      </x:c>
      <x:c r="AO121" s="57">
        <x:v>1.02445265181156</x:v>
      </x:c>
      <x:c r="AP121" s="57">
        <x:v>-0.174452651811556</x:v>
      </x:c>
      <x:c r="AQ121" s="59" t="s">
        <x:v>99</x:v>
      </x:c>
      <x:c r="AR121" s="57">
        <x:v>-0.75</x:v>
      </x:c>
      <x:c r="AS121" s="57">
        <x:v>0.43557723598623</x:v>
      </x:c>
      <x:c r="AT121" s="57">
        <x:v>0.446228254474842</x:v>
      </x:c>
      <x:c r="AU121" s="57">
        <x:v>4.33</x:v>
      </x:c>
      <x:c r="AV121" s="57">
        <x:v>4.16</x:v>
      </x:c>
      <x:c r="AW121" s="57">
        <x:v>1.66</x:v>
      </x:c>
      <x:c r="AX121" s="59" t="s">
        <x:v>226</x:v>
      </x:c>
      <x:c r="AY121" s="59" t="s">
        <x:v>546</x:v>
      </x:c>
    </x:row>
    <x:row r="122" ht="22" customHeight="1">
      <x:c r="A122" s="49" t="s">
        <x:v>540</x:v>
      </x:c>
      <x:c r="B122" s="49" t="s">
        <x:v>606</x:v>
      </x:c>
      <x:c r="C122" s="49" t="s">
        <x:v>333</x:v>
      </x:c>
      <x:c r="D122" s="49" t="s">
        <x:v>116</x:v>
      </x:c>
      <x:c r="E122" s="49" t="s">
        <x:v>609</x:v>
      </x:c>
      <x:c r="F122" s="49" t="s">
        <x:v>610</x:v>
      </x:c>
      <x:c r="G122" s="60">
        <x:v>0.82</x:v>
      </x:c>
      <x:c r="H122" s="60">
        <x:v>-1.25</x:v>
      </x:c>
      <x:c r="I122" s="60">
        <x:v>1.07</x:v>
      </x:c>
      <x:c r="J122" s="49" t="s">
        <x:v>611</x:v>
      </x:c>
      <x:c r="K122" s="49" t="s">
        <x:v>189</x:v>
      </x:c>
      <x:c r="L122" s="49" t="s">
        <x:v>612</x:v>
      </x:c>
      <x:c r="M122" s="61">
        <x:v>0.541</x:v>
      </x:c>
      <x:c r="N122" s="49" t="s">
        <x:v>96</x:v>
      </x:c>
      <x:c r="O122" s="49" t="s">
        <x:v>114</x:v>
      </x:c>
      <x:c r="P122" s="49" t="s">
        <x:v>30</x:v>
      </x:c>
      <x:c r="Q122" s="49" t="s">
        <x:v>11</x:v>
      </x:c>
      <x:c r="R122" s="50">
        <x:v>1.05</x:v>
      </x:c>
      <x:c r="S122" s="50">
        <x:f t="shared" si="8"/>
        <x:v>1.05</x:v>
      </x:c>
      <x:c r="T122" s="49" t="s">
        <x:v>98</x:v>
      </x:c>
      <x:c r="U122" s="49" t="str">
        <x:f t="shared" si="10"/>
        <x:v>黑</x:v>
      </x:c>
      <x:c r="V122" s="50">
        <x:f t="shared" si="11"/>
        <x:v>0.82</x:v>
      </x:c>
      <x:c r="W122" s="50">
        <x:f t="shared" si="9"/>
        <x:v>-1</x:v>
      </x:c>
      <x:c r="X122" s="57">
        <x:v>0.85</x:v>
      </x:c>
      <x:c r="Y122" s="57">
        <x:v>-1</x:v>
      </x:c>
      <x:c r="Z122" s="57">
        <x:v>1.03</x:v>
      </x:c>
      <x:c r="AA122" s="57">
        <x:v>-1</x:v>
      </x:c>
      <x:c r="AB122" s="57">
        <x:v>1.03</x:v>
      </x:c>
      <x:c r="AC122" s="57">
        <x:v>1.05</x:v>
      </x:c>
      <x:c r="AD122" s="57">
        <x:v>5.09</x:v>
      </x:c>
      <x:c r="AE122" s="57">
        <x:v>4.28</x:v>
      </x:c>
      <x:c r="AF122" s="57">
        <x:v>1.58</x:v>
      </x:c>
      <x:c r="AG122" s="58">
        <x:v>0.063019906442116</x:v>
      </x:c>
      <x:c r="AH122" s="58">
        <x:v>0.013019906442116</x:v>
      </x:c>
      <x:c r="AI122" s="58">
        <x:v>0.184816533569465</x:v>
      </x:c>
      <x:c r="AJ122" s="58">
        <x:v>0.219793494361817</x:v>
      </x:c>
      <x:c r="AK122" s="58">
        <x:v>0.595389972068719</x:v>
      </x:c>
      <x:c r="AL122" s="57">
        <x:v>0.96</x:v>
      </x:c>
      <x:c r="AM122" s="57">
        <x:v>1.91</x:v>
      </x:c>
      <x:c r="AN122" s="57">
        <x:v>0.000457802285826548</x:v>
      </x:c>
      <x:c r="AO122" s="57">
        <x:v>1.48911514501847</x:v>
      </x:c>
      <x:c r="AP122" s="57">
        <x:v>-0.439115145018471</x:v>
      </x:c>
      <x:c r="AQ122" s="59" t="s">
        <x:v>99</x:v>
      </x:c>
      <x:c r="AR122" s="57">
        <x:v>-1.25</x:v>
      </x:c>
      <x:c r="AS122" s="57">
        <x:v>0.352934738454319</x:v>
      </x:c>
      <x:c r="AT122" s="57">
        <x:v>0.525560464235459</x:v>
      </x:c>
      <x:c r="AU122" s="57">
        <x:v>5.62</x:v>
      </x:c>
      <x:c r="AV122" s="57">
        <x:v>4.79</x:v>
      </x:c>
      <x:c r="AW122" s="57">
        <x:v>1.5</x:v>
      </x:c>
      <x:c r="AX122" s="59" t="s">
        <x:v>226</x:v>
      </x:c>
      <x:c r="AY122" s="59" t="s">
        <x:v>546</x:v>
      </x:c>
    </x:row>
    <x:row r="123" ht="22" customHeight="1">
      <x:c r="A123" s="49" t="s">
        <x:v>540</x:v>
      </x:c>
      <x:c r="B123" s="49" t="s">
        <x:v>606</x:v>
      </x:c>
      <x:c r="C123" s="49" t="s">
        <x:v>333</x:v>
      </x:c>
      <x:c r="D123" s="49" t="s">
        <x:v>116</x:v>
      </x:c>
      <x:c r="E123" s="49" t="s">
        <x:v>613</x:v>
      </x:c>
      <x:c r="F123" s="49" t="s">
        <x:v>614</x:v>
      </x:c>
      <x:c r="G123" s="60">
        <x:v>0.96</x:v>
      </x:c>
      <x:c r="H123" s="60">
        <x:v>-1.25</x:v>
      </x:c>
      <x:c r="I123" s="60">
        <x:v>0.93</x:v>
      </x:c>
      <x:c r="J123" s="49" t="s">
        <x:v>615</x:v>
      </x:c>
      <x:c r="K123" s="49" t="s">
        <x:v>94</x:v>
      </x:c>
      <x:c r="L123" s="49" t="s">
        <x:v>616</x:v>
      </x:c>
      <x:c r="M123" s="61">
        <x:v>0.587</x:v>
      </x:c>
      <x:c r="N123" s="49" t="s">
        <x:v>96</x:v>
      </x:c>
      <x:c r="O123" s="49" t="s">
        <x:v>201</x:v>
      </x:c>
      <x:c r="P123" s="49" t="s">
        <x:v>30</x:v>
      </x:c>
      <x:c r="Q123" s="49" t="s">
        <x:v>23</x:v>
      </x:c>
      <x:c r="R123" s="50">
        <x:v>0.82</x:v>
      </x:c>
      <x:c r="S123" s="50">
        <x:f t="shared" si="8"/>
        <x:v>-1</x:v>
      </x:c>
      <x:c r="T123" s="49" t="s">
        <x:v>98</x:v>
      </x:c>
      <x:c r="U123" s="49" t="str">
        <x:f t="shared" si="10"/>
        <x:v>红</x:v>
      </x:c>
      <x:c r="V123" s="50">
        <x:f t="shared" si="11"/>
        <x:v>0.96</x:v>
      </x:c>
      <x:c r="W123" s="50">
        <x:f t="shared" si="9"/>
        <x:v>0.96</x:v>
      </x:c>
      <x:c r="X123" s="57">
        <x:v>1.01</x:v>
      </x:c>
      <x:c r="Y123" s="57">
        <x:v>-1</x:v>
      </x:c>
      <x:c r="Z123" s="57">
        <x:v>0.87</x:v>
      </x:c>
      <x:c r="AA123" s="57">
        <x:v>-1</x:v>
      </x:c>
      <x:c r="AB123" s="57">
        <x:v>0.87</x:v>
      </x:c>
      <x:c r="AC123" s="57">
        <x:v>0.82</x:v>
      </x:c>
      <x:c r="AD123" s="57">
        <x:v>5.27</x:v>
      </x:c>
      <x:c r="AE123" s="57">
        <x:v>4.49</x:v>
      </x:c>
      <x:c r="AF123" s="57">
        <x:v>1.58</x:v>
      </x:c>
      <x:c r="AG123" s="58">
        <x:v>0.0453818623086653</x:v>
      </x:c>
      <x:c r="AH123" s="58">
        <x:v>-0.00461813769133475</x:v>
      </x:c>
      <x:c r="AI123" s="58">
        <x:v>0.181515795829911</x:v>
      </x:c>
      <x:c r="AJ123" s="58">
        <x:v>0.213048606686778</x:v>
      </x:c>
      <x:c r="AK123" s="58">
        <x:v>0.605435597483311</x:v>
      </x:c>
      <x:c r="AL123" s="57">
        <x:v>0.99</x:v>
      </x:c>
      <x:c r="AM123" s="57">
        <x:v>1.99</x:v>
      </x:c>
      <x:c r="AN123" s="57">
        <x:v>0.00050432842323455</x:v>
      </x:c>
      <x:c r="AO123" s="57">
        <x:v>1.40076636591605</x:v>
      </x:c>
      <x:c r="AP123" s="57">
        <x:v>-0.580766365916055</x:v>
      </x:c>
      <x:c r="AQ123" s="59" t="s">
        <x:v>99</x:v>
      </x:c>
      <x:c r="AR123" s="57">
        <x:v>-1.25</x:v>
      </x:c>
      <x:c r="AS123" s="57">
        <x:v>0.366701747619919</x:v>
      </x:c>
      <x:c r="AT123" s="57">
        <x:v>0.51366347438862</x:v>
      </x:c>
      <x:c r="AU123" s="57">
        <x:v>6.82</x:v>
      </x:c>
      <x:c r="AV123" s="57">
        <x:v>5.22</x:v>
      </x:c>
      <x:c r="AW123" s="57">
        <x:v>1.4</x:v>
      </x:c>
      <x:c r="AX123" s="59" t="s">
        <x:v>226</x:v>
      </x:c>
      <x:c r="AY123" s="59" t="s">
        <x:v>546</x:v>
      </x:c>
    </x:row>
    <x:row r="124" ht="22" customHeight="1">
      <x:c r="A124" s="49" t="s">
        <x:v>540</x:v>
      </x:c>
      <x:c r="B124" s="49" t="s">
        <x:v>617</x:v>
      </x:c>
      <x:c r="C124" s="49" t="s">
        <x:v>333</x:v>
      </x:c>
      <x:c r="D124" s="49" t="s">
        <x:v>116</x:v>
      </x:c>
      <x:c r="E124" s="49" t="s">
        <x:v>532</x:v>
      </x:c>
      <x:c r="F124" s="49" t="s">
        <x:v>618</x:v>
      </x:c>
      <x:c r="G124" s="60">
        <x:v>0.9</x:v>
      </x:c>
      <x:c r="H124" s="60">
        <x:v>1.5</x:v>
      </x:c>
      <x:c r="I124" s="60">
        <x:v>0.99</x:v>
      </x:c>
      <x:c r="J124" s="49" t="s">
        <x:v>619</x:v>
      </x:c>
      <x:c r="K124" s="49" t="s">
        <x:v>94</x:v>
      </x:c>
      <x:c r="L124" s="49" t="s">
        <x:v>620</x:v>
      </x:c>
      <x:c r="M124" s="61">
        <x:v>0.541</x:v>
      </x:c>
      <x:c r="N124" s="49" t="s">
        <x:v>96</x:v>
      </x:c>
      <x:c r="O124" s="49" t="s">
        <x:v>169</x:v>
      </x:c>
      <x:c r="P124" s="49" t="s">
        <x:v>30</x:v>
      </x:c>
      <x:c r="Q124" s="49" t="s">
        <x:v>23</x:v>
      </x:c>
      <x:c r="R124" s="50">
        <x:v>1</x:v>
      </x:c>
      <x:c r="S124" s="50">
        <x:f t="shared" si="8"/>
        <x:v>-1</x:v>
      </x:c>
      <x:c r="T124" s="49" t="s">
        <x:v>98</x:v>
      </x:c>
      <x:c r="U124" s="49" t="str">
        <x:f t="shared" si="10"/>
        <x:v>红</x:v>
      </x:c>
      <x:c r="V124" s="50">
        <x:f t="shared" si="11"/>
        <x:v>0.99</x:v>
      </x:c>
      <x:c r="W124" s="50">
        <x:f t="shared" si="9"/>
        <x:v>0.99</x:v>
      </x:c>
      <x:c r="X124" s="57">
        <x:v>0.85</x:v>
      </x:c>
      <x:c r="Y124" s="57">
        <x:v>1.25</x:v>
      </x:c>
      <x:c r="Z124" s="57">
        <x:v>1.03</x:v>
      </x:c>
      <x:c r="AA124" s="57">
        <x:v>-1.25</x:v>
      </x:c>
      <x:c r="AB124" s="57">
        <x:v>0.85</x:v>
      </x:c>
      <x:c r="AC124" s="57">
        <x:v>1</x:v>
      </x:c>
      <x:c r="AD124" s="57">
        <x:v>1.39</x:v>
      </x:c>
      <x:c r="AE124" s="57">
        <x:v>5.12</x:v>
      </x:c>
      <x:c r="AF124" s="57">
        <x:v>6.73</x:v>
      </x:c>
      <x:c r="AG124" s="58">
        <x:v>0.0633253705356667</x:v>
      </x:c>
      <x:c r="AH124" s="58">
        <x:v>0.0133253705356667</x:v>
      </x:c>
      <x:c r="AI124" s="58">
        <x:v>0.676579794263005</x:v>
      </x:c>
      <x:c r="AJ124" s="58">
        <x:v>0.18368084258312</x:v>
      </x:c>
      <x:c r="AK124" s="58">
        <x:v>0.139739363153875</x:v>
      </x:c>
      <x:c r="AL124" s="57">
        <x:v>2.29</x:v>
      </x:c>
      <x:c r="AM124" s="57">
        <x:v>0.94</x:v>
      </x:c>
      <x:c r="AN124" s="57">
        <x:v>0.000433471480284575</x:v>
      </x:c>
      <x:c r="AO124" s="57">
        <x:v>1.23723456465348</x:v>
      </x:c>
      <x:c r="AP124" s="57">
        <x:v>-0.237234564653478</x:v>
      </x:c>
      <x:c r="AQ124" s="59" t="s">
        <x:v>99</x:v>
      </x:c>
      <x:c r="AR124" s="57">
        <x:v>-1.5</x:v>
      </x:c>
      <x:c r="AS124" s="57">
        <x:v>0.446980399730633</x:v>
      </x:c>
      <x:c r="AT124" s="57">
        <x:v>0.553019600269367</x:v>
      </x:c>
      <x:c r="AU124" s="57">
        <x:v>1.37</x:v>
      </x:c>
      <x:c r="AV124" s="57">
        <x:v>5.32</x:v>
      </x:c>
      <x:c r="AW124" s="57">
        <x:v>7.2</x:v>
      </x:c>
      <x:c r="AX124" s="59" t="s">
        <x:v>226</x:v>
      </x:c>
      <x:c r="AY124" s="59" t="s">
        <x:v>546</x:v>
      </x:c>
    </x:row>
    <x:row r="125" ht="22" customHeight="1">
      <x:c r="A125" s="49" t="s">
        <x:v>540</x:v>
      </x:c>
      <x:c r="B125" s="49" t="s">
        <x:v>621</x:v>
      </x:c>
      <x:c r="C125" s="49" t="s">
        <x:v>89</x:v>
      </x:c>
      <x:c r="D125" s="49" t="s">
        <x:v>116</x:v>
      </x:c>
      <x:c r="E125" s="49" t="s">
        <x:v>622</x:v>
      </x:c>
      <x:c r="F125" s="49" t="s">
        <x:v>623</x:v>
      </x:c>
      <x:c r="G125" s="60">
        <x:v>1.06</x:v>
      </x:c>
      <x:c r="H125" s="60">
        <x:v>2.25</x:v>
      </x:c>
      <x:c r="I125" s="60">
        <x:v>0.83</x:v>
      </x:c>
      <x:c r="J125" s="49" t="s">
        <x:v>624</x:v>
      </x:c>
      <x:c r="K125" s="49" t="s">
        <x:v>189</x:v>
      </x:c>
      <x:c r="L125" s="49" t="s">
        <x:v>625</x:v>
      </x:c>
      <x:c r="M125" s="61">
        <x:v>0.596</x:v>
      </x:c>
      <x:c r="N125" s="49" t="s">
        <x:v>96</x:v>
      </x:c>
      <x:c r="O125" s="49" t="s">
        <x:v>231</x:v>
      </x:c>
      <x:c r="P125" s="49" t="s">
        <x:v>30</x:v>
      </x:c>
      <x:c r="Q125" s="49" t="s">
        <x:v>11</x:v>
      </x:c>
      <x:c r="R125" s="50">
        <x:v>1.09</x:v>
      </x:c>
      <x:c r="S125" s="50">
        <x:f t="shared" si="8"/>
        <x:v>1.09</x:v>
      </x:c>
      <x:c r="T125" s="49" t="s">
        <x:v>98</x:v>
      </x:c>
      <x:c r="U125" s="49" t="str">
        <x:f t="shared" si="10"/>
        <x:v>黑</x:v>
      </x:c>
      <x:c r="V125" s="50">
        <x:f t="shared" si="11"/>
        <x:v>1.06</x:v>
      </x:c>
      <x:c r="W125" s="50">
        <x:f t="shared" si="9"/>
        <x:v>-1</x:v>
      </x:c>
      <x:c r="X125" s="57">
        <x:v>0.88</x:v>
      </x:c>
      <x:c r="Y125" s="57">
        <x:v>2</x:v>
      </x:c>
      <x:c r="Z125" s="57">
        <x:v>1</x:v>
      </x:c>
      <x:c r="AA125" s="57">
        <x:v>2</x:v>
      </x:c>
      <x:c r="AB125" s="57">
        <x:v>1</x:v>
      </x:c>
      <x:c r="AC125" s="57">
        <x:v>1.09</x:v>
      </x:c>
      <x:c r="AD125" s="57">
        <x:v>1.17</x:v>
      </x:c>
      <x:c r="AE125" s="57">
        <x:v>6.68</x:v>
      </x:c>
      <x:c r="AF125" s="57">
        <x:v>15.07</x:v>
      </x:c>
      <x:c r="AG125" s="58">
        <x:v>0.07075845416682</x:v>
      </x:c>
      <x:c r="AH125" s="58">
        <x:v>0.02075845416682</x:v>
      </x:c>
      <x:c r="AI125" s="58">
        <x:v>0.798220038678953</x:v>
      </x:c>
      <x:c r="AJ125" s="58">
        <x:v>0.139808000786583</x:v>
      </x:c>
      <x:c r="AK125" s="58">
        <x:v>0.0619719605344642</x:v>
      </x:c>
      <x:c r="AL125" s="57">
        <x:v>2.49</x:v>
      </x:c>
      <x:c r="AM125" s="57">
        <x:v>0.55</x:v>
      </x:c>
      <x:c r="AN125" s="57">
        <x:v>0.000230959131709302</x:v>
      </x:c>
      <x:c r="AO125" s="57">
        <x:v>1.09241118499247</x:v>
      </x:c>
      <x:c r="AP125" s="57">
        <x:v>-0.00241118499246928</x:v>
      </x:c>
      <x:c r="AQ125" s="59" t="s">
        <x:v>174</x:v>
      </x:c>
      <x:c r="AR125" s="57">
        <x:v>1.75</x:v>
      </x:c>
      <x:c r="AS125" s="57">
        <x:v>0.423268857789029</x:v>
      </x:c>
      <x:c r="AT125" s="57">
        <x:v>0.462383634507722</x:v>
      </x:c>
      <x:c r="AU125" s="57">
        <x:v>1.18</x:v>
      </x:c>
      <x:c r="AV125" s="57">
        <x:v>6.46</x:v>
      </x:c>
      <x:c r="AW125" s="57">
        <x:v>16.53</x:v>
      </x:c>
      <x:c r="AX125" s="59" t="s">
        <x:v>226</x:v>
      </x:c>
      <x:c r="AY125" s="59" t="s">
        <x:v>546</x:v>
      </x:c>
    </x:row>
    <x:row r="126" ht="22" customHeight="1">
      <x:c r="A126" s="49" t="s">
        <x:v>626</x:v>
      </x:c>
      <x:c r="B126" s="49" t="s">
        <x:v>627</x:v>
      </x:c>
      <x:c r="C126" s="49" t="s">
        <x:v>244</x:v>
      </x:c>
      <x:c r="D126" s="49" t="s">
        <x:v>116</x:v>
      </x:c>
      <x:c r="E126" s="49" t="s">
        <x:v>628</x:v>
      </x:c>
      <x:c r="F126" s="49" t="s">
        <x:v>629</x:v>
      </x:c>
      <x:c r="G126" s="60">
        <x:v>0.92</x:v>
      </x:c>
      <x:c r="H126" s="60">
        <x:v>0</x:v>
      </x:c>
      <x:c r="I126" s="60">
        <x:v>0.97</x:v>
      </x:c>
      <x:c r="J126" s="49" t="s">
        <x:v>630</x:v>
      </x:c>
      <x:c r="K126" s="49" t="s">
        <x:v>132</x:v>
      </x:c>
      <x:c r="L126" s="49" t="s">
        <x:v>631</x:v>
      </x:c>
      <x:c r="M126" s="61">
        <x:v>0.587</x:v>
      </x:c>
      <x:c r="N126" s="49" t="s">
        <x:v>96</x:v>
      </x:c>
      <x:c r="O126" s="49" t="s">
        <x:v>161</x:v>
      </x:c>
      <x:c r="P126" s="49" t="s">
        <x:v>30</x:v>
      </x:c>
      <x:c r="Q126" s="49" t="s">
        <x:v>11</x:v>
      </x:c>
      <x:c r="R126" s="50">
        <x:v>0.92</x:v>
      </x:c>
      <x:c r="S126" s="50">
        <x:f t="shared" si="8"/>
        <x:v>0.92</x:v>
      </x:c>
      <x:c r="T126" s="49" t="s">
        <x:v>632</x:v>
      </x:c>
      <x:c r="U126" s="49" t="str">
        <x:f t="shared" si="10"/>
        <x:v>黑</x:v>
      </x:c>
      <x:c r="V126" s="50">
        <x:f t="shared" si="11"/>
        <x:v>0.97</x:v>
      </x:c>
      <x:c r="W126" s="50">
        <x:f t="shared" si="9"/>
        <x:v>-1</x:v>
      </x:c>
      <x:c r="X126" s="57">
        <x:v>1.02</x:v>
      </x:c>
      <x:c r="Y126" s="57">
        <x:v>0.25</x:v>
      </x:c>
      <x:c r="Z126" s="57">
        <x:v>0.8</x:v>
      </x:c>
      <x:c r="AA126" s="57">
        <x:v>-0.25</x:v>
      </x:c>
      <x:c r="AB126" s="57">
        <x:v>1.02</x:v>
      </x:c>
      <x:c r="AC126" s="57">
        <x:v>0.92</x:v>
      </x:c>
      <x:c r="AD126" s="57">
        <x:v>2.19</x:v>
      </x:c>
      <x:c r="AE126" s="57">
        <x:v>3.46</x:v>
      </x:c>
      <x:c r="AF126" s="57">
        <x:v>2.79</x:v>
      </x:c>
      <x:c r="AG126" s="58">
        <x:v>0.104061284674773</x:v>
      </x:c>
      <x:c r="AH126" s="58">
        <x:v>0.0540612846747728</x:v>
      </x:c>
      <x:c r="AI126" s="58">
        <x:v>0.413583023790856</x:v>
      </x:c>
      <x:c r="AJ126" s="58">
        <x:v>0.261776538179762</x:v>
      </x:c>
      <x:c r="AK126" s="58">
        <x:v>0.324640438029382</x:v>
      </x:c>
      <x:c r="AL126" s="57">
        <x:v>1.4</x:v>
      </x:c>
      <x:c r="AM126" s="57">
        <x:v>1.21</x:v>
      </x:c>
      <x:c r="AN126" s="57">
        <x:v>0.000125918624528597</x:v>
      </x:c>
      <x:c r="AO126" s="57">
        <x:v>0.785343479739844</x:v>
      </x:c>
      <x:c r="AP126" s="57">
        <x:v>0.134656520260156</x:v>
      </x:c>
      <x:c r="AQ126" s="59" t="s">
        <x:v>135</x:v>
      </x:c>
      <x:c r="AR126" s="57">
        <x:v>0</x:v>
      </x:c>
      <x:c r="AS126" s="57">
        <x:v>0.41341515884989</x:v>
      </x:c>
      <x:c r="AT126" s="57">
        <x:v>0.324672899428373</x:v>
      </x:c>
      <x:c r="AU126" s="57">
        <x:v>2.34</x:v>
      </x:c>
      <x:c r="AV126" s="57">
        <x:v>3.46</x:v>
      </x:c>
      <x:c r="AW126" s="57">
        <x:v>2.58</x:v>
      </x:c>
      <x:c r="AX126" s="59" t="s">
        <x:v>100</x:v>
      </x:c>
      <x:c r="AY126" s="59" t="s">
        <x:v>101</x:v>
      </x:c>
    </x:row>
    <x:row r="127" ht="22" customHeight="1">
      <x:c r="A127" s="49" t="s">
        <x:v>626</x:v>
      </x:c>
      <x:c r="B127" s="49" t="s">
        <x:v>633</x:v>
      </x:c>
      <x:c r="C127" s="49" t="s">
        <x:v>244</x:v>
      </x:c>
      <x:c r="D127" s="49" t="s">
        <x:v>116</x:v>
      </x:c>
      <x:c r="E127" s="49" t="s">
        <x:v>634</x:v>
      </x:c>
      <x:c r="F127" s="49" t="s">
        <x:v>635</x:v>
      </x:c>
      <x:c r="G127" s="60">
        <x:v>0.83</x:v>
      </x:c>
      <x:c r="H127" s="60">
        <x:v>0.25</x:v>
      </x:c>
      <x:c r="I127" s="60">
        <x:v>0.93</x:v>
      </x:c>
      <x:c r="J127" s="49" t="s">
        <x:v>636</x:v>
      </x:c>
      <x:c r="K127" s="49" t="s">
        <x:v>106</x:v>
      </x:c>
      <x:c r="L127" s="49" t="s">
        <x:v>637</x:v>
      </x:c>
      <x:c r="M127" s="61">
        <x:v>0.584</x:v>
      </x:c>
      <x:c r="N127" s="49" t="s">
        <x:v>96</x:v>
      </x:c>
      <x:c r="O127" s="49" t="s">
        <x:v>178</x:v>
      </x:c>
      <x:c r="P127" s="49" t="s">
        <x:v>30</x:v>
      </x:c>
      <x:c r="Q127" s="49" t="s">
        <x:v>11</x:v>
      </x:c>
      <x:c r="R127" s="50">
        <x:v>0.83</x:v>
      </x:c>
      <x:c r="S127" s="50">
        <x:f t="shared" si="8"/>
        <x:v>0.83</x:v>
      </x:c>
      <x:c r="T127" s="49" t="s">
        <x:v>632</x:v>
      </x:c>
      <x:c r="U127" s="49" t="str">
        <x:f t="shared" si="10"/>
        <x:v>黑</x:v>
      </x:c>
      <x:c r="V127" s="50">
        <x:f t="shared" si="11"/>
        <x:v>0.93</x:v>
      </x:c>
      <x:c r="W127" s="50">
        <x:f t="shared" si="9"/>
        <x:v>-1</x:v>
      </x:c>
      <x:c r="X127" s="57">
        <x:v>0.88</x:v>
      </x:c>
      <x:c r="Y127" s="57">
        <x:v>0.25</x:v>
      </x:c>
      <x:c r="Z127" s="57">
        <x:v>0.88</x:v>
      </x:c>
      <x:c r="AA127" s="57">
        <x:v>-0.25</x:v>
      </x:c>
      <x:c r="AB127" s="57">
        <x:v>0.88</x:v>
      </x:c>
      <x:c r="AC127" s="57">
        <x:v>0.83</x:v>
      </x:c>
      <x:c r="AD127" s="57">
        <x:v>2.19</x:v>
      </x:c>
      <x:c r="AE127" s="57">
        <x:v>3.67</x:v>
      </x:c>
      <x:c r="AF127" s="57">
        <x:v>2.62</x:v>
      </x:c>
      <x:c r="AG127" s="58">
        <x:v>0.110779957911885</x:v>
      </x:c>
      <x:c r="AH127" s="58">
        <x:v>0.0607799579118847</x:v>
      </x:c>
      <x:c r="AI127" s="58">
        <x:v>0.411081421944807</x:v>
      </x:c>
      <x:c r="AJ127" s="58">
        <x:v>0.245304717727282</x:v>
      </x:c>
      <x:c r="AK127" s="58">
        <x:v>0.343613860327911</x:v>
      </x:c>
      <x:c r="AL127" s="57">
        <x:v>1.54</x:v>
      </x:c>
      <x:c r="AM127" s="57">
        <x:v>1.39</x:v>
      </x:c>
      <x:c r="AN127" s="57">
        <x:v>0.000385864722423349</x:v>
      </x:c>
      <x:c r="AO127" s="57">
        <x:v>1.13678523579745</x:v>
      </x:c>
      <x:c r="AP127" s="57">
        <x:v>-0.306785235797451</x:v>
      </x:c>
      <x:c r="AQ127" s="59" t="s">
        <x:v>99</x:v>
      </x:c>
      <x:c r="AR127" s="57">
        <x:v>-0.25</x:v>
      </x:c>
      <x:c r="AS127" s="57">
        <x:v>0.410537436039929</x:v>
      </x:c>
      <x:c r="AT127" s="57">
        <x:v>0.466692896032332</x:v>
      </x:c>
      <x:c r="AU127" s="57">
        <x:v>2.11</x:v>
      </x:c>
      <x:c r="AV127" s="57">
        <x:v>3.69</x:v>
      </x:c>
      <x:c r="AW127" s="57">
        <x:v>2.77</x:v>
      </x:c>
      <x:c r="AX127" s="59" t="s">
        <x:v>100</x:v>
      </x:c>
      <x:c r="AY127" s="59" t="s">
        <x:v>101</x:v>
      </x:c>
    </x:row>
    <x:row r="128" ht="22" customHeight="1">
      <x:c r="A128" s="49" t="s">
        <x:v>626</x:v>
      </x:c>
      <x:c r="B128" s="49" t="s">
        <x:v>638</x:v>
      </x:c>
      <x:c r="C128" s="49" t="s">
        <x:v>89</x:v>
      </x:c>
      <x:c r="D128" s="49" t="s">
        <x:v>116</x:v>
      </x:c>
      <x:c r="E128" s="49" t="s">
        <x:v>307</x:v>
      </x:c>
      <x:c r="F128" s="49" t="s">
        <x:v>639</x:v>
      </x:c>
      <x:c r="G128" s="60">
        <x:v>0.91</x:v>
      </x:c>
      <x:c r="H128" s="60">
        <x:v>0</x:v>
      </x:c>
      <x:c r="I128" s="60">
        <x:v>0.79</x:v>
      </x:c>
      <x:c r="J128" s="49" t="s">
        <x:v>640</x:v>
      </x:c>
      <x:c r="K128" s="49" t="s">
        <x:v>106</x:v>
      </x:c>
      <x:c r="L128" s="49" t="s">
        <x:v>641</x:v>
      </x:c>
      <x:c r="M128" s="61">
        <x:v>0.574</x:v>
      </x:c>
      <x:c r="N128" s="49" t="s">
        <x:v>96</x:v>
      </x:c>
      <x:c r="O128" s="49" t="s">
        <x:v>642</x:v>
      </x:c>
      <x:c r="P128" s="49" t="s">
        <x:v>30</x:v>
      </x:c>
      <x:c r="Q128" s="49" t="s">
        <x:v>11</x:v>
      </x:c>
      <x:c r="R128" s="50">
        <x:v>0.79</x:v>
      </x:c>
      <x:c r="S128" s="50">
        <x:f t="shared" si="8"/>
        <x:v>0.79</x:v>
      </x:c>
      <x:c r="T128" s="49" t="s">
        <x:v>643</x:v>
      </x:c>
      <x:c r="U128" s="49" t="str">
        <x:f t="shared" si="10"/>
        <x:v>黑</x:v>
      </x:c>
      <x:c r="V128" s="50">
        <x:f t="shared" si="11"/>
        <x:v>0.91</x:v>
      </x:c>
      <x:c r="W128" s="50">
        <x:f t="shared" si="9"/>
        <x:v>-1</x:v>
      </x:c>
      <x:c r="X128" s="57">
        <x:v>0.91</x:v>
      </x:c>
      <x:c r="Y128" s="57">
        <x:v>0</x:v>
      </x:c>
      <x:c r="Z128" s="57">
        <x:v>0.79</x:v>
      </x:c>
      <x:c r="AA128" s="57">
        <x:v>0</x:v>
      </x:c>
      <x:c r="AB128" s="57">
        <x:v>0.79</x:v>
      </x:c>
      <x:c r="AC128" s="57">
        <x:v>0.79</x:v>
      </x:c>
      <x:c r="AD128" s="57">
        <x:v>2.67</x:v>
      </x:c>
      <x:c r="AE128" s="57">
        <x:v>3.58</x:v>
      </x:c>
      <x:c r="AF128" s="57">
        <x:v>2.21</x:v>
      </x:c>
      <x:c r="AG128" s="58">
        <x:v>0.106350131927345</x:v>
      </x:c>
      <x:c r="AH128" s="58">
        <x:v>0.0563501319273454</x:v>
      </x:c>
      <x:c r="AI128" s="58">
        <x:v>0.338529209151473</x:v>
      </x:c>
      <x:c r="AJ128" s="58">
        <x:v>0.252478488389507</x:v>
      </x:c>
      <x:c r="AK128" s="58">
        <x:v>0.40899230245902</x:v>
      </x:c>
      <x:c r="AL128" s="57">
        <x:v>1.32</x:v>
      </x:c>
      <x:c r="AM128" s="57">
        <x:v>1.48</x:v>
      </x:c>
      <x:c r="AN128" s="57">
        <x:v>0.000927004981695503</x:v>
      </x:c>
      <x:c r="AO128" s="57">
        <x:v>0.823321722079204</x:v>
      </x:c>
      <x:c r="AP128" s="57">
        <x:v>-0.0333217220792037</x:v>
      </x:c>
      <x:c r="AQ128" s="59" t="s">
        <x:v>174</x:v>
      </x:c>
      <x:c r="AR128" s="57">
        <x:v>0</x:v>
      </x:c>
      <x:c r="AS128" s="57">
        <x:v>0.410301138420625</x:v>
      </x:c>
      <x:c r="AT128" s="57">
        <x:v>0.337809839855527</x:v>
      </x:c>
      <x:c r="AU128" s="57">
        <x:v>2.6</x:v>
      </x:c>
      <x:c r="AV128" s="57">
        <x:v>3.37</x:v>
      </x:c>
      <x:c r="AW128" s="57">
        <x:v>2.33</x:v>
      </x:c>
      <x:c r="AX128" s="59" t="s">
        <x:v>100</x:v>
      </x:c>
      <x:c r="AY128" s="59" t="s">
        <x:v>101</x:v>
      </x:c>
    </x:row>
    <x:row r="129" ht="22" customHeight="1">
      <x:c r="A129" s="49" t="s">
        <x:v>626</x:v>
      </x:c>
      <x:c r="B129" s="49" t="s">
        <x:v>644</x:v>
      </x:c>
      <x:c r="C129" s="49" t="s">
        <x:v>239</x:v>
      </x:c>
      <x:c r="D129" s="49" t="s">
        <x:v>116</x:v>
      </x:c>
      <x:c r="E129" s="49" t="s">
        <x:v>645</x:v>
      </x:c>
      <x:c r="F129" s="49" t="s">
        <x:v>646</x:v>
      </x:c>
      <x:c r="G129" s="60">
        <x:v>0.86</x:v>
      </x:c>
      <x:c r="H129" s="60">
        <x:v>0.75</x:v>
      </x:c>
      <x:c r="I129" s="60">
        <x:v>0.84</x:v>
      </x:c>
      <x:c r="J129" s="49" t="s">
        <x:v>647</x:v>
      </x:c>
      <x:c r="K129" s="49" t="s">
        <x:v>106</x:v>
      </x:c>
      <x:c r="L129" s="49" t="s">
        <x:v>648</x:v>
      </x:c>
      <x:c r="M129" s="61">
        <x:v>0.572</x:v>
      </x:c>
      <x:c r="N129" s="49" t="s">
        <x:v>96</x:v>
      </x:c>
      <x:c r="O129" s="49" t="s">
        <x:v>126</x:v>
      </x:c>
      <x:c r="P129" s="49" t="s">
        <x:v>30</x:v>
      </x:c>
      <x:c r="Q129" s="49" t="s">
        <x:v>23</x:v>
      </x:c>
      <x:c r="R129" s="50">
        <x:v>0.86</x:v>
      </x:c>
      <x:c r="S129" s="50">
        <x:f t="shared" si="8"/>
        <x:v>-1</x:v>
      </x:c>
      <x:c r="T129" s="49" t="s">
        <x:v>649</x:v>
      </x:c>
      <x:c r="U129" s="49" t="str">
        <x:f t="shared" si="10"/>
        <x:v>红</x:v>
      </x:c>
      <x:c r="V129" s="50">
        <x:f t="shared" si="11"/>
        <x:v>0.84</x:v>
      </x:c>
      <x:c r="W129" s="50">
        <x:f t="shared" si="9"/>
        <x:v>0.84</x:v>
      </x:c>
      <x:c r="X129" s="57">
        <x:v>0.85</x:v>
      </x:c>
      <x:c r="Y129" s="57">
        <x:v>0.5</x:v>
      </x:c>
      <x:c r="Z129" s="57">
        <x:v>0.85</x:v>
      </x:c>
      <x:c r="AA129" s="57">
        <x:v>-0.5</x:v>
      </x:c>
      <x:c r="AB129" s="57">
        <x:v>0.85</x:v>
      </x:c>
      <x:c r="AC129" s="57">
        <x:v>0.86</x:v>
      </x:c>
      <x:c r="AD129" s="57">
        <x:v>1.91</x:v>
      </x:c>
      <x:c r="AE129" s="57">
        <x:v>3.26</x:v>
      </x:c>
      <x:c r="AF129" s="57">
        <x:v>3.73</x:v>
      </x:c>
      <x:c r="AG129" s="58">
        <x:v>0.0984051904270609</x:v>
      </x:c>
      <x:c r="AH129" s="58">
        <x:v>0.0484051904270609</x:v>
      </x:c>
      <x:c r="AI129" s="58">
        <x:v>0.476654893828864</x:v>
      </x:c>
      <x:c r="AJ129" s="58">
        <x:v>0.279267131046972</x:v>
      </x:c>
      <x:c r="AK129" s="58">
        <x:v>0.244077975124164</x:v>
      </x:c>
      <x:c r="AL129" s="57">
        <x:v>1.35</x:v>
      </x:c>
      <x:c r="AM129" s="57">
        <x:v>0.88</x:v>
      </x:c>
      <x:c r="AN129" s="57">
        <x:v>0.000478186579495999</x:v>
      </x:c>
      <x:c r="AO129" s="57">
        <x:v>1.4854740297374</x:v>
      </x:c>
      <x:c r="AP129" s="57">
        <x:v>-0.625474029737404</x:v>
      </x:c>
      <x:c r="AQ129" s="59" t="s">
        <x:v>99</x:v>
      </x:c>
      <x:c r="AR129" s="57">
        <x:v>-0.75</x:v>
      </x:c>
      <x:c r="AS129" s="57">
        <x:v>0.351993599941232</x:v>
      </x:c>
      <x:c r="AT129" s="57">
        <x:v>0.522877351346478</x:v>
      </x:c>
      <x:c r="AU129" s="57">
        <x:v>1.72</x:v>
      </x:c>
      <x:c r="AV129" s="57">
        <x:v>3.39</x:v>
      </x:c>
      <x:c r="AW129" s="57">
        <x:v>4.41</x:v>
      </x:c>
      <x:c r="AX129" s="59" t="s">
        <x:v>100</x:v>
      </x:c>
      <x:c r="AY129" s="59" t="s">
        <x:v>101</x:v>
      </x:c>
    </x:row>
    <x:row r="130" ht="22" customHeight="1">
      <x:c r="A130" s="49" t="s">
        <x:v>626</x:v>
      </x:c>
      <x:c r="B130" s="49" t="s">
        <x:v>644</x:v>
      </x:c>
      <x:c r="C130" s="49" t="s">
        <x:v>239</x:v>
      </x:c>
      <x:c r="D130" s="49" t="s">
        <x:v>116</x:v>
      </x:c>
      <x:c r="E130" s="49" t="s">
        <x:v>645</x:v>
      </x:c>
      <x:c r="F130" s="49" t="s">
        <x:v>650</x:v>
      </x:c>
      <x:c r="G130" s="60">
        <x:v>0.85</x:v>
      </x:c>
      <x:c r="H130" s="60">
        <x:v>0</x:v>
      </x:c>
      <x:c r="I130" s="60">
        <x:v>0.85</x:v>
      </x:c>
      <x:c r="J130" s="49" t="s">
        <x:v>651</x:v>
      </x:c>
      <x:c r="K130" s="49" t="s">
        <x:v>132</x:v>
      </x:c>
      <x:c r="L130" s="49" t="s">
        <x:v>652</x:v>
      </x:c>
      <x:c r="M130" s="61">
        <x:v>0.603</x:v>
      </x:c>
      <x:c r="N130" s="49" t="s">
        <x:v>96</x:v>
      </x:c>
      <x:c r="O130" s="49" t="s">
        <x:v>653</x:v>
      </x:c>
      <x:c r="P130" s="49" t="s">
        <x:v>30</x:v>
      </x:c>
      <x:c r="Q130" s="49" t="s">
        <x:v>23</x:v>
      </x:c>
      <x:c r="R130" s="50">
        <x:v>0.85</x:v>
      </x:c>
      <x:c r="S130" s="50">
        <x:f t="shared" si="8"/>
        <x:v>-1</x:v>
      </x:c>
      <x:c r="T130" s="49" t="s">
        <x:v>654</x:v>
      </x:c>
      <x:c r="U130" s="49" t="str">
        <x:f t="shared" si="10"/>
        <x:v>红</x:v>
      </x:c>
      <x:c r="V130" s="50">
        <x:f t="shared" si="11"/>
        <x:v>0.85</x:v>
      </x:c>
      <x:c r="W130" s="50">
        <x:f t="shared" si="9"/>
        <x:v>0.85</x:v>
      </x:c>
      <x:c r="X130" s="57">
        <x:v>0.95</x:v>
      </x:c>
      <x:c r="Y130" s="57">
        <x:v>0.25</x:v>
      </x:c>
      <x:c r="Z130" s="57">
        <x:v>0.75</x:v>
      </x:c>
      <x:c r="AA130" s="57">
        <x:v>-0.25</x:v>
      </x:c>
      <x:c r="AB130" s="57">
        <x:v>0.95</x:v>
      </x:c>
      <x:c r="AC130" s="57">
        <x:v>0.85</x:v>
      </x:c>
      <x:c r="AD130" s="57">
        <x:v>2.38</x:v>
      </x:c>
      <x:c r="AE130" s="57">
        <x:v>3.06</x:v>
      </x:c>
      <x:c r="AF130" s="57">
        <x:v>2.82</x:v>
      </x:c>
      <x:c r="AG130" s="58">
        <x:v>0.10157538192582</x:v>
      </x:c>
      <x:c r="AH130" s="58">
        <x:v>0.05157538192582</x:v>
      </x:c>
      <x:c r="AI130" s="58">
        <x:v>0.381424706943192</x:v>
      </x:c>
      <x:c r="AJ130" s="58">
        <x:v>0.296663660955816</x:v>
      </x:c>
      <x:c r="AK130" s="58">
        <x:v>0.321911632100992</x:v>
      </x:c>
      <x:c r="AL130" s="57">
        <x:v>1.12</x:v>
      </x:c>
      <x:c r="AM130" s="57">
        <x:v>1</x:v>
      </x:c>
      <x:c r="AN130" s="57">
        <x:v>0.000806990024656611</x:v>
      </x:c>
      <x:c r="AO130" s="57">
        <x:v>0.839533647866809</x:v>
      </x:c>
      <x:c r="AP130" s="57">
        <x:v>0.0104663521331906</x:v>
      </x:c>
      <x:c r="AQ130" s="59" t="s">
        <x:v>174</x:v>
      </x:c>
      <x:c r="AR130" s="57">
        <x:v>0</x:v>
      </x:c>
      <x:c r="AS130" s="57">
        <x:v>0.382087949993768</x:v>
      </x:c>
      <x:c r="AT130" s="57">
        <x:v>0.320775690464219</x:v>
      </x:c>
      <x:c r="AU130" s="57">
        <x:v>2.59</x:v>
      </x:c>
      <x:c r="AV130" s="57">
        <x:v>2.97</x:v>
      </x:c>
      <x:c r="AW130" s="57">
        <x:v>2.6</x:v>
      </x:c>
      <x:c r="AX130" s="59" t="s">
        <x:v>100</x:v>
      </x:c>
      <x:c r="AY130" s="59" t="s">
        <x:v>101</x:v>
      </x:c>
    </x:row>
    <x:row r="131" ht="22" customHeight="1">
      <x:c r="A131" s="49" t="s">
        <x:v>626</x:v>
      </x:c>
      <x:c r="B131" s="49" t="s">
        <x:v>655</x:v>
      </x:c>
      <x:c r="C131" s="49" t="s">
        <x:v>239</x:v>
      </x:c>
      <x:c r="D131" s="49" t="s">
        <x:v>116</x:v>
      </x:c>
      <x:c r="E131" s="49" t="s">
        <x:v>656</x:v>
      </x:c>
      <x:c r="F131" s="49" t="s">
        <x:v>657</x:v>
      </x:c>
      <x:c r="G131" s="60">
        <x:v>0.85</x:v>
      </x:c>
      <x:c r="H131" s="60">
        <x:v>0</x:v>
      </x:c>
      <x:c r="I131" s="60">
        <x:v>1.04</x:v>
      </x:c>
      <x:c r="J131" s="49" t="s">
        <x:v>658</x:v>
      </x:c>
      <x:c r="K131" s="49" t="s">
        <x:v>132</x:v>
      </x:c>
      <x:c r="L131" s="49" t="s">
        <x:v>251</x:v>
      </x:c>
      <x:c r="M131" s="61">
        <x:v>0.603</x:v>
      </x:c>
      <x:c r="N131" s="49" t="s">
        <x:v>96</x:v>
      </x:c>
      <x:c r="O131" s="49" t="s">
        <x:v>161</x:v>
      </x:c>
      <x:c r="P131" s="49" t="s">
        <x:v>30</x:v>
      </x:c>
      <x:c r="Q131" s="49" t="s">
        <x:v>11</x:v>
      </x:c>
      <x:c r="R131" s="50">
        <x:v>0.85</x:v>
      </x:c>
      <x:c r="S131" s="50">
        <x:f t="shared" si="8"/>
        <x:v>0.85</x:v>
      </x:c>
      <x:c r="T131" s="49" t="s">
        <x:v>632</x:v>
      </x:c>
      <x:c r="U131" s="49" t="str">
        <x:f t="shared" si="10"/>
        <x:v>黑</x:v>
      </x:c>
      <x:c r="V131" s="50">
        <x:f t="shared" si="11"/>
        <x:v>1.04</x:v>
      </x:c>
      <x:c r="W131" s="50">
        <x:f t="shared" si="9"/>
        <x:v>-1</x:v>
      </x:c>
      <x:c r="X131" s="57">
        <x:v>0.96</x:v>
      </x:c>
      <x:c r="Y131" s="57">
        <x:v>0.25</x:v>
      </x:c>
      <x:c r="Z131" s="57">
        <x:v>0.92</x:v>
      </x:c>
      <x:c r="AA131" s="57">
        <x:v>-0.25</x:v>
      </x:c>
      <x:c r="AB131" s="57">
        <x:v>0.96</x:v>
      </x:c>
      <x:c r="AC131" s="57">
        <x:v>0.85</x:v>
      </x:c>
      <x:c r="AD131" s="57">
        <x:v>2.26</x:v>
      </x:c>
      <x:c r="AE131" s="57">
        <x:v>3.13</x:v>
      </x:c>
      <x:c r="AF131" s="57">
        <x:v>2.97</x:v>
      </x:c>
      <x:c r="AG131" s="58">
        <x:v>0.0986670306979052</x:v>
      </x:c>
      <x:c r="AH131" s="58">
        <x:v>0.0486670306979052</x:v>
      </x:c>
      <x:c r="AI131" s="58">
        <x:v>0.402740651847102</x:v>
      </x:c>
      <x:c r="AJ131" s="58">
        <x:v>0.290796764592476</x:v>
      </x:c>
      <x:c r="AK131" s="58">
        <x:v>0.306462583560421</x:v>
      </x:c>
      <x:c r="AL131" s="57">
        <x:v>1.19</x:v>
      </x:c>
      <x:c r="AM131" s="57">
        <x:v>1</x:v>
      </x:c>
      <x:c r="AN131" s="57">
        <x:v>0.000392929089940267</x:v>
      </x:c>
      <x:c r="AO131" s="57">
        <x:v>0.762402951642822</x:v>
      </x:c>
      <x:c r="AP131" s="57">
        <x:v>0.0875970483571782</x:v>
      </x:c>
      <x:c r="AQ131" s="59" t="s">
        <x:v>135</x:v>
      </x:c>
      <x:c r="AR131" s="57">
        <x:v>0</x:v>
      </x:c>
      <x:c r="AS131" s="57">
        <x:v>0.402651028626589</x:v>
      </x:c>
      <x:c r="AT131" s="57">
        <x:v>0.30698233270693</x:v>
      </x:c>
      <x:c r="AU131" s="57">
        <x:v>2.46</x:v>
      </x:c>
      <x:c r="AV131" s="57">
        <x:v>3.06</x:v>
      </x:c>
      <x:c r="AW131" s="57">
        <x:v>2.81</x:v>
      </x:c>
      <x:c r="AX131" s="59" t="s">
        <x:v>100</x:v>
      </x:c>
      <x:c r="AY131" s="59" t="s">
        <x:v>101</x:v>
      </x:c>
    </x:row>
    <x:row r="132" ht="22" customHeight="1">
      <x:c r="A132" s="49" t="s">
        <x:v>626</x:v>
      </x:c>
      <x:c r="B132" s="49" t="s">
        <x:v>655</x:v>
      </x:c>
      <x:c r="C132" s="49" t="s">
        <x:v>239</x:v>
      </x:c>
      <x:c r="D132" s="49" t="s">
        <x:v>116</x:v>
      </x:c>
      <x:c r="E132" s="49" t="s">
        <x:v>659</x:v>
      </x:c>
      <x:c r="F132" s="49" t="s">
        <x:v>660</x:v>
      </x:c>
      <x:c r="G132" s="60">
        <x:v>0.98</x:v>
      </x:c>
      <x:c r="H132" s="60">
        <x:v>-0.25</x:v>
      </x:c>
      <x:c r="I132" s="60">
        <x:v>0.84</x:v>
      </x:c>
      <x:c r="J132" s="49" t="s">
        <x:v>661</x:v>
      </x:c>
      <x:c r="K132" s="49" t="s">
        <x:v>132</x:v>
      </x:c>
      <x:c r="L132" s="49" t="s">
        <x:v>662</x:v>
      </x:c>
      <x:c r="M132" s="61">
        <x:v>0.603</x:v>
      </x:c>
      <x:c r="N132" s="49" t="s">
        <x:v>96</x:v>
      </x:c>
      <x:c r="O132" s="49" t="s">
        <x:v>126</x:v>
      </x:c>
      <x:c r="P132" s="49" t="s">
        <x:v>30</x:v>
      </x:c>
      <x:c r="Q132" s="49" t="s">
        <x:v>20</x:v>
      </x:c>
      <x:c r="R132" s="50">
        <x:v>0.84</x:v>
      </x:c>
      <x:c r="S132" s="50" t="n">
        <x:f t="shared" ref="S132:S195" si="12">IF(OR(Q132="",Q132="待结算"),"",IF(Q132="红",R132,IF(Q132="半红",R132*0.5,IF(Q132="走",0,IF(Q132="半黑",-0.5,-1)))))</x:f>
        <x:v>-0.5</x:v>
      </x:c>
      <x:c r="T132" s="49" t="s">
        <x:v>632</x:v>
      </x:c>
      <x:c r="U132" s="49" t="str">
        <x:f t="shared" si="10"/>
        <x:v>半红</x:v>
      </x:c>
      <x:c r="V132" s="50">
        <x:f t="shared" si="11"/>
        <x:v>0.98</x:v>
      </x:c>
      <x:c r="W132" s="50" t="n">
        <x:f t="shared" ref="W132:W195" si="13">IF(OR(U132="",U132="待结算"),"",IF(U132="红",V132,IF(U132="半红",V132*0.5,IF(U132="走",0,IF(U132="半黑",-0.5,-1)))))</x:f>
        <x:v>0.49</x:v>
      </x:c>
      <x:c r="X132" s="57">
        <x:v>0.8</x:v>
      </x:c>
      <x:c r="Y132" s="57">
        <x:v>-0.5</x:v>
      </x:c>
      <x:c r="Z132" s="57">
        <x:v>1.02</x:v>
      </x:c>
      <x:c r="AA132" s="57">
        <x:v>-0.5</x:v>
      </x:c>
      <x:c r="AB132" s="57">
        <x:v>1.02</x:v>
      </x:c>
      <x:c r="AC132" s="57">
        <x:v>0.84</x:v>
      </x:c>
      <x:c r="AD132" s="57">
        <x:v>3.39</x:v>
      </x:c>
      <x:c r="AE132" s="57">
        <x:v>3.33</x:v>
      </x:c>
      <x:c r="AF132" s="57">
        <x:v>1.96</x:v>
      </x:c>
      <x:c r="AG132" s="58">
        <x:v>0.105489632670416</x:v>
      </x:c>
      <x:c r="AH132" s="58">
        <x:v>0.0554896326704164</x:v>
      </x:c>
      <x:c r="AI132" s="58">
        <x:v>0.266836740951516</x:v>
      </x:c>
      <x:c r="AJ132" s="58">
        <x:v>0.27164461015785</x:v>
      </x:c>
      <x:c r="AK132" s="58">
        <x:v>0.461518648890633</x:v>
      </x:c>
      <x:c r="AL132" s="57">
        <x:v>0.98</x:v>
      </x:c>
      <x:c r="AM132" s="57">
        <x:v>1.38</x:v>
      </x:c>
      <x:c r="AN132" s="57">
        <x:v>0.000565117706865868</x:v>
      </x:c>
      <x:c r="AO132" s="57">
        <x:v>0.874431364096072</x:v>
      </x:c>
      <x:c r="AP132" s="57">
        <x:v>-0.0344313640960716</x:v>
      </x:c>
      <x:c r="AQ132" s="59" t="s">
        <x:v>174</x:v>
      </x:c>
      <x:c r="AR132" s="57">
        <x:v>-0.25</x:v>
      </x:c>
      <x:c r="AS132" s="57">
        <x:v>0.460845329508188</x:v>
      </x:c>
      <x:c r="AT132" s="57">
        <x:v>0.402977610119149</x:v>
      </x:c>
      <x:c r="AU132" s="57">
        <x:v>3.35</x:v>
      </x:c>
      <x:c r="AV132" s="57">
        <x:v>3.33</x:v>
      </x:c>
      <x:c r="AW132" s="57">
        <x:v>2.01</x:v>
      </x:c>
      <x:c r="AX132" s="59" t="s">
        <x:v>100</x:v>
      </x:c>
      <x:c r="AY132" s="59" t="s">
        <x:v>101</x:v>
      </x:c>
    </x:row>
    <x:row r="133" ht="22" customHeight="1">
      <x:c r="A133" s="49" t="s">
        <x:v>626</x:v>
      </x:c>
      <x:c r="B133" s="49" t="s">
        <x:v>655</x:v>
      </x:c>
      <x:c r="C133" s="49" t="s">
        <x:v>239</x:v>
      </x:c>
      <x:c r="D133" s="49" t="s">
        <x:v>116</x:v>
      </x:c>
      <x:c r="E133" s="49" t="s">
        <x:v>659</x:v>
      </x:c>
      <x:c r="F133" s="49" t="s">
        <x:v>663</x:v>
      </x:c>
      <x:c r="G133" s="60">
        <x:v>0.83</x:v>
      </x:c>
      <x:c r="H133" s="60">
        <x:v>0</x:v>
      </x:c>
      <x:c r="I133" s="60">
        <x:v>0.99</x:v>
      </x:c>
      <x:c r="J133" s="49" t="s">
        <x:v>664</x:v>
      </x:c>
      <x:c r="K133" s="49" t="s">
        <x:v>132</x:v>
      </x:c>
      <x:c r="L133" s="49" t="s">
        <x:v>665</x:v>
      </x:c>
      <x:c r="M133" s="61">
        <x:v>0.603</x:v>
      </x:c>
      <x:c r="N133" s="49" t="s">
        <x:v>96</x:v>
      </x:c>
      <x:c r="O133" s="49" t="s">
        <x:v>273</x:v>
      </x:c>
      <x:c r="P133" s="49" t="s">
        <x:v>30</x:v>
      </x:c>
      <x:c r="Q133" s="49" t="s">
        <x:v>17</x:v>
      </x:c>
      <x:c r="R133" s="50">
        <x:v>0.99</x:v>
      </x:c>
      <x:c r="S133" s="50">
        <x:f t="shared" si="12"/>
        <x:v>0</x:v>
      </x:c>
      <x:c r="T133" s="49" t="s">
        <x:v>632</x:v>
      </x:c>
      <x:c r="U133" s="49" t="str">
        <x:f t="shared" si="10"/>
        <x:v>走</x:v>
      </x:c>
      <x:c r="V133" s="50">
        <x:f t="shared" si="11"/>
        <x:v>0.83</x:v>
      </x:c>
      <x:c r="W133" s="50">
        <x:f t="shared" si="13"/>
        <x:v>0</x:v>
      </x:c>
      <x:c r="X133" s="57">
        <x:v>0.77</x:v>
      </x:c>
      <x:c r="Y133" s="57">
        <x:v>-0.25</x:v>
      </x:c>
      <x:c r="Z133" s="57">
        <x:v>1.05</x:v>
      </x:c>
      <x:c r="AA133" s="57">
        <x:v>-0.25</x:v>
      </x:c>
      <x:c r="AB133" s="57">
        <x:v>1.05</x:v>
      </x:c>
      <x:c r="AC133" s="57">
        <x:v>0.99</x:v>
      </x:c>
      <x:c r="AD133" s="57">
        <x:v>2.77</x:v>
      </x:c>
      <x:c r="AE133" s="57">
        <x:v>3.31</x:v>
      </x:c>
      <x:c r="AF133" s="57">
        <x:v>2.26</x:v>
      </x:c>
      <x:c r="AG133" s="58">
        <x:v>0.105603510056482</x:v>
      </x:c>
      <x:c r="AH133" s="58">
        <x:v>0.0556035100564821</x:v>
      </x:c>
      <x:c r="AI133" s="58">
        <x:v>0.326528296121696</x:v>
      </x:c>
      <x:c r="AJ133" s="58">
        <x:v>0.273257818808791</x:v>
      </x:c>
      <x:c r="AK133" s="58">
        <x:v>0.400213885069513</x:v>
      </x:c>
      <x:c r="AL133" s="57">
        <x:v>1.14</x:v>
      </x:c>
      <x:c r="AM133" s="57">
        <x:v>1.29</x:v>
      </x:c>
      <x:c r="AN133" s="57">
        <x:v>0.000624445779485091</x:v>
      </x:c>
      <x:c r="AO133" s="57">
        <x:v>0.818934480760757</x:v>
      </x:c>
      <x:c r="AP133" s="57">
        <x:v>0.171065519239243</x:v>
      </x:c>
      <x:c r="AQ133" s="59" t="s">
        <x:v>135</x:v>
      </x:c>
      <x:c r="AR133" s="57">
        <x:v>0</x:v>
      </x:c>
      <x:c r="AS133" s="57">
        <x:v>0.3993334552579</x:v>
      </x:c>
      <x:c r="AT133" s="57">
        <x:v>0.327027935832027</x:v>
      </x:c>
      <x:c r="AU133" s="57">
        <x:v>2.65</x:v>
      </x:c>
      <x:c r="AV133" s="57">
        <x:v>3.29</x:v>
      </x:c>
      <x:c r="AW133" s="57">
        <x:v>2.41</x:v>
      </x:c>
      <x:c r="AX133" s="59" t="s">
        <x:v>100</x:v>
      </x:c>
      <x:c r="AY133" s="59" t="s">
        <x:v>101</x:v>
      </x:c>
    </x:row>
    <x:row r="134" ht="22" customHeight="1">
      <x:c r="A134" s="49" t="s">
        <x:v>626</x:v>
      </x:c>
      <x:c r="B134" s="49" t="s">
        <x:v>655</x:v>
      </x:c>
      <x:c r="C134" s="49" t="s">
        <x:v>239</x:v>
      </x:c>
      <x:c r="D134" s="49" t="s">
        <x:v>116</x:v>
      </x:c>
      <x:c r="E134" s="49" t="s">
        <x:v>659</x:v>
      </x:c>
      <x:c r="F134" s="49" t="s">
        <x:v>666</x:v>
      </x:c>
      <x:c r="G134" s="60">
        <x:v>1</x:v>
      </x:c>
      <x:c r="H134" s="60">
        <x:v>-0.5</x:v>
      </x:c>
      <x:c r="I134" s="60">
        <x:v>0.82</x:v>
      </x:c>
      <x:c r="J134" s="49" t="s">
        <x:v>667</x:v>
      </x:c>
      <x:c r="K134" s="49" t="s">
        <x:v>106</x:v>
      </x:c>
      <x:c r="L134" s="49" t="s">
        <x:v>668</x:v>
      </x:c>
      <x:c r="M134" s="61">
        <x:v>0.572</x:v>
      </x:c>
      <x:c r="N134" s="49" t="s">
        <x:v>96</x:v>
      </x:c>
      <x:c r="O134" s="49" t="s">
        <x:v>126</x:v>
      </x:c>
      <x:c r="P134" s="49" t="s">
        <x:v>30</x:v>
      </x:c>
      <x:c r="Q134" s="49" t="s">
        <x:v>23</x:v>
      </x:c>
      <x:c r="R134" s="50">
        <x:v>0.82</x:v>
      </x:c>
      <x:c r="S134" s="50">
        <x:f t="shared" si="12"/>
        <x:v>-1</x:v>
      </x:c>
      <x:c r="T134" s="49" t="s">
        <x:v>632</x:v>
      </x:c>
      <x:c r="U134" s="49" t="str">
        <x:f t="shared" si="10"/>
        <x:v>红</x:v>
      </x:c>
      <x:c r="V134" s="50">
        <x:f t="shared" si="11"/>
        <x:v>1</x:v>
      </x:c>
      <x:c r="W134" s="50">
        <x:f t="shared" si="13"/>
        <x:v>1</x:v>
      </x:c>
      <x:c r="X134" s="57">
        <x:v>0.94</x:v>
      </x:c>
      <x:c r="Y134" s="57">
        <x:v>-0.5</x:v>
      </x:c>
      <x:c r="Z134" s="57">
        <x:v>0.88</x:v>
      </x:c>
      <x:c r="AA134" s="57">
        <x:v>-0.5</x:v>
      </x:c>
      <x:c r="AB134" s="57">
        <x:v>0.88</x:v>
      </x:c>
      <x:c r="AC134" s="57">
        <x:v>0.82</x:v>
      </x:c>
      <x:c r="AD134" s="57">
        <x:v>3.57</x:v>
      </x:c>
      <x:c r="AE134" s="57">
        <x:v>3.53</x:v>
      </x:c>
      <x:c r="AF134" s="57">
        <x:v>1.85</x:v>
      </x:c>
      <x:c r="AG134" s="58">
        <x:v>0.103938704338637</x:v>
      </x:c>
      <x:c r="AH134" s="58">
        <x:v>0.0539387043386375</x:v>
      </x:c>
      <x:c r="AI134" s="58">
        <x:v>0.253738766216862</x:v>
      </x:c>
      <x:c r="AJ134" s="58">
        <x:v>0.256613993029518</x:v>
      </x:c>
      <x:c r="AK134" s="58">
        <x:v>0.48964724075362</x:v>
      </x:c>
      <x:c r="AL134" s="57">
        <x:v>1.02</x:v>
      </x:c>
      <x:c r="AM134" s="57">
        <x:v>1.52</x:v>
      </x:c>
      <x:c r="AN134" s="57">
        <x:v>0.000974261489769599</x:v>
      </x:c>
      <x:c r="AO134" s="57">
        <x:v>1.04791709094014</x:v>
      </x:c>
      <x:c r="AP134" s="57">
        <x:v>-0.227917090940144</x:v>
      </x:c>
      <x:c r="AQ134" s="59" t="s">
        <x:v>99</x:v>
      </x:c>
      <x:c r="AR134" s="57">
        <x:v>-0.5</x:v>
      </x:c>
      <x:c r="AS134" s="57">
        <x:v>0.488301017860507</x:v>
      </x:c>
      <x:c r="AT134" s="57">
        <x:v>0.511698982139493</x:v>
      </x:c>
      <x:c r="AU134" s="57">
        <x:v>3.56</x:v>
      </x:c>
      <x:c r="AV134" s="57">
        <x:v>3.59</x:v>
      </x:c>
      <x:c r="AW134" s="57">
        <x:v>1.86</x:v>
      </x:c>
      <x:c r="AX134" s="59" t="s">
        <x:v>100</x:v>
      </x:c>
      <x:c r="AY134" s="59" t="s">
        <x:v>101</x:v>
      </x:c>
    </x:row>
    <x:row r="135" ht="22" customHeight="1">
      <x:c r="A135" s="49" t="s">
        <x:v>626</x:v>
      </x:c>
      <x:c r="B135" s="49" t="s">
        <x:v>655</x:v>
      </x:c>
      <x:c r="C135" s="49" t="s">
        <x:v>239</x:v>
      </x:c>
      <x:c r="D135" s="49" t="s">
        <x:v>116</x:v>
      </x:c>
      <x:c r="E135" s="49" t="s">
        <x:v>669</x:v>
      </x:c>
      <x:c r="F135" s="49" t="s">
        <x:v>670</x:v>
      </x:c>
      <x:c r="G135" s="60">
        <x:v>1.11</x:v>
      </x:c>
      <x:c r="H135" s="60">
        <x:v>-0.5</x:v>
      </x:c>
      <x:c r="I135" s="60">
        <x:v>0.79</x:v>
      </x:c>
      <x:c r="J135" s="49" t="s">
        <x:v>671</x:v>
      </x:c>
      <x:c r="K135" s="49" t="s">
        <x:v>106</x:v>
      </x:c>
      <x:c r="L135" s="49" t="s">
        <x:v>672</x:v>
      </x:c>
      <x:c r="M135" s="61">
        <x:v>0.572</x:v>
      </x:c>
      <x:c r="N135" s="49" t="s">
        <x:v>96</x:v>
      </x:c>
      <x:c r="O135" s="49" t="s">
        <x:v>367</x:v>
      </x:c>
      <x:c r="P135" s="49" t="s">
        <x:v>30</x:v>
      </x:c>
      <x:c r="Q135" s="49" t="s">
        <x:v>11</x:v>
      </x:c>
      <x:c r="R135" s="50">
        <x:v>0.79</x:v>
      </x:c>
      <x:c r="S135" s="50">
        <x:f t="shared" si="12"/>
        <x:v>0.79</x:v>
      </x:c>
      <x:c r="T135" s="49" t="s">
        <x:v>632</x:v>
      </x:c>
      <x:c r="U135" s="49" t="str">
        <x:f t="shared" si="10"/>
        <x:v>黑</x:v>
      </x:c>
      <x:c r="V135" s="50">
        <x:f t="shared" si="11"/>
        <x:v>1.11</x:v>
      </x:c>
      <x:c r="W135" s="50">
        <x:f t="shared" si="13"/>
        <x:v>-1</x:v>
      </x:c>
      <x:c r="X135" s="57">
        <x:v>0.98</x:v>
      </x:c>
      <x:c r="Y135" s="57">
        <x:v>-0.5</x:v>
      </x:c>
      <x:c r="Z135" s="57">
        <x:v>0.9</x:v>
      </x:c>
      <x:c r="AA135" s="57">
        <x:v>-0.5</x:v>
      </x:c>
      <x:c r="AB135" s="57">
        <x:v>0.9</x:v>
      </x:c>
      <x:c r="AC135" s="57">
        <x:v>0.79</x:v>
      </x:c>
      <x:c r="AD135" s="57">
        <x:v>3.9</x:v>
      </x:c>
      <x:c r="AE135" s="57">
        <x:v>3.42</x:v>
      </x:c>
      <x:c r="AF135" s="57">
        <x:v>1.85</x:v>
      </x:c>
      <x:c r="AG135" s="58">
        <x:v>0.0893484577695105</x:v>
      </x:c>
      <x:c r="AH135" s="58">
        <x:v>0.0393484577695105</x:v>
      </x:c>
      <x:c r="AI135" s="58">
        <x:v>0.235379464285714</x:v>
      </x:c>
      <x:c r="AJ135" s="58">
        <x:v>0.268415178571428</x:v>
      </x:c>
      <x:c r="AK135" s="58">
        <x:v>0.496205357142857</x:v>
      </x:c>
      <x:c r="AL135" s="57">
        <x:v>0.9</x:v>
      </x:c>
      <x:c r="AM135" s="57">
        <x:v>1.44</x:v>
      </x:c>
      <x:c r="AN135" s="57">
        <x:v>0.000399690266777244</x:v>
      </x:c>
      <x:c r="AO135" s="57">
        <x:v>1.01326080400783</x:v>
      </x:c>
      <x:c r="AP135" s="57">
        <x:v>-0.223260804007825</x:v>
      </x:c>
      <x:c r="AQ135" s="59" t="s">
        <x:v>99</x:v>
      </x:c>
      <x:c r="AR135" s="57">
        <x:v>-0.5</x:v>
      </x:c>
      <x:c r="AS135" s="57">
        <x:v>0.496706635329753</x:v>
      </x:c>
      <x:c r="AT135" s="57">
        <x:v>0.503293364670247</x:v>
      </x:c>
      <x:c r="AU135" s="57">
        <x:v>3.9</x:v>
      </x:c>
      <x:c r="AV135" s="57">
        <x:v>3.52</x:v>
      </x:c>
      <x:c r="AW135" s="57">
        <x:v>1.85</x:v>
      </x:c>
      <x:c r="AX135" s="59" t="s">
        <x:v>100</x:v>
      </x:c>
      <x:c r="AY135" s="59" t="s">
        <x:v>101</x:v>
      </x:c>
    </x:row>
    <x:row r="136" ht="22" customHeight="1">
      <x:c r="A136" s="49" t="s">
        <x:v>626</x:v>
      </x:c>
      <x:c r="B136" s="49" t="s">
        <x:v>673</x:v>
      </x:c>
      <x:c r="C136" s="49" t="s">
        <x:v>244</x:v>
      </x:c>
      <x:c r="D136" s="49" t="s">
        <x:v>116</x:v>
      </x:c>
      <x:c r="E136" s="49" t="s">
        <x:v>674</x:v>
      </x:c>
      <x:c r="F136" s="49" t="s">
        <x:v>675</x:v>
      </x:c>
      <x:c r="G136" s="60">
        <x:v>1.02</x:v>
      </x:c>
      <x:c r="H136" s="60">
        <x:v>-0.25</x:v>
      </x:c>
      <x:c r="I136" s="60">
        <x:v>0.8</x:v>
      </x:c>
      <x:c r="J136" s="49" t="s">
        <x:v>676</x:v>
      </x:c>
      <x:c r="K136" s="49" t="s">
        <x:v>106</x:v>
      </x:c>
      <x:c r="L136" s="49" t="s">
        <x:v>677</x:v>
      </x:c>
      <x:c r="M136" s="61">
        <x:v>0.584</x:v>
      </x:c>
      <x:c r="N136" s="49" t="s">
        <x:v>96</x:v>
      </x:c>
      <x:c r="O136" s="49" t="s">
        <x:v>161</x:v>
      </x:c>
      <x:c r="P136" s="49" t="s">
        <x:v>30</x:v>
      </x:c>
      <x:c r="Q136" s="49" t="s">
        <x:v>23</x:v>
      </x:c>
      <x:c r="R136" s="50">
        <x:v>0.8</x:v>
      </x:c>
      <x:c r="S136" s="50">
        <x:f t="shared" si="12"/>
        <x:v>-1</x:v>
      </x:c>
      <x:c r="T136" s="49" t="s">
        <x:v>632</x:v>
      </x:c>
      <x:c r="U136" s="49" t="str">
        <x:f t="shared" si="10"/>
        <x:v>红</x:v>
      </x:c>
      <x:c r="V136" s="50">
        <x:f t="shared" si="11"/>
        <x:v>1.02</x:v>
      </x:c>
      <x:c r="W136" s="50">
        <x:f t="shared" si="13"/>
        <x:v>1.02</x:v>
      </x:c>
      <x:c r="X136" s="57">
        <x:v>0.75</x:v>
      </x:c>
      <x:c r="Y136" s="57">
        <x:v>0</x:v>
      </x:c>
      <x:c r="Z136" s="57">
        <x:v>0.95</x:v>
      </x:c>
      <x:c r="AA136" s="57">
        <x:v>0</x:v>
      </x:c>
      <x:c r="AB136" s="57">
        <x:v>0.95</x:v>
      </x:c>
      <x:c r="AC136" s="57">
        <x:v>0.8</x:v>
      </x:c>
      <x:c r="AD136" s="57">
        <x:v>2.26</x:v>
      </x:c>
      <x:c r="AE136" s="57">
        <x:v>3.12</x:v>
      </x:c>
      <x:c r="AF136" s="57">
        <x:v>2.97</x:v>
      </x:c>
      <x:c r="AG136" s="58">
        <x:v>0.0996910333193519</x:v>
      </x:c>
      <x:c r="AH136" s="58">
        <x:v>0.0496910333193519</x:v>
      </x:c>
      <x:c r="AI136" s="58">
        <x:v>0.402365630617721</x:v>
      </x:c>
      <x:c r="AJ136" s="58">
        <x:v>0.291457155511554</x:v>
      </x:c>
      <x:c r="AK136" s="58">
        <x:v>0.306177213870724</x:v>
      </x:c>
      <x:c r="AL136" s="57">
        <x:v>1.18</x:v>
      </x:c>
      <x:c r="AM136" s="57">
        <x:v>0.99</x:v>
      </x:c>
      <x:c r="AN136" s="57">
        <x:v>0.000359095537882054</x:v>
      </x:c>
      <x:c r="AO136" s="57">
        <x:v>1.79089657141466</x:v>
      </x:c>
      <x:c r="AP136" s="57">
        <x:v>-0.990896571414661</x:v>
      </x:c>
      <x:c r="AQ136" s="59" t="s">
        <x:v>99</x:v>
      </x:c>
      <x:c r="AR136" s="57">
        <x:v>-0.25</x:v>
      </x:c>
      <x:c r="AS136" s="57">
        <x:v>0.30600247735346</x:v>
      </x:c>
      <x:c r="AT136" s="57">
        <x:v>0.548018787536705</x:v>
      </x:c>
      <x:c r="AU136" s="57">
        <x:v>2.96</x:v>
      </x:c>
      <x:c r="AV136" s="57">
        <x:v>3.12</x:v>
      </x:c>
      <x:c r="AW136" s="57">
        <x:v>2.31</x:v>
      </x:c>
      <x:c r="AX136" s="59" t="s">
        <x:v>100</x:v>
      </x:c>
      <x:c r="AY136" s="59" t="s">
        <x:v>101</x:v>
      </x:c>
    </x:row>
    <x:row r="137" ht="22" customHeight="1">
      <x:c r="A137" s="49" t="s">
        <x:v>626</x:v>
      </x:c>
      <x:c r="B137" s="49" t="s">
        <x:v>673</x:v>
      </x:c>
      <x:c r="C137" s="49" t="s">
        <x:v>244</x:v>
      </x:c>
      <x:c r="D137" s="49" t="s">
        <x:v>116</x:v>
      </x:c>
      <x:c r="E137" s="49" t="s">
        <x:v>678</x:v>
      </x:c>
      <x:c r="F137" s="49" t="s">
        <x:v>679</x:v>
      </x:c>
      <x:c r="G137" s="60">
        <x:v>1.06</x:v>
      </x:c>
      <x:c r="H137" s="60">
        <x:v>0.25</x:v>
      </x:c>
      <x:c r="I137" s="60">
        <x:v>0.8</x:v>
      </x:c>
      <x:c r="J137" s="49" t="s">
        <x:v>680</x:v>
      </x:c>
      <x:c r="K137" s="49" t="s">
        <x:v>132</x:v>
      </x:c>
      <x:c r="L137" s="49" t="s">
        <x:v>681</x:v>
      </x:c>
      <x:c r="M137" s="61">
        <x:v>0.587</x:v>
      </x:c>
      <x:c r="N137" s="49" t="s">
        <x:v>96</x:v>
      </x:c>
      <x:c r="O137" s="49" t="s">
        <x:v>273</x:v>
      </x:c>
      <x:c r="P137" s="49" t="s">
        <x:v>30</x:v>
      </x:c>
      <x:c r="Q137" s="49" t="s">
        <x:v>20</x:v>
      </x:c>
      <x:c r="R137" s="50">
        <x:v>1.06</x:v>
      </x:c>
      <x:c r="S137" s="50">
        <x:f t="shared" si="12"/>
        <x:v>-0.5</x:v>
      </x:c>
      <x:c r="T137" s="49" t="s">
        <x:v>632</x:v>
      </x:c>
      <x:c r="U137" s="49" t="str">
        <x:f t="shared" si="10"/>
        <x:v>半红</x:v>
      </x:c>
      <x:c r="V137" s="50">
        <x:f t="shared" si="11"/>
        <x:v>0.8</x:v>
      </x:c>
      <x:c r="W137" s="50">
        <x:f t="shared" si="13"/>
        <x:v>0.4</x:v>
      </x:c>
      <x:c r="X137" s="57">
        <x:v>0.9</x:v>
      </x:c>
      <x:c r="Y137" s="57">
        <x:v>0.5</x:v>
      </x:c>
      <x:c r="Z137" s="57">
        <x:v>0.8</x:v>
      </x:c>
      <x:c r="AA137" s="57">
        <x:v>-0.5</x:v>
      </x:c>
      <x:c r="AB137" s="57">
        <x:v>0.9</x:v>
      </x:c>
      <x:c r="AC137" s="57">
        <x:v>1.06</x:v>
      </x:c>
      <x:c r="AD137" s="57">
        <x:v>1.88</x:v>
      </x:c>
      <x:c r="AE137" s="57">
        <x:v>3.46</x:v>
      </x:c>
      <x:c r="AF137" s="57">
        <x:v>3.75</x:v>
      </x:c>
      <x:c r="AG137" s="58">
        <x:v>0.0875989013241503</x:v>
      </x:c>
      <x:c r="AH137" s="58">
        <x:v>0.0375989013241503</x:v>
      </x:c>
      <x:c r="AI137" s="58">
        <x:v>0.48907266545545</x:v>
      </x:c>
      <x:c r="AJ137" s="58">
        <x:v>0.265738904929551</x:v>
      </x:c>
      <x:c r="AK137" s="58">
        <x:v>0.245188429614999</x:v>
      </x:c>
      <x:c r="AL137" s="57">
        <x:v>1.45</x:v>
      </x:c>
      <x:c r="AM137" s="57">
        <x:v>0.94</x:v>
      </x:c>
      <x:c r="AN137" s="57">
        <x:v>0.000518768164220463</x:v>
      </x:c>
      <x:c r="AO137" s="57">
        <x:v>0.771298342085239</x:v>
      </x:c>
      <x:c r="AP137" s="57">
        <x:v>0.288701657914761</x:v>
      </x:c>
      <x:c r="AQ137" s="59" t="s">
        <x:v>165</x:v>
      </x:c>
      <x:c r="AR137" s="57">
        <x:v>-0.25</x:v>
      </x:c>
      <x:c r="AS137" s="57">
        <x:v>0.489442465041362</x:v>
      </x:c>
      <x:c r="AT137" s="57">
        <x:v>0.377506161832515</x:v>
      </x:c>
      <x:c r="AU137" s="57">
        <x:v>2.13</x:v>
      </x:c>
      <x:c r="AV137" s="57">
        <x:v>3.54</x:v>
      </x:c>
      <x:c r="AW137" s="57">
        <x:v>3.11</x:v>
      </x:c>
      <x:c r="AX137" s="59" t="s">
        <x:v>100</x:v>
      </x:c>
      <x:c r="AY137" s="59" t="s">
        <x:v>101</x:v>
      </x:c>
    </x:row>
    <x:row r="138" ht="22" customHeight="1">
      <x:c r="A138" s="49" t="s">
        <x:v>626</x:v>
      </x:c>
      <x:c r="B138" s="49" t="s">
        <x:v>673</x:v>
      </x:c>
      <x:c r="C138" s="49" t="s">
        <x:v>333</x:v>
      </x:c>
      <x:c r="D138" s="49" t="s">
        <x:v>116</x:v>
      </x:c>
      <x:c r="E138" s="49" t="s">
        <x:v>568</x:v>
      </x:c>
      <x:c r="F138" s="49" t="s">
        <x:v>682</x:v>
      </x:c>
      <x:c r="G138" s="60">
        <x:v>0.82</x:v>
      </x:c>
      <x:c r="H138" s="60">
        <x:v>1.25</x:v>
      </x:c>
      <x:c r="I138" s="60">
        <x:v>1.07</x:v>
      </x:c>
      <x:c r="J138" s="49" t="s">
        <x:v>683</x:v>
      </x:c>
      <x:c r="K138" s="49" t="s">
        <x:v>132</x:v>
      </x:c>
      <x:c r="L138" s="49" t="s">
        <x:v>684</x:v>
      </x:c>
      <x:c r="M138" s="61">
        <x:v>0.603</x:v>
      </x:c>
      <x:c r="N138" s="49" t="s">
        <x:v>685</x:v>
      </x:c>
      <x:c r="O138" s="49" t="s">
        <x:v>686</x:v>
      </x:c>
      <x:c r="P138" s="49" t="s">
        <x:v>30</x:v>
      </x:c>
      <x:c r="Q138" s="49" t="s">
        <x:v>23</x:v>
      </x:c>
      <x:c r="R138" s="50">
        <x:v>0.82</x:v>
      </x:c>
      <x:c r="S138" s="50">
        <x:f t="shared" si="12"/>
        <x:v>-1</x:v>
      </x:c>
      <x:c r="T138" s="49" t="s">
        <x:v>632</x:v>
      </x:c>
      <x:c r="U138" s="49" t="str">
        <x:f t="shared" si="10"/>
        <x:v>红</x:v>
      </x:c>
      <x:c r="V138" s="50">
        <x:f t="shared" si="11"/>
        <x:v>1.07</x:v>
      </x:c>
      <x:c r="W138" s="50">
        <x:f t="shared" si="13"/>
        <x:v>1.07</x:v>
      </x:c>
      <x:c r="X138" s="57">
        <x:v>1.04</x:v>
      </x:c>
      <x:c r="Y138" s="57">
        <x:v>1.5</x:v>
      </x:c>
      <x:c r="Z138" s="57">
        <x:v>0.84</x:v>
      </x:c>
      <x:c r="AA138" s="57">
        <x:v>-1.5</x:v>
      </x:c>
      <x:c r="AB138" s="57">
        <x:v>1.04</x:v>
      </x:c>
      <x:c r="AC138" s="57">
        <x:v>0.82</x:v>
      </x:c>
      <x:c r="AD138" s="57">
        <x:v>1.33</x:v>
      </x:c>
      <x:c r="AE138" s="57">
        <x:v>5.12</x:v>
      </x:c>
      <x:c r="AF138" s="57">
        <x:v>7.87</x:v>
      </x:c>
      <x:c r="AG138" s="58">
        <x:v>0.0742570022976756</x:v>
      </x:c>
      <x:c r="AH138" s="58">
        <x:v>0.0242570022976756</x:v>
      </x:c>
      <x:c r="AI138" s="58">
        <x:v>0.699906724033412</x:v>
      </x:c>
      <x:c r="AJ138" s="58">
        <x:v>0.181811707610242</x:v>
      </x:c>
      <x:c r="AK138" s="58">
        <x:v>0.118281568356345</x:v>
      </x:c>
      <x:c r="AL138" s="57">
        <x:v>2.21</x:v>
      </x:c>
      <x:c r="AM138" s="57">
        <x:v>0.78</x:v>
      </x:c>
      <x:c r="AN138" s="57">
        <x:v>0.000414388099410881</x:v>
      </x:c>
      <x:c r="AO138" s="57">
        <x:v>0.909562336547164</x:v>
      </x:c>
      <x:c r="AP138" s="57">
        <x:v>-0.0895623365471636</x:v>
      </x:c>
      <x:c r="AQ138" s="59" t="s">
        <x:v>99</x:v>
      </x:c>
      <x:c r="AR138" s="57">
        <x:v>-1.25</x:v>
      </x:c>
      <x:c r="AS138" s="57">
        <x:v>0.461164069103212</x:v>
      </x:c>
      <x:c r="AT138" s="57">
        <x:v>0.419457468225115</x:v>
      </x:c>
      <x:c r="AU138" s="57">
        <x:v>1.37</x:v>
      </x:c>
      <x:c r="AV138" s="57">
        <x:v>5.11</x:v>
      </x:c>
      <x:c r="AW138" s="57">
        <x:v>7.21</x:v>
      </x:c>
      <x:c r="AX138" s="59" t="s">
        <x:v>100</x:v>
      </x:c>
      <x:c r="AY138" s="59" t="s">
        <x:v>101</x:v>
      </x:c>
    </x:row>
    <x:row r="139" ht="22" customHeight="1">
      <x:c r="A139" s="49" t="s">
        <x:v>626</x:v>
      </x:c>
      <x:c r="B139" s="49" t="s">
        <x:v>673</x:v>
      </x:c>
      <x:c r="C139" s="49" t="s">
        <x:v>89</x:v>
      </x:c>
      <x:c r="D139" s="49" t="s">
        <x:v>116</x:v>
      </x:c>
      <x:c r="E139" s="49" t="s">
        <x:v>687</x:v>
      </x:c>
      <x:c r="F139" s="49" t="s">
        <x:v>688</x:v>
      </x:c>
      <x:c r="G139" s="60">
        <x:v>0.84</x:v>
      </x:c>
      <x:c r="H139" s="60">
        <x:v>0.75</x:v>
      </x:c>
      <x:c r="I139" s="60">
        <x:v>0.86</x:v>
      </x:c>
      <x:c r="J139" s="49" t="s">
        <x:v>689</x:v>
      </x:c>
      <x:c r="K139" s="49" t="s">
        <x:v>106</x:v>
      </x:c>
      <x:c r="L139" s="49" t="s">
        <x:v>690</x:v>
      </x:c>
      <x:c r="M139" s="61">
        <x:v>0.574</x:v>
      </x:c>
      <x:c r="N139" s="49" t="s">
        <x:v>96</x:v>
      </x:c>
      <x:c r="O139" s="49" t="s">
        <x:v>161</x:v>
      </x:c>
      <x:c r="P139" s="49" t="s">
        <x:v>30</x:v>
      </x:c>
      <x:c r="Q139" s="49" t="s">
        <x:v>11</x:v>
      </x:c>
      <x:c r="R139" s="50">
        <x:v>0.84</x:v>
      </x:c>
      <x:c r="S139" s="50">
        <x:f t="shared" si="12"/>
        <x:v>0.84</x:v>
      </x:c>
      <x:c r="T139" s="49" t="s">
        <x:v>632</x:v>
      </x:c>
      <x:c r="U139" s="49" t="str">
        <x:f t="shared" si="10"/>
        <x:v>黑</x:v>
      </x:c>
      <x:c r="V139" s="50">
        <x:f t="shared" si="11"/>
        <x:v>0.86</x:v>
      </x:c>
      <x:c r="W139" s="50">
        <x:f t="shared" si="13"/>
        <x:v>-1</x:v>
      </x:c>
      <x:c r="X139" s="57">
        <x:v>0.84</x:v>
      </x:c>
      <x:c r="Y139" s="57">
        <x:v>0.75</x:v>
      </x:c>
      <x:c r="Z139" s="57">
        <x:v>0.86</x:v>
      </x:c>
      <x:c r="AA139" s="57">
        <x:v>-0.75</x:v>
      </x:c>
      <x:c r="AB139" s="57">
        <x:v>0.84</x:v>
      </x:c>
      <x:c r="AC139" s="57">
        <x:v>0.84</x:v>
      </x:c>
      <x:c r="AD139" s="57">
        <x:v>1.86</x:v>
      </x:c>
      <x:c r="AE139" s="57">
        <x:v>3.73</x:v>
      </x:c>
      <x:c r="AF139" s="57">
        <x:v>3.42</x:v>
      </x:c>
      <x:c r="AG139" s="58">
        <x:v>0.0981285841661723</x:v>
      </x:c>
      <x:c r="AH139" s="58">
        <x:v>0.0481285841661723</x:v>
      </x:c>
      <x:c r="AI139" s="58">
        <x:v>0.489591488969742</x:v>
      </x:c>
      <x:c r="AJ139" s="58">
        <x:v>0.244139455625662</x:v>
      </x:c>
      <x:c r="AK139" s="58">
        <x:v>0.266269055404596</x:v>
      </x:c>
      <x:c r="AL139" s="57">
        <x:v>1.65</x:v>
      </x:c>
      <x:c r="AM139" s="57">
        <x:v>1.15</x:v>
      </x:c>
      <x:c r="AN139" s="57">
        <x:v>0.000490333784319053</x:v>
      </x:c>
      <x:c r="AO139" s="57">
        <x:v>1.35993535179382</x:v>
      </x:c>
      <x:c r="AP139" s="57">
        <x:v>-0.519935351793821</x:v>
      </x:c>
      <x:c r="AQ139" s="59" t="s">
        <x:v>99</x:v>
      </x:c>
      <x:c r="AR139" s="57">
        <x:v>-0.75</x:v>
      </x:c>
      <x:c r="AS139" s="57">
        <x:v>0.374824228334644</x:v>
      </x:c>
      <x:c r="AT139" s="57">
        <x:v>0.509736718821122</x:v>
      </x:c>
      <x:c r="AU139" s="57">
        <x:v>1.67</x:v>
      </x:c>
      <x:c r="AV139" s="57">
        <x:v>3.93</x:v>
      </x:c>
      <x:c r="AW139" s="57">
        <x:v>4.01</x:v>
      </x:c>
      <x:c r="AX139" s="59" t="s">
        <x:v>100</x:v>
      </x:c>
      <x:c r="AY139" s="59" t="s">
        <x:v>101</x:v>
      </x:c>
    </x:row>
    <x:row r="140" ht="22" customHeight="1">
      <x:c r="A140" s="49" t="s">
        <x:v>626</x:v>
      </x:c>
      <x:c r="B140" s="49" t="s">
        <x:v>673</x:v>
      </x:c>
      <x:c r="C140" s="49" t="s">
        <x:v>89</x:v>
      </x:c>
      <x:c r="D140" s="49" t="s">
        <x:v>116</x:v>
      </x:c>
      <x:c r="E140" s="49" t="s">
        <x:v>587</x:v>
      </x:c>
      <x:c r="F140" s="49" t="s">
        <x:v>691</x:v>
      </x:c>
      <x:c r="G140" s="60">
        <x:v>0.88</x:v>
      </x:c>
      <x:c r="H140" s="60">
        <x:v>0</x:v>
      </x:c>
      <x:c r="I140" s="60">
        <x:v>1.01</x:v>
      </x:c>
      <x:c r="J140" s="49" t="s">
        <x:v>692</x:v>
      </x:c>
      <x:c r="K140" s="49" t="s">
        <x:v>132</x:v>
      </x:c>
      <x:c r="L140" s="49" t="s">
        <x:v>693</x:v>
      </x:c>
      <x:c r="M140" s="61">
        <x:v>0.576</x:v>
      </x:c>
      <x:c r="N140" s="49" t="s">
        <x:v>96</x:v>
      </x:c>
      <x:c r="O140" s="49" t="s">
        <x:v>126</x:v>
      </x:c>
      <x:c r="P140" s="49" t="s">
        <x:v>30</x:v>
      </x:c>
      <x:c r="Q140" s="49" t="s">
        <x:v>17</x:v>
      </x:c>
      <x:c r="R140" s="50">
        <x:v>1.01</x:v>
      </x:c>
      <x:c r="S140" s="50">
        <x:f t="shared" si="12"/>
        <x:v>0</x:v>
      </x:c>
      <x:c r="T140" s="49" t="s">
        <x:v>632</x:v>
      </x:c>
      <x:c r="U140" s="49" t="str">
        <x:f t="shared" si="10"/>
        <x:v>走</x:v>
      </x:c>
      <x:c r="V140" s="50">
        <x:f t="shared" si="11"/>
        <x:v>0.88</x:v>
      </x:c>
      <x:c r="W140" s="50">
        <x:f t="shared" si="13"/>
        <x:v>0</x:v>
      </x:c>
      <x:c r="X140" s="57">
        <x:v>1.07</x:v>
      </x:c>
      <x:c r="Y140" s="57">
        <x:v>0.25</x:v>
      </x:c>
      <x:c r="Z140" s="57">
        <x:v>0.81</x:v>
      </x:c>
      <x:c r="AA140" s="57">
        <x:v>0.25</x:v>
      </x:c>
      <x:c r="AB140" s="57">
        <x:v>0.81</x:v>
      </x:c>
      <x:c r="AC140" s="57">
        <x:v>1.01</x:v>
      </x:c>
      <x:c r="AD140" s="57">
        <x:v>2.36</x:v>
      </x:c>
      <x:c r="AE140" s="57">
        <x:v>3.37</x:v>
      </x:c>
      <x:c r="AF140" s="57">
        <x:v>2.68</x:v>
      </x:c>
      <x:c r="AG140" s="58">
        <x:v>0.0935990469620414</x:v>
      </x:c>
      <x:c r="AH140" s="58">
        <x:v>0.0435990469620414</x:v>
      </x:c>
      <x:c r="AI140" s="58">
        <x:v>0.387462676322202</x:v>
      </x:c>
      <x:c r="AJ140" s="58">
        <x:v>0.271338847513471</x:v>
      </x:c>
      <x:c r="AK140" s="58">
        <x:v>0.341198476164327</x:v>
      </x:c>
      <x:c r="AL140" s="57">
        <x:v>1.29</x:v>
      </x:c>
      <x:c r="AM140" s="57">
        <x:v>1.19</x:v>
      </x:c>
      <x:c r="AN140" s="57">
        <x:v>0.000700267200033779</x:v>
      </x:c>
      <x:c r="AO140" s="57">
        <x:v>1.14034752377863</x:v>
      </x:c>
      <x:c r="AP140" s="57">
        <x:v>-0.130347523778627</x:v>
      </x:c>
      <x:c r="AQ140" s="59" t="s">
        <x:v>150</x:v>
      </x:c>
      <x:c r="AR140" s="57">
        <x:v>0</x:v>
      </x:c>
      <x:c r="AS140" s="57">
        <x:v>0.340642093160979</x:v>
      </x:c>
      <x:c r="AT140" s="57">
        <x:v>0.388450367430891</x:v>
      </x:c>
      <x:c r="AU140" s="57">
        <x:v>2.39</x:v>
      </x:c>
      <x:c r="AV140" s="57">
        <x:v>3.45</x:v>
      </x:c>
      <x:c r="AW140" s="57">
        <x:v>2.67</x:v>
      </x:c>
      <x:c r="AX140" s="59" t="s">
        <x:v>100</x:v>
      </x:c>
      <x:c r="AY140" s="59" t="s">
        <x:v>101</x:v>
      </x:c>
    </x:row>
    <x:row r="141" ht="22" customHeight="1">
      <x:c r="A141" s="49" t="s">
        <x:v>626</x:v>
      </x:c>
      <x:c r="B141" s="49" t="s">
        <x:v>694</x:v>
      </x:c>
      <x:c r="C141" s="49" t="s">
        <x:v>244</x:v>
      </x:c>
      <x:c r="D141" s="49" t="s">
        <x:v>116</x:v>
      </x:c>
      <x:c r="E141" s="49" t="s">
        <x:v>674</x:v>
      </x:c>
      <x:c r="F141" s="49" t="s">
        <x:v>695</x:v>
      </x:c>
      <x:c r="G141" s="60">
        <x:v>1</x:v>
      </x:c>
      <x:c r="H141" s="60">
        <x:v>-0.25</x:v>
      </x:c>
      <x:c r="I141" s="60">
        <x:v>0.82</x:v>
      </x:c>
      <x:c r="J141" s="49" t="s">
        <x:v>696</x:v>
      </x:c>
      <x:c r="K141" s="49" t="s">
        <x:v>132</x:v>
      </x:c>
      <x:c r="L141" s="49" t="s">
        <x:v>697</x:v>
      </x:c>
      <x:c r="M141" s="61">
        <x:v>0.587</x:v>
      </x:c>
      <x:c r="N141" s="49" t="s">
        <x:v>96</x:v>
      </x:c>
      <x:c r="O141" s="49" t="s">
        <x:v>149</x:v>
      </x:c>
      <x:c r="P141" s="49" t="s">
        <x:v>30</x:v>
      </x:c>
      <x:c r="Q141" s="49" t="s">
        <x:v>20</x:v>
      </x:c>
      <x:c r="R141" s="50">
        <x:v>0.82</x:v>
      </x:c>
      <x:c r="S141" s="50">
        <x:f t="shared" si="12"/>
        <x:v>-0.5</x:v>
      </x:c>
      <x:c r="T141" s="49" t="s">
        <x:v>632</x:v>
      </x:c>
      <x:c r="U141" s="49" t="str">
        <x:f t="shared" si="10"/>
        <x:v>半红</x:v>
      </x:c>
      <x:c r="V141" s="50">
        <x:f t="shared" si="11"/>
        <x:v>1</x:v>
      </x:c>
      <x:c r="W141" s="50">
        <x:f t="shared" si="13"/>
        <x:v>0.5</x:v>
      </x:c>
      <x:c r="X141" s="57">
        <x:v>0.9</x:v>
      </x:c>
      <x:c r="Y141" s="57">
        <x:v>-0.5</x:v>
      </x:c>
      <x:c r="Z141" s="57">
        <x:v>0.8</x:v>
      </x:c>
      <x:c r="AA141" s="57">
        <x:v>-0.5</x:v>
      </x:c>
      <x:c r="AB141" s="57">
        <x:v>0.8</x:v>
      </x:c>
      <x:c r="AC141" s="57">
        <x:v>0.82</x:v>
      </x:c>
      <x:c r="AD141" s="57">
        <x:v>3.93</x:v>
      </x:c>
      <x:c r="AE141" s="57">
        <x:v>3.51</x:v>
      </x:c>
      <x:c r="AF141" s="57">
        <x:v>1.79</x:v>
      </x:c>
      <x:c r="AG141" s="58">
        <x:v>0.0980124289860314</x:v>
      </x:c>
      <x:c r="AH141" s="58">
        <x:v>0.0480124289860313</x:v>
      </x:c>
      <x:c r="AI141" s="58">
        <x:v>0.231739568233875</x:v>
      </x:c>
      <x:c r="AJ141" s="58">
        <x:v>0.259469089219125</x:v>
      </x:c>
      <x:c r="AK141" s="58">
        <x:v>0.508791342547</x:v>
      </x:c>
      <x:c r="AL141" s="57">
        <x:v>0.93</x:v>
      </x:c>
      <x:c r="AM141" s="57">
        <x:v>1.51</x:v>
      </x:c>
      <x:c r="AN141" s="57">
        <x:v>0.00078450036220683</x:v>
      </x:c>
      <x:c r="AO141" s="57">
        <x:v>0.713759331857663</x:v>
      </x:c>
      <x:c r="AP141" s="57">
        <x:v>0.106240668142337</x:v>
      </x:c>
      <x:c r="AQ141" s="59" t="s">
        <x:v>165</x:v>
      </x:c>
      <x:c r="AR141" s="57">
        <x:v>-0.25</x:v>
      </x:c>
      <x:c r="AS141" s="57">
        <x:v>0.507696642362512</x:v>
      </x:c>
      <x:c r="AT141" s="57">
        <x:v>0.362373216239045</x:v>
      </x:c>
      <x:c r="AU141" s="57">
        <x:v>3.58</x:v>
      </x:c>
      <x:c r="AV141" s="57">
        <x:v>3.48</x:v>
      </x:c>
      <x:c r="AW141" s="57">
        <x:v>1.9</x:v>
      </x:c>
      <x:c r="AX141" s="59" t="s">
        <x:v>100</x:v>
      </x:c>
      <x:c r="AY141" s="59" t="s">
        <x:v>101</x:v>
      </x:c>
    </x:row>
    <x:row r="142" ht="22" customHeight="1">
      <x:c r="A142" s="49" t="s">
        <x:v>626</x:v>
      </x:c>
      <x:c r="B142" s="49" t="s">
        <x:v>694</x:v>
      </x:c>
      <x:c r="C142" s="49" t="s">
        <x:v>333</x:v>
      </x:c>
      <x:c r="D142" s="49" t="s">
        <x:v>116</x:v>
      </x:c>
      <x:c r="E142" s="49" t="s">
        <x:v>156</x:v>
      </x:c>
      <x:c r="F142" s="49" t="s">
        <x:v>698</x:v>
      </x:c>
      <x:c r="G142" s="60">
        <x:v>0.83</x:v>
      </x:c>
      <x:c r="H142" s="60">
        <x:v>0.25</x:v>
      </x:c>
      <x:c r="I142" s="60">
        <x:v>1.05</x:v>
      </x:c>
      <x:c r="J142" s="49" t="s">
        <x:v>401</x:v>
      </x:c>
      <x:c r="K142" s="49" t="s">
        <x:v>106</x:v>
      </x:c>
      <x:c r="L142" s="49" t="s">
        <x:v>200</x:v>
      </x:c>
      <x:c r="M142" s="61">
        <x:v>0.576</x:v>
      </x:c>
      <x:c r="N142" s="49" t="s">
        <x:v>685</x:v>
      </x:c>
      <x:c r="O142" s="49" t="s">
        <x:v>108</x:v>
      </x:c>
      <x:c r="P142" s="49" t="s">
        <x:v>30</x:v>
      </x:c>
      <x:c r="Q142" s="49" t="s">
        <x:v>11</x:v>
      </x:c>
      <x:c r="R142" s="50">
        <x:v>0.83</x:v>
      </x:c>
      <x:c r="S142" s="50">
        <x:f t="shared" si="12"/>
        <x:v>0.83</x:v>
      </x:c>
      <x:c r="T142" s="49" t="s">
        <x:v>632</x:v>
      </x:c>
      <x:c r="U142" s="49" t="str">
        <x:f t="shared" si="10"/>
        <x:v>黑</x:v>
      </x:c>
      <x:c r="V142" s="50">
        <x:f t="shared" si="11"/>
        <x:v>1.05</x:v>
      </x:c>
      <x:c r="W142" s="50">
        <x:f t="shared" si="13"/>
        <x:v>-1</x:v>
      </x:c>
      <x:c r="X142" s="57">
        <x:v>0.83</x:v>
      </x:c>
      <x:c r="Y142" s="57">
        <x:v>0.25</x:v>
      </x:c>
      <x:c r="Z142" s="57">
        <x:v>1.05</x:v>
      </x:c>
      <x:c r="AA142" s="57">
        <x:v>-0.25</x:v>
      </x:c>
      <x:c r="AB142" s="57">
        <x:v>0.83</x:v>
      </x:c>
      <x:c r="AC142" s="57">
        <x:v>0.83</x:v>
      </x:c>
      <x:c r="AD142" s="57">
        <x:v>2.11</x:v>
      </x:c>
      <x:c r="AE142" s="57">
        <x:v>3.19</x:v>
      </x:c>
      <x:c r="AF142" s="57">
        <x:v>3.48</x:v>
      </x:c>
      <x:c r="AG142" s="58">
        <x:v>0.0747695949526315</x:v>
      </x:c>
      <x:c r="AH142" s="58">
        <x:v>0.0247695949526315</x:v>
      </x:c>
      <x:c r="AI142" s="58">
        <x:v>0.440963022693238</x:v>
      </x:c>
      <x:c r="AJ142" s="58">
        <x:v>0.291671466420919</x:v>
      </x:c>
      <x:c r="AK142" s="58">
        <x:v>0.267365510885843</x:v>
      </x:c>
      <x:c r="AL142" s="57">
        <x:v>1.23</x:v>
      </x:c>
      <x:c r="AM142" s="57">
        <x:v>0.89</x:v>
      </x:c>
      <x:c r="AN142" s="57">
        <x:v>0.000409359146445407</x:v>
      </x:c>
      <x:c r="AO142" s="57">
        <x:v>0.939046529376107</x:v>
      </x:c>
      <x:c r="AP142" s="57">
        <x:v>-0.109046529376107</x:v>
      </x:c>
      <x:c r="AQ142" s="59" t="s">
        <x:v>99</x:v>
      </x:c>
      <x:c r="AR142" s="57">
        <x:v>-0.25</x:v>
      </x:c>
      <x:c r="AS142" s="57">
        <x:v>0.440402649048137</x:v>
      </x:c>
      <x:c r="AT142" s="57">
        <x:v>0.413558579116697</x:v>
      </x:c>
      <x:c r="AU142" s="57">
        <x:v>2.11</x:v>
      </x:c>
      <x:c r="AV142" s="57">
        <x:v>3.23</x:v>
      </x:c>
      <x:c r="AW142" s="57">
        <x:v>3.57</x:v>
      </x:c>
      <x:c r="AX142" s="59" t="s">
        <x:v>100</x:v>
      </x:c>
      <x:c r="AY142" s="59" t="s">
        <x:v>101</x:v>
      </x:c>
    </x:row>
    <x:row r="143" ht="22" customHeight="1">
      <x:c r="A143" s="49" t="s">
        <x:v>626</x:v>
      </x:c>
      <x:c r="B143" s="49" t="s">
        <x:v>694</x:v>
      </x:c>
      <x:c r="C143" s="49" t="s">
        <x:v>333</x:v>
      </x:c>
      <x:c r="D143" s="49" t="s">
        <x:v>116</x:v>
      </x:c>
      <x:c r="E143" s="49" t="s">
        <x:v>156</x:v>
      </x:c>
      <x:c r="F143" s="49" t="s">
        <x:v>699</x:v>
      </x:c>
      <x:c r="G143" s="60">
        <x:v>1.12</x:v>
      </x:c>
      <x:c r="H143" s="60">
        <x:v>0.25</x:v>
      </x:c>
      <x:c r="I143" s="60">
        <x:v>0.77</x:v>
      </x:c>
      <x:c r="J143" s="49" t="s">
        <x:v>700</x:v>
      </x:c>
      <x:c r="K143" s="49" t="s">
        <x:v>189</x:v>
      </x:c>
      <x:c r="L143" s="49" t="s">
        <x:v>701</x:v>
      </x:c>
      <x:c r="M143" s="61">
        <x:v>0.519</x:v>
      </x:c>
      <x:c r="N143" s="49" t="s">
        <x:v>685</x:v>
      </x:c>
      <x:c r="O143" s="49" t="s">
        <x:v>231</x:v>
      </x:c>
      <x:c r="P143" s="49" t="s">
        <x:v>30</x:v>
      </x:c>
      <x:c r="Q143" s="49" t="s">
        <x:v>11</x:v>
      </x:c>
      <x:c r="R143" s="50">
        <x:v>1.12</x:v>
      </x:c>
      <x:c r="S143" s="50">
        <x:f t="shared" si="12"/>
        <x:v>1.12</x:v>
      </x:c>
      <x:c r="T143" s="49" t="s">
        <x:v>632</x:v>
      </x:c>
      <x:c r="U143" s="49" t="str">
        <x:f t="shared" si="10"/>
        <x:v>黑</x:v>
      </x:c>
      <x:c r="V143" s="50">
        <x:f t="shared" si="11"/>
        <x:v>0.77</x:v>
      </x:c>
      <x:c r="W143" s="50">
        <x:f t="shared" si="13"/>
        <x:v>-1</x:v>
      </x:c>
      <x:c r="X143" s="57">
        <x:v>0.8</x:v>
      </x:c>
      <x:c r="Y143" s="57">
        <x:v>0</x:v>
      </x:c>
      <x:c r="Z143" s="57">
        <x:v>1.08</x:v>
      </x:c>
      <x:c r="AA143" s="57">
        <x:v>0</x:v>
      </x:c>
      <x:c r="AB143" s="57">
        <x:v>0.8</x:v>
      </x:c>
      <x:c r="AC143" s="57">
        <x:v>1.12</x:v>
      </x:c>
      <x:c r="AD143" s="57">
        <x:v>2.51</x:v>
      </x:c>
      <x:c r="AE143" s="57">
        <x:v>3.22</x:v>
      </x:c>
      <x:c r="AF143" s="57">
        <x:v>2.74</x:v>
      </x:c>
      <x:c r="AG143" s="58">
        <x:v>0.0739288843628072</x:v>
      </x:c>
      <x:c r="AH143" s="58">
        <x:v>0.0239288843628072</x:v>
      </x:c>
      <x:c r="AI143" s="58">
        <x:v>0.370980220667384</x:v>
      </x:c>
      <x:c r="AJ143" s="58">
        <x:v>0.289180234122712</x:v>
      </x:c>
      <x:c r="AK143" s="58">
        <x:v>0.339839545209903</x:v>
      </x:c>
      <x:c r="AL143" s="57">
        <x:v>1.14</x:v>
      </x:c>
      <x:c r="AM143" s="57">
        <x:v>1.08</x:v>
      </x:c>
      <x:c r="AN143" s="57">
        <x:v>0.000513143622837683</x:v>
      </x:c>
      <x:c r="AO143" s="57">
        <x:v>1.30979293459386</x:v>
      </x:c>
      <x:c r="AP143" s="57">
        <x:v>-0.189792934593858</x:v>
      </x:c>
      <x:c r="AQ143" s="59" t="s">
        <x:v>99</x:v>
      </x:c>
      <x:c r="AR143" s="57">
        <x:v>-0.25</x:v>
      </x:c>
      <x:c r="AS143" s="57">
        <x:v>0.370255395700665</x:v>
      </x:c>
      <x:c r="AT143" s="57">
        <x:v>0.484957901283984</x:v>
      </x:c>
      <x:c r="AU143" s="57">
        <x:v>2.43</x:v>
      </x:c>
      <x:c r="AV143" s="57">
        <x:v>3.26</x:v>
      </x:c>
      <x:c r="AW143" s="57">
        <x:v>2.89</x:v>
      </x:c>
      <x:c r="AX143" s="59" t="s">
        <x:v>100</x:v>
      </x:c>
      <x:c r="AY143" s="59" t="s">
        <x:v>101</x:v>
      </x:c>
    </x:row>
    <x:row r="144" ht="22" customHeight="1">
      <x:c r="A144" s="49" t="s">
        <x:v>626</x:v>
      </x:c>
      <x:c r="B144" s="49" t="s">
        <x:v>694</x:v>
      </x:c>
      <x:c r="C144" s="49" t="s">
        <x:v>333</x:v>
      </x:c>
      <x:c r="D144" s="49" t="s">
        <x:v>116</x:v>
      </x:c>
      <x:c r="E144" s="49" t="s">
        <x:v>156</x:v>
      </x:c>
      <x:c r="F144" s="49" t="s">
        <x:v>702</x:v>
      </x:c>
      <x:c r="G144" s="60">
        <x:v>1.05</x:v>
      </x:c>
      <x:c r="H144" s="60">
        <x:v>-0.5</x:v>
      </x:c>
      <x:c r="I144" s="60">
        <x:v>0.83</x:v>
      </x:c>
      <x:c r="J144" s="49" t="s">
        <x:v>703</x:v>
      </x:c>
      <x:c r="K144" s="49" t="s">
        <x:v>106</x:v>
      </x:c>
      <x:c r="L144" s="49" t="s">
        <x:v>704</x:v>
      </x:c>
      <x:c r="M144" s="61">
        <x:v>0.576</x:v>
      </x:c>
      <x:c r="N144" s="49" t="s">
        <x:v>685</x:v>
      </x:c>
      <x:c r="O144" s="49" t="s">
        <x:v>126</x:v>
      </x:c>
      <x:c r="P144" s="49" t="s">
        <x:v>30</x:v>
      </x:c>
      <x:c r="Q144" s="49" t="s">
        <x:v>23</x:v>
      </x:c>
      <x:c r="R144" s="50">
        <x:v>0.83</x:v>
      </x:c>
      <x:c r="S144" s="50">
        <x:f t="shared" si="12"/>
        <x:v>-1</x:v>
      </x:c>
      <x:c r="T144" s="49" t="s">
        <x:v>632</x:v>
      </x:c>
      <x:c r="U144" s="49" t="str">
        <x:f t="shared" si="10"/>
        <x:v>红</x:v>
      </x:c>
      <x:c r="V144" s="50">
        <x:f t="shared" si="11"/>
        <x:v>1.05</x:v>
      </x:c>
      <x:c r="W144" s="50">
        <x:f t="shared" si="13"/>
        <x:v>1.05</x:v>
      </x:c>
      <x:c r="X144" s="57">
        <x:v>1.04</x:v>
      </x:c>
      <x:c r="Y144" s="57">
        <x:v>-0.5</x:v>
      </x:c>
      <x:c r="Z144" s="57">
        <x:v>0.84</x:v>
      </x:c>
      <x:c r="AA144" s="57">
        <x:v>-0.5</x:v>
      </x:c>
      <x:c r="AB144" s="57">
        <x:v>0.84</x:v>
      </x:c>
      <x:c r="AC144" s="57">
        <x:v>0.83</x:v>
      </x:c>
      <x:c r="AD144" s="57">
        <x:v>4.06</x:v>
      </x:c>
      <x:c r="AE144" s="57">
        <x:v>3.72</x:v>
      </x:c>
      <x:c r="AF144" s="57">
        <x:v>1.78</x:v>
      </x:c>
      <x:c r="AG144" s="58">
        <x:v>0.076920375829276</x:v>
      </x:c>
      <x:c r="AH144" s="58">
        <x:v>0.026920375829276</x:v>
      </x:c>
      <x:c r="AI144" s="58">
        <x:v>0.228712748172813</x:v>
      </x:c>
      <x:c r="AJ144" s="58">
        <x:v>0.249616601500435</x:v>
      </x:c>
      <x:c r="AK144" s="58">
        <x:v>0.521670650326752</x:v>
      </x:c>
      <x:c r="AL144" s="57">
        <x:v>0.97</x:v>
      </x:c>
      <x:c r="AM144" s="57">
        <x:v>1.6</x:v>
      </x:c>
      <x:c r="AN144" s="57">
        <x:v>0.000646869705346296</x:v>
      </x:c>
      <x:c r="AO144" s="57">
        <x:v>0.920255891178913</x:v>
      </x:c>
      <x:c r="AP144" s="57">
        <x:v>-0.0902558911789129</x:v>
      </x:c>
      <x:c r="AQ144" s="59" t="s">
        <x:v>99</x:v>
      </x:c>
      <x:c r="AR144" s="57">
        <x:v>-0.5</x:v>
      </x:c>
      <x:c r="AS144" s="57">
        <x:v>0.520763927658654</x:v>
      </x:c>
      <x:c r="AT144" s="57">
        <x:v>0.479236072341346</x:v>
      </x:c>
      <x:c r="AU144" s="57">
        <x:v>4.01</x:v>
      </x:c>
      <x:c r="AV144" s="57">
        <x:v>3.86</x:v>
      </x:c>
      <x:c r="AW144" s="57">
        <x:v>1.8</x:v>
      </x:c>
      <x:c r="AX144" s="59" t="s">
        <x:v>100</x:v>
      </x:c>
      <x:c r="AY144" s="59" t="s">
        <x:v>101</x:v>
      </x:c>
    </x:row>
    <x:row r="145" ht="22" customHeight="1">
      <x:c r="A145" s="49" t="s">
        <x:v>626</x:v>
      </x:c>
      <x:c r="B145" s="49" t="s">
        <x:v>694</x:v>
      </x:c>
      <x:c r="C145" s="49" t="s">
        <x:v>333</x:v>
      </x:c>
      <x:c r="D145" s="49" t="s">
        <x:v>116</x:v>
      </x:c>
      <x:c r="E145" s="49" t="s">
        <x:v>145</x:v>
      </x:c>
      <x:c r="F145" s="49" t="s">
        <x:v>705</x:v>
      </x:c>
      <x:c r="G145" s="60">
        <x:v>0.83</x:v>
      </x:c>
      <x:c r="H145" s="60">
        <x:v>-0.5</x:v>
      </x:c>
      <x:c r="I145" s="60">
        <x:v>1.05</x:v>
      </x:c>
      <x:c r="J145" s="49" t="s">
        <x:v>706</x:v>
      </x:c>
      <x:c r="K145" s="49" t="s">
        <x:v>189</x:v>
      </x:c>
      <x:c r="L145" s="49" t="s">
        <x:v>707</x:v>
      </x:c>
      <x:c r="M145" s="61">
        <x:v>0.519</x:v>
      </x:c>
      <x:c r="N145" s="49" t="s">
        <x:v>685</x:v>
      </x:c>
      <x:c r="O145" s="49" t="s">
        <x:v>708</x:v>
      </x:c>
      <x:c r="P145" s="49" t="s">
        <x:v>30</x:v>
      </x:c>
      <x:c r="Q145" s="49" t="s">
        <x:v>11</x:v>
      </x:c>
      <x:c r="R145" s="50">
        <x:v>1.05</x:v>
      </x:c>
      <x:c r="S145" s="50">
        <x:f t="shared" si="12"/>
        <x:v>1.05</x:v>
      </x:c>
      <x:c r="T145" s="49" t="s">
        <x:v>632</x:v>
      </x:c>
      <x:c r="U145" s="49" t="str">
        <x:f t="shared" si="10"/>
        <x:v>黑</x:v>
      </x:c>
      <x:c r="V145" s="50">
        <x:f t="shared" si="11"/>
        <x:v>0.83</x:v>
      </x:c>
      <x:c r="W145" s="50">
        <x:f t="shared" si="13"/>
        <x:v>-1</x:v>
      </x:c>
      <x:c r="X145" s="57">
        <x:v>0.87</x:v>
      </x:c>
      <x:c r="Y145" s="57">
        <x:v>-0.25</x:v>
      </x:c>
      <x:c r="Z145" s="57">
        <x:v>0.95</x:v>
      </x:c>
      <x:c r="AA145" s="57">
        <x:v>-0.25</x:v>
      </x:c>
      <x:c r="AB145" s="57">
        <x:v>0.95</x:v>
      </x:c>
      <x:c r="AC145" s="57">
        <x:v>1.05</x:v>
      </x:c>
      <x:c r="AD145" s="57">
        <x:v>3.16</x:v>
      </x:c>
      <x:c r="AE145" s="57">
        <x:v>3.37</x:v>
      </x:c>
      <x:c r="AF145" s="57">
        <x:v>2.1</x:v>
      </x:c>
      <x:c r="AG145" s="58">
        <x:v>0.0893820774375182</x:v>
      </x:c>
      <x:c r="AH145" s="58">
        <x:v>0.0393820774375183</x:v>
      </x:c>
      <x:c r="AI145" s="58">
        <x:v>0.290491006559342</x:v>
      </x:c>
      <x:c r="AJ145" s="58">
        <x:v>0.27238919309422</x:v>
      </x:c>
      <x:c r="AK145" s="58">
        <x:v>0.437119800346438</x:v>
      </x:c>
      <x:c r="AL145" s="57">
        <x:v>1.05</x:v>
      </x:c>
      <x:c r="AM145" s="57">
        <x:v>1.35</x:v>
      </x:c>
      <x:c r="AN145" s="57">
        <x:v>0.000727323990941388</x:v>
      </x:c>
      <x:c r="AO145" s="57">
        <x:v>1.29300649404014</x:v>
      </x:c>
      <x:c r="AP145" s="57">
        <x:v>-0.243006494040137</x:v>
      </x:c>
      <x:c r="AQ145" s="59" t="s">
        <x:v>99</x:v>
      </x:c>
      <x:c r="AR145" s="57">
        <x:v>-0.5</x:v>
      </x:c>
      <x:c r="AS145" s="57">
        <x:v>0.436108664584748</x:v>
      </x:c>
      <x:c r="AT145" s="57">
        <x:v>0.563891335415252</x:v>
      </x:c>
      <x:c r="AU145" s="57">
        <x:v>3.12</x:v>
      </x:c>
      <x:c r="AV145" s="57">
        <x:v>3.51</x:v>
      </x:c>
      <x:c r="AW145" s="57">
        <x:v>2.13</x:v>
      </x:c>
      <x:c r="AX145" s="59" t="s">
        <x:v>100</x:v>
      </x:c>
      <x:c r="AY145" s="59" t="s">
        <x:v>101</x:v>
      </x:c>
    </x:row>
    <x:row r="146" ht="22" customHeight="1">
      <x:c r="A146" s="49" t="s">
        <x:v>626</x:v>
      </x:c>
      <x:c r="B146" s="49" t="s">
        <x:v>694</x:v>
      </x:c>
      <x:c r="C146" s="49" t="s">
        <x:v>333</x:v>
      </x:c>
      <x:c r="D146" s="49" t="s">
        <x:v>116</x:v>
      </x:c>
      <x:c r="E146" s="49" t="s">
        <x:v>609</x:v>
      </x:c>
      <x:c r="F146" s="49" t="s">
        <x:v>709</x:v>
      </x:c>
      <x:c r="G146" s="60">
        <x:v>0.83</x:v>
      </x:c>
      <x:c r="H146" s="60">
        <x:v>0.25</x:v>
      </x:c>
      <x:c r="I146" s="60">
        <x:v>1.06</x:v>
      </x:c>
      <x:c r="J146" s="49" t="s">
        <x:v>710</x:v>
      </x:c>
      <x:c r="K146" s="49" t="s">
        <x:v>106</x:v>
      </x:c>
      <x:c r="L146" s="49" t="s">
        <x:v>711</x:v>
      </x:c>
      <x:c r="M146" s="61">
        <x:v>0.576</x:v>
      </x:c>
      <x:c r="N146" s="49" t="s">
        <x:v>685</x:v>
      </x:c>
      <x:c r="O146" s="49" t="s">
        <x:v>273</x:v>
      </x:c>
      <x:c r="P146" s="49" t="s">
        <x:v>30</x:v>
      </x:c>
      <x:c r="Q146" s="49" t="s">
        <x:v>20</x:v>
      </x:c>
      <x:c r="R146" s="50">
        <x:v>0.83</x:v>
      </x:c>
      <x:c r="S146" s="50">
        <x:f t="shared" si="12"/>
        <x:v>-0.5</x:v>
      </x:c>
      <x:c r="T146" s="49" t="s">
        <x:v>632</x:v>
      </x:c>
      <x:c r="U146" s="49" t="str">
        <x:f t="shared" si="10"/>
        <x:v>半红</x:v>
      </x:c>
      <x:c r="V146" s="50">
        <x:f t="shared" si="11"/>
        <x:v>1.06</x:v>
      </x:c>
      <x:c r="W146" s="50">
        <x:f t="shared" si="13"/>
        <x:v>0.53</x:v>
      </x:c>
      <x:c r="X146" s="57">
        <x:v>1.03</x:v>
      </x:c>
      <x:c r="Y146" s="57">
        <x:v>0.25</x:v>
      </x:c>
      <x:c r="Z146" s="57">
        <x:v>0.85</x:v>
      </x:c>
      <x:c r="AA146" s="57">
        <x:v>-0.25</x:v>
      </x:c>
      <x:c r="AB146" s="57">
        <x:v>1.03</x:v>
      </x:c>
      <x:c r="AC146" s="57">
        <x:v>0.83</x:v>
      </x:c>
      <x:c r="AD146" s="57">
        <x:v>2.24</x:v>
      </x:c>
      <x:c r="AE146" s="57">
        <x:v>3.61</x:v>
      </x:c>
      <x:c r="AF146" s="57">
        <x:v>2.92</x:v>
      </x:c>
      <x:c r="AG146" s="58">
        <x:v>0.0659026351025365</x:v>
      </x:c>
      <x:c r="AH146" s="58">
        <x:v>0.0159026351025365</x:v>
      </x:c>
      <x:c r="AI146" s="58">
        <x:v>0.418826782791119</x:v>
      </x:c>
      <x:c r="AJ146" s="58">
        <x:v>0.259881438629392</x:v>
      </x:c>
      <x:c r="AK146" s="58">
        <x:v>0.321291778579488</x:v>
      </x:c>
      <x:c r="AL146" s="57">
        <x:v>1.42</x:v>
      </x:c>
      <x:c r="AM146" s="57">
        <x:v>1.21</x:v>
      </x:c>
      <x:c r="AN146" s="57">
        <x:v>0.000407109886043643</x:v>
      </x:c>
      <x:c r="AO146" s="57">
        <x:v>1.07763045941928</x:v>
      </x:c>
      <x:c r="AP146" s="57">
        <x:v>-0.247630459419277</x:v>
      </x:c>
      <x:c r="AQ146" s="59" t="s">
        <x:v>99</x:v>
      </x:c>
      <x:c r="AR146" s="57">
        <x:v>-0.25</x:v>
      </x:c>
      <x:c r="AS146" s="57">
        <x:v>0.418638760940347</x:v>
      </x:c>
      <x:c r="AT146" s="57">
        <x:v>0.451137880282863</x:v>
      </x:c>
      <x:c r="AU146" s="57">
        <x:v>2.09</x:v>
      </x:c>
      <x:c r="AV146" s="57">
        <x:v>3.69</x:v>
      </x:c>
      <x:c r="AW146" s="57">
        <x:v>3.3</x:v>
      </x:c>
      <x:c r="AX146" s="59" t="s">
        <x:v>100</x:v>
      </x:c>
      <x:c r="AY146" s="59" t="s">
        <x:v>101</x:v>
      </x:c>
    </x:row>
    <x:row r="147" ht="22" customHeight="1">
      <x:c r="A147" s="49" t="s">
        <x:v>626</x:v>
      </x:c>
      <x:c r="B147" s="49" t="s">
        <x:v>712</x:v>
      </x:c>
      <x:c r="C147" s="49" t="s">
        <x:v>244</x:v>
      </x:c>
      <x:c r="D147" s="49" t="s">
        <x:v>116</x:v>
      </x:c>
      <x:c r="E147" s="49" t="s">
        <x:v>678</x:v>
      </x:c>
      <x:c r="F147" s="49" t="s">
        <x:v>713</x:v>
      </x:c>
      <x:c r="G147" s="60">
        <x:v>1</x:v>
      </x:c>
      <x:c r="H147" s="60">
        <x:v>1.5</x:v>
      </x:c>
      <x:c r="I147" s="60">
        <x:v>0.86</x:v>
      </x:c>
      <x:c r="J147" s="49" t="s">
        <x:v>714</x:v>
      </x:c>
      <x:c r="K147" s="49" t="s">
        <x:v>189</x:v>
      </x:c>
      <x:c r="L147" s="49" t="s">
        <x:v>715</x:v>
      </x:c>
      <x:c r="M147" s="61">
        <x:v>0.505</x:v>
      </x:c>
      <x:c r="N147" s="49" t="s">
        <x:v>96</x:v>
      </x:c>
      <x:c r="O147" s="49" t="s">
        <x:v>231</x:v>
      </x:c>
      <x:c r="P147" s="49" t="s">
        <x:v>30</x:v>
      </x:c>
      <x:c r="Q147" s="49" t="s">
        <x:v>23</x:v>
      </x:c>
      <x:c r="R147" s="50">
        <x:v>1</x:v>
      </x:c>
      <x:c r="S147" s="50">
        <x:f t="shared" si="12"/>
        <x:v>-1</x:v>
      </x:c>
      <x:c r="T147" s="49" t="s">
        <x:v>632</x:v>
      </x:c>
      <x:c r="U147" s="49" t="str">
        <x:f t="shared" si="10"/>
        <x:v>红</x:v>
      </x:c>
      <x:c r="V147" s="50">
        <x:f t="shared" si="11"/>
        <x:v>0.86</x:v>
      </x:c>
      <x:c r="W147" s="50">
        <x:f t="shared" si="13"/>
        <x:v>0.86</x:v>
      </x:c>
      <x:c r="X147" s="57">
        <x:v>0.92</x:v>
      </x:c>
      <x:c r="Y147" s="57">
        <x:v>1.25</x:v>
      </x:c>
      <x:c r="Z147" s="57">
        <x:v>0.78</x:v>
      </x:c>
      <x:c r="AA147" s="57">
        <x:v>-1.25</x:v>
      </x:c>
      <x:c r="AB147" s="57">
        <x:v>0.92</x:v>
      </x:c>
      <x:c r="AC147" s="57">
        <x:v>1</x:v>
      </x:c>
      <x:c r="AD147" s="57">
        <x:v>1.42</x:v>
      </x:c>
      <x:c r="AE147" s="57">
        <x:v>4.51</x:v>
      </x:c>
      <x:c r="AF147" s="57">
        <x:v>6.1</x:v>
      </x:c>
      <x:c r="AG147" s="58">
        <x:v>0.0898892683643573</x:v>
      </x:c>
      <x:c r="AH147" s="58">
        <x:v>0.0398892683643573</x:v>
      </x:c>
      <x:c r="AI147" s="58">
        <x:v>0.6461439455859</x:v>
      </x:c>
      <x:c r="AJ147" s="58">
        <x:v>0.20344221790066</x:v>
      </x:c>
      <x:c r="AK147" s="58">
        <x:v>0.150413836513439</x:v>
      </x:c>
      <x:c r="AL147" s="57">
        <x:v>2.03</x:v>
      </x:c>
      <x:c r="AM147" s="57">
        <x:v>0.86</x:v>
      </x:c>
      <x:c r="AN147" s="57">
        <x:v>0.00048291307911469</x:v>
      </x:c>
      <x:c r="AO147" s="57">
        <x:v>1.4921488206184</x:v>
      </x:c>
      <x:c r="AP147" s="57">
        <x:v>-0.492148820618396</x:v>
      </x:c>
      <x:c r="AQ147" s="59" t="s">
        <x:v>99</x:v>
      </x:c>
      <x:c r="AR147" s="57">
        <x:v>-1.5</x:v>
      </x:c>
      <x:c r="AS147" s="57">
        <x:v>0.401260146154459</x:v>
      </x:c>
      <x:c r="AT147" s="57">
        <x:v>0.598739853845541</x:v>
      </x:c>
      <x:c r="AU147" s="57">
        <x:v>1.35</x:v>
      </x:c>
      <x:c r="AV147" s="57">
        <x:v>5.04</x:v>
      </x:c>
      <x:c r="AW147" s="57">
        <x:v>7.3</x:v>
      </x:c>
      <x:c r="AX147" s="59" t="s">
        <x:v>100</x:v>
      </x:c>
      <x:c r="AY147" s="59" t="s">
        <x:v>101</x:v>
      </x:c>
    </x:row>
    <x:row r="148" ht="22" customHeight="1">
      <x:c r="A148" s="49" t="s">
        <x:v>626</x:v>
      </x:c>
      <x:c r="B148" s="49" t="s">
        <x:v>716</x:v>
      </x:c>
      <x:c r="C148" s="49" t="s">
        <x:v>244</x:v>
      </x:c>
      <x:c r="D148" s="49" t="s">
        <x:v>116</x:v>
      </x:c>
      <x:c r="E148" s="49" t="s">
        <x:v>678</x:v>
      </x:c>
      <x:c r="F148" s="49" t="s">
        <x:v>717</x:v>
      </x:c>
      <x:c r="G148" s="60">
        <x:v>0.82</x:v>
      </x:c>
      <x:c r="H148" s="60">
        <x:v>1</x:v>
      </x:c>
      <x:c r="I148" s="60">
        <x:v>1.04</x:v>
      </x:c>
      <x:c r="J148" s="49" t="s">
        <x:v>718</x:v>
      </x:c>
      <x:c r="K148" s="49" t="s">
        <x:v>106</x:v>
      </x:c>
      <x:c r="L148" s="49" t="s">
        <x:v>719</x:v>
      </x:c>
      <x:c r="M148" s="61">
        <x:v>0.584</x:v>
      </x:c>
      <x:c r="N148" s="49" t="s">
        <x:v>96</x:v>
      </x:c>
      <x:c r="O148" s="49" t="s">
        <x:v>126</x:v>
      </x:c>
      <x:c r="P148" s="49" t="s">
        <x:v>30</x:v>
      </x:c>
      <x:c r="Q148" s="49" t="s">
        <x:v>23</x:v>
      </x:c>
      <x:c r="R148" s="50">
        <x:v>0.82</x:v>
      </x:c>
      <x:c r="S148" s="50">
        <x:f t="shared" si="12"/>
        <x:v>-1</x:v>
      </x:c>
      <x:c r="T148" s="49" t="s">
        <x:v>632</x:v>
      </x:c>
      <x:c r="U148" s="49" t="str">
        <x:f t="shared" si="10"/>
        <x:v>红</x:v>
      </x:c>
      <x:c r="V148" s="50">
        <x:f t="shared" si="11"/>
        <x:v>1.04</x:v>
      </x:c>
      <x:c r="W148" s="50">
        <x:f t="shared" si="13"/>
        <x:v>1.04</x:v>
      </x:c>
      <x:c r="X148" s="57">
        <x:v>0.9</x:v>
      </x:c>
      <x:c r="Y148" s="57">
        <x:v>1</x:v>
      </x:c>
      <x:c r="Z148" s="57">
        <x:v>0.8</x:v>
      </x:c>
      <x:c r="AA148" s="57">
        <x:v>-1</x:v>
      </x:c>
      <x:c r="AB148" s="57">
        <x:v>0.9</x:v>
      </x:c>
      <x:c r="AC148" s="57">
        <x:v>0.82</x:v>
      </x:c>
      <x:c r="AD148" s="57">
        <x:v>1.56</x:v>
      </x:c>
      <x:c r="AE148" s="57">
        <x:v>4.31</x:v>
      </x:c>
      <x:c r="AF148" s="57">
        <x:v>4.67</x:v>
      </x:c>
      <x:c r="AG148" s="58">
        <x:v>0.0871769648231937</x:v>
      </x:c>
      <x:c r="AH148" s="58">
        <x:v>0.0371769648231937</x:v>
      </x:c>
      <x:c r="AI148" s="58">
        <x:v>0.589624009491307</x:v>
      </x:c>
      <x:c r="AJ148" s="58">
        <x:v>0.213413794618663</x:v>
      </x:c>
      <x:c r="AK148" s="58">
        <x:v>0.19696219589003</x:v>
      </x:c>
      <x:c r="AL148" s="57">
        <x:v>2</x:v>
      </x:c>
      <x:c r="AM148" s="57">
        <x:v>1.07</x:v>
      </x:c>
      <x:c r="AN148" s="57">
        <x:v>0.000402208267560115</x:v>
      </x:c>
      <x:c r="AO148" s="57">
        <x:v>1.15903418764524</x:v>
      </x:c>
      <x:c r="AP148" s="57">
        <x:v>-0.339034187645239</x:v>
      </x:c>
      <x:c r="AQ148" s="59" t="s">
        <x:v>99</x:v>
      </x:c>
      <x:c r="AR148" s="57">
        <x:v>-1</x:v>
      </x:c>
      <x:c r="AS148" s="57">
        <x:v>0.354482165735301</x:v>
      </x:c>
      <x:c r="AT148" s="57">
        <x:v>0.41085694899774</x:v>
      </x:c>
      <x:c r="AU148" s="57">
        <x:v>1.57</x:v>
      </x:c>
      <x:c r="AV148" s="57">
        <x:v>4.33</x:v>
      </x:c>
      <x:c r="AW148" s="57">
        <x:v>4.8</x:v>
      </x:c>
      <x:c r="AX148" s="59" t="s">
        <x:v>100</x:v>
      </x:c>
      <x:c r="AY148" s="59" t="s">
        <x:v>101</x:v>
      </x:c>
    </x:row>
    <x:row r="149" ht="22" customHeight="1">
      <x:c r="A149" s="49" t="s">
        <x:v>626</x:v>
      </x:c>
      <x:c r="B149" s="49" t="s">
        <x:v>716</x:v>
      </x:c>
      <x:c r="C149" s="49" t="s">
        <x:v>89</x:v>
      </x:c>
      <x:c r="D149" s="49" t="s">
        <x:v>116</x:v>
      </x:c>
      <x:c r="E149" s="49" t="s">
        <x:v>553</x:v>
      </x:c>
      <x:c r="F149" s="49" t="s">
        <x:v>720</x:v>
      </x:c>
      <x:c r="G149" s="60">
        <x:v>0.82</x:v>
      </x:c>
      <x:c r="H149" s="60">
        <x:v>0.25</x:v>
      </x:c>
      <x:c r="I149" s="60">
        <x:v>1</x:v>
      </x:c>
      <x:c r="J149" s="49" t="s">
        <x:v>721</x:v>
      </x:c>
      <x:c r="K149" s="49" t="s">
        <x:v>106</x:v>
      </x:c>
      <x:c r="L149" s="49" t="s">
        <x:v>722</x:v>
      </x:c>
      <x:c r="M149" s="61">
        <x:v>0.574</x:v>
      </x:c>
      <x:c r="N149" s="49" t="s">
        <x:v>96</x:v>
      </x:c>
      <x:c r="O149" s="49" t="s">
        <x:v>114</x:v>
      </x:c>
      <x:c r="P149" s="49" t="s">
        <x:v>30</x:v>
      </x:c>
      <x:c r="Q149" s="49" t="s">
        <x:v>23</x:v>
      </x:c>
      <x:c r="R149" s="50">
        <x:v>0.82</x:v>
      </x:c>
      <x:c r="S149" s="50">
        <x:f t="shared" si="12"/>
        <x:v>-1</x:v>
      </x:c>
      <x:c r="T149" s="49" t="s">
        <x:v>632</x:v>
      </x:c>
      <x:c r="U149" s="49" t="str">
        <x:f t="shared" si="10"/>
        <x:v>红</x:v>
      </x:c>
      <x:c r="V149" s="50">
        <x:f t="shared" si="11"/>
        <x:v>1</x:v>
      </x:c>
      <x:c r="W149" s="50">
        <x:f t="shared" si="13"/>
        <x:v>1</x:v>
      </x:c>
      <x:c r="X149" s="57">
        <x:v>0.81</x:v>
      </x:c>
      <x:c r="Y149" s="57">
        <x:v>0</x:v>
      </x:c>
      <x:c r="Z149" s="57">
        <x:v>1.01</x:v>
      </x:c>
      <x:c r="AA149" s="57">
        <x:v>0</x:v>
      </x:c>
      <x:c r="AB149" s="57">
        <x:v>0.81</x:v>
      </x:c>
      <x:c r="AC149" s="57">
        <x:v>0.82</x:v>
      </x:c>
      <x:c r="AD149" s="57">
        <x:v>2.24</x:v>
      </x:c>
      <x:c r="AE149" s="57">
        <x:v>3.54</x:v>
      </x:c>
      <x:c r="AF149" s="57">
        <x:v>2.73</x:v>
      </x:c>
      <x:c r="AG149" s="58">
        <x:v>0.0952148134351525</x:v>
      </x:c>
      <x:c r="AH149" s="58">
        <x:v>0.0452148134351525</x:v>
      </x:c>
      <x:c r="AI149" s="58">
        <x:v>0.407617360496014</x:v>
      </x:c>
      <x:c r="AJ149" s="58">
        <x:v>0.25792736935341</x:v>
      </x:c>
      <x:c r="AK149" s="58">
        <x:v>0.334455270150576</x:v>
      </x:c>
      <x:c r="AL149" s="57">
        <x:v>1.42</x:v>
      </x:c>
      <x:c r="AM149" s="57">
        <x:v>1.26</x:v>
      </x:c>
      <x:c r="AN149" s="57">
        <x:v>0.000414496885196599</x:v>
      </x:c>
      <x:c r="AO149" s="57">
        <x:v>1.13551474489979</x:v>
      </x:c>
      <x:c r="AP149" s="57">
        <x:v>-0.315514744899789</x:v>
      </x:c>
      <x:c r="AQ149" s="59" t="s">
        <x:v>99</x:v>
      </x:c>
      <x:c r="AR149" s="57">
        <x:v>-0.25</x:v>
      </x:c>
      <x:c r="AS149" s="57">
        <x:v>0.4077873469639</x:v>
      </x:c>
      <x:c r="AT149" s="57">
        <x:v>0.463048545261075</x:v>
      </x:c>
      <x:c r="AU149" s="57">
        <x:v>2.05</x:v>
      </x:c>
      <x:c r="AV149" s="57">
        <x:v>3.68</x:v>
      </x:c>
      <x:c r="AW149" s="57">
        <x:v>3.07</x:v>
      </x:c>
      <x:c r="AX149" s="59" t="s">
        <x:v>100</x:v>
      </x:c>
      <x:c r="AY149" s="59" t="s">
        <x:v>101</x:v>
      </x:c>
    </x:row>
    <x:row r="150" ht="22" customHeight="1">
      <x:c r="A150" s="49" t="s">
        <x:v>626</x:v>
      </x:c>
      <x:c r="B150" s="49" t="s">
        <x:v>716</x:v>
      </x:c>
      <x:c r="C150" s="49" t="s">
        <x:v>89</x:v>
      </x:c>
      <x:c r="D150" s="49" t="s">
        <x:v>116</x:v>
      </x:c>
      <x:c r="E150" s="49" t="s">
        <x:v>553</x:v>
      </x:c>
      <x:c r="F150" s="49" t="s">
        <x:v>723</x:v>
      </x:c>
      <x:c r="G150" s="60">
        <x:v>0.84</x:v>
      </x:c>
      <x:c r="H150" s="60">
        <x:v>1.25</x:v>
      </x:c>
      <x:c r="I150" s="60">
        <x:v>1.05</x:v>
      </x:c>
      <x:c r="J150" s="49" t="s">
        <x:v>724</x:v>
      </x:c>
      <x:c r="K150" s="49" t="s">
        <x:v>106</x:v>
      </x:c>
      <x:c r="L150" s="49" t="s">
        <x:v>725</x:v>
      </x:c>
      <x:c r="M150" s="61">
        <x:v>0.574</x:v>
      </x:c>
      <x:c r="N150" s="49" t="s">
        <x:v>96</x:v>
      </x:c>
      <x:c r="O150" s="49" t="s">
        <x:v>201</x:v>
      </x:c>
      <x:c r="P150" s="49" t="s">
        <x:v>30</x:v>
      </x:c>
      <x:c r="Q150" s="49" t="s">
        <x:v>20</x:v>
      </x:c>
      <x:c r="R150" s="50">
        <x:v>0.84</x:v>
      </x:c>
      <x:c r="S150" s="50">
        <x:f t="shared" si="12"/>
        <x:v>-0.5</x:v>
      </x:c>
      <x:c r="T150" s="49" t="s">
        <x:v>632</x:v>
      </x:c>
      <x:c r="U150" s="49" t="str">
        <x:f t="shared" si="10"/>
        <x:v>半红</x:v>
      </x:c>
      <x:c r="V150" s="50">
        <x:f t="shared" si="11"/>
        <x:v>1.05</x:v>
      </x:c>
      <x:c r="W150" s="50">
        <x:f t="shared" si="13"/>
        <x:v>0.525</x:v>
      </x:c>
      <x:c r="X150" s="57">
        <x:v>1.01</x:v>
      </x:c>
      <x:c r="Y150" s="57">
        <x:v>1.25</x:v>
      </x:c>
      <x:c r="Z150" s="57">
        <x:v>0.81</x:v>
      </x:c>
      <x:c r="AA150" s="57">
        <x:v>-1.25</x:v>
      </x:c>
      <x:c r="AB150" s="57">
        <x:v>1.01</x:v>
      </x:c>
      <x:c r="AC150" s="57">
        <x:v>0.84</x:v>
      </x:c>
      <x:c r="AD150" s="57">
        <x:v>1.48</x:v>
      </x:c>
      <x:c r="AE150" s="57">
        <x:v>4.66</x:v>
      </x:c>
      <x:c r="AF150" s="57">
        <x:v>4.92</x:v>
      </x:c>
      <x:c r="AG150" s="58">
        <x:v>0.0935199828741125</x:v>
      </x:c>
      <x:c r="AH150" s="58">
        <x:v>0.0435199828741124</x:v>
      </x:c>
      <x:c r="AI150" s="58">
        <x:v>0.617890560993489</x:v>
      </x:c>
      <x:c r="AJ150" s="58">
        <x:v>0.196239920658876</x:v>
      </x:c>
      <x:c r="AK150" s="58">
        <x:v>0.185869518347635</x:v>
      </x:c>
      <x:c r="AL150" s="57">
        <x:v>2.23</x:v>
      </x:c>
      <x:c r="AM150" s="57">
        <x:v>1.15</x:v>
      </x:c>
      <x:c r="AN150" s="57">
        <x:v>0.000140332411596587</x:v>
      </x:c>
      <x:c r="AO150" s="57">
        <x:v>1.25955053747441</x:v>
      </x:c>
      <x:c r="AP150" s="57">
        <x:v>-0.419550537474408</x:v>
      </x:c>
      <x:c r="AQ150" s="59" t="s">
        <x:v>99</x:v>
      </x:c>
      <x:c r="AR150" s="57">
        <x:v>-1.25</x:v>
      </x:c>
      <x:c r="AS150" s="57">
        <x:v>0.392770567559944</x:v>
      </x:c>
      <x:c r="AT150" s="57">
        <x:v>0.494714379474256</x:v>
      </x:c>
      <x:c r="AU150" s="57">
        <x:v>1.43</x:v>
      </x:c>
      <x:c r="AV150" s="57">
        <x:v>5.03</x:v>
      </x:c>
      <x:c r="AW150" s="57">
        <x:v>5.38</x:v>
      </x:c>
      <x:c r="AX150" s="59" t="s">
        <x:v>100</x:v>
      </x:c>
      <x:c r="AY150" s="59" t="s">
        <x:v>101</x:v>
      </x:c>
    </x:row>
    <x:row r="151" ht="22" customHeight="1">
      <x:c r="A151" s="49" t="s">
        <x:v>626</x:v>
      </x:c>
      <x:c r="B151" s="49" t="s">
        <x:v>716</x:v>
      </x:c>
      <x:c r="C151" s="49" t="s">
        <x:v>136</x:v>
      </x:c>
      <x:c r="D151" s="49" t="s">
        <x:v>116</x:v>
      </x:c>
      <x:c r="E151" s="49" t="s">
        <x:v>726</x:v>
      </x:c>
      <x:c r="F151" s="49" t="s">
        <x:v>727</x:v>
      </x:c>
      <x:c r="G151" s="60">
        <x:v>0.8</x:v>
      </x:c>
      <x:c r="H151" s="60">
        <x:v>-1.25</x:v>
      </x:c>
      <x:c r="I151" s="60">
        <x:v>1.06</x:v>
      </x:c>
      <x:c r="J151" s="49" t="s">
        <x:v>728</x:v>
      </x:c>
      <x:c r="K151" s="49" t="s">
        <x:v>132</x:v>
      </x:c>
      <x:c r="L151" s="49" t="s">
        <x:v>729</x:v>
      </x:c>
      <x:c r="M151" s="61">
        <x:v>0.607</x:v>
      </x:c>
      <x:c r="N151" s="49" t="s">
        <x:v>96</x:v>
      </x:c>
      <x:c r="O151" s="49" t="s">
        <x:v>653</x:v>
      </x:c>
      <x:c r="P151" s="49" t="s">
        <x:v>30</x:v>
      </x:c>
      <x:c r="Q151" s="49" t="s">
        <x:v>11</x:v>
      </x:c>
      <x:c r="R151" s="50">
        <x:v>1.06</x:v>
      </x:c>
      <x:c r="S151" s="50">
        <x:f t="shared" si="12"/>
        <x:v>1.06</x:v>
      </x:c>
      <x:c r="T151" s="49" t="s">
        <x:v>632</x:v>
      </x:c>
      <x:c r="U151" s="49" t="str">
        <x:f t="shared" si="10"/>
        <x:v>黑</x:v>
      </x:c>
      <x:c r="V151" s="50">
        <x:f t="shared" si="11"/>
        <x:v>0.8</x:v>
      </x:c>
      <x:c r="W151" s="50">
        <x:f t="shared" si="13"/>
        <x:v>-1</x:v>
      </x:c>
      <x:c r="X151" s="57">
        <x:v>0.85</x:v>
      </x:c>
      <x:c r="Y151" s="57">
        <x:v>-1.5</x:v>
      </x:c>
      <x:c r="Z151" s="57">
        <x:v>0.85</x:v>
      </x:c>
      <x:c r="AA151" s="57">
        <x:v>-1.5</x:v>
      </x:c>
      <x:c r="AB151" s="57">
        <x:v>0.85</x:v>
      </x:c>
      <x:c r="AC151" s="57">
        <x:v>1.06</x:v>
      </x:c>
      <x:c r="AD151" s="57">
        <x:v>9.26</x:v>
      </x:c>
      <x:c r="AE151" s="57">
        <x:v>4.98</x:v>
      </x:c>
      <x:c r="AF151" s="57">
        <x:v>1.31</x:v>
      </x:c>
      <x:c r="AG151" s="58">
        <x:v>0.0721533521685045</x:v>
      </x:c>
      <x:c r="AH151" s="58">
        <x:v>0.0221533521685045</x:v>
      </x:c>
      <x:c r="AI151" s="58">
        <x:v>0.100723800818908</x:v>
      </x:c>
      <x:c r="AJ151" s="58">
        <x:v>0.187289637667286</x:v>
      </x:c>
      <x:c r="AK151" s="58">
        <x:v>0.711986561513806</x:v>
      </x:c>
      <x:c r="AL151" s="57">
        <x:v>0.63</x:v>
      </x:c>
      <x:c r="AM151" s="57">
        <x:v>2.08</x:v>
      </x:c>
      <x:c r="AN151" s="57">
        <x:v>0.000489032528679273</x:v>
      </x:c>
      <x:c r="AO151" s="57">
        <x:v>0.894832673241134</x:v>
      </x:c>
      <x:c r="AP151" s="57">
        <x:v>0.165167326758866</x:v>
      </x:c>
      <x:c r="AQ151" s="59" t="s">
        <x:v>165</x:v>
      </x:c>
      <x:c r="AR151" s="57">
        <x:v>-1.25</x:v>
      </x:c>
      <x:c r="AS151" s="57">
        <x:v>0.46146853510363</x:v>
      </x:c>
      <x:c r="AT151" s="57">
        <x:v>0.412937122883451</x:v>
      </x:c>
      <x:c r="AU151" s="57">
        <x:v>7.34</x:v>
      </x:c>
      <x:c r="AV151" s="57">
        <x:v>4.59</x:v>
      </x:c>
      <x:c r="AW151" s="57">
        <x:v>1.37</x:v>
      </x:c>
      <x:c r="AX151" s="59" t="s">
        <x:v>100</x:v>
      </x:c>
      <x:c r="AY151" s="59" t="s">
        <x:v>101</x:v>
      </x:c>
    </x:row>
    <x:row r="152" ht="22" customHeight="1">
      <x:c r="A152" s="49" t="s">
        <x:v>626</x:v>
      </x:c>
      <x:c r="B152" s="49" t="s">
        <x:v>716</x:v>
      </x:c>
      <x:c r="C152" s="49" t="s">
        <x:v>333</x:v>
      </x:c>
      <x:c r="D152" s="49" t="s">
        <x:v>116</x:v>
      </x:c>
      <x:c r="E152" s="49" t="s">
        <x:v>730</x:v>
      </x:c>
      <x:c r="F152" s="49" t="s">
        <x:v>731</x:v>
      </x:c>
      <x:c r="G152" s="60">
        <x:v>0.81</x:v>
      </x:c>
      <x:c r="H152" s="60">
        <x:v>0.75</x:v>
      </x:c>
      <x:c r="I152" s="60">
        <x:v>1.05</x:v>
      </x:c>
      <x:c r="J152" s="49" t="s">
        <x:v>732</x:v>
      </x:c>
      <x:c r="K152" s="49" t="s">
        <x:v>132</x:v>
      </x:c>
      <x:c r="L152" s="49" t="s">
        <x:v>733</x:v>
      </x:c>
      <x:c r="M152" s="61">
        <x:v>0.603</x:v>
      </x:c>
      <x:c r="N152" s="49" t="s">
        <x:v>685</x:v>
      </x:c>
      <x:c r="O152" s="49" t="s">
        <x:v>231</x:v>
      </x:c>
      <x:c r="P152" s="49" t="s">
        <x:v>30</x:v>
      </x:c>
      <x:c r="Q152" s="49" t="s">
        <x:v>14</x:v>
      </x:c>
      <x:c r="R152" s="50">
        <x:v>0.81</x:v>
      </x:c>
      <x:c r="S152" s="50">
        <x:f t="shared" si="12"/>
        <x:v>0.405</x:v>
      </x:c>
      <x:c r="T152" s="49" t="s">
        <x:v>632</x:v>
      </x:c>
      <x:c r="U152" s="49" t="str">
        <x:f t="shared" si="10"/>
        <x:v>半黑</x:v>
      </x:c>
      <x:c r="V152" s="50">
        <x:f t="shared" si="11"/>
        <x:v>1.05</x:v>
      </x:c>
      <x:c r="W152" s="50">
        <x:f t="shared" si="13"/>
        <x:v>-0.5</x:v>
      </x:c>
      <x:c r="X152" s="57">
        <x:v>0.9</x:v>
      </x:c>
      <x:c r="Y152" s="57">
        <x:v>1</x:v>
      </x:c>
      <x:c r="Z152" s="57">
        <x:v>0.8</x:v>
      </x:c>
      <x:c r="AA152" s="57">
        <x:v>-1</x:v>
      </x:c>
      <x:c r="AB152" s="57">
        <x:v>0.9</x:v>
      </x:c>
      <x:c r="AC152" s="57">
        <x:v>0.81</x:v>
      </x:c>
      <x:c r="AD152" s="57">
        <x:v>1.56</x:v>
      </x:c>
      <x:c r="AE152" s="57">
        <x:v>4.09</x:v>
      </x:c>
      <x:c r="AF152" s="57">
        <x:v>4.66</x:v>
      </x:c>
      <x:c r="AG152" s="58">
        <x:v>0.100116693209865</x:v>
      </x:c>
      <x:c r="AH152" s="58">
        <x:v>0.0501166932098649</x:v>
      </x:c>
      <x:c r="AI152" s="58">
        <x:v>0.58268876836628</x:v>
      </x:c>
      <x:c r="AJ152" s="58">
        <x:v>0.222248038790073</x:v>
      </x:c>
      <x:c r="AK152" s="58">
        <x:v>0.195063192843647</x:v>
      </x:c>
      <x:c r="AL152" s="57">
        <x:v>1.88</x:v>
      </x:c>
      <x:c r="AM152" s="57">
        <x:v>0.99</x:v>
      </x:c>
      <x:c r="AN152" s="57">
        <x:v>0.000482276648910551</x:v>
      </x:c>
      <x:c r="AO152" s="57">
        <x:v>0.906363680032674</x:v>
      </x:c>
      <x:c r="AP152" s="57">
        <x:v>-0.0963636800326735</x:v>
      </x:c>
      <x:c r="AQ152" s="59" t="s">
        <x:v>99</x:v>
      </x:c>
      <x:c r="AR152" s="57">
        <x:v>-0.75</x:v>
      </x:c>
      <x:c r="AS152" s="57">
        <x:v>0.461137991349934</x:v>
      </x:c>
      <x:c r="AT152" s="57">
        <x:v>0.417958726842802</x:v>
      </x:c>
      <x:c r="AU152" s="57">
        <x:v>1.59</x:v>
      </x:c>
      <x:c r="AV152" s="57">
        <x:v>4.06</x:v>
      </x:c>
      <x:c r="AW152" s="57">
        <x:v>4.64</x:v>
      </x:c>
      <x:c r="AX152" s="59" t="s">
        <x:v>100</x:v>
      </x:c>
      <x:c r="AY152" s="59" t="s">
        <x:v>101</x:v>
      </x:c>
    </x:row>
    <x:row r="153" ht="22" customHeight="1">
      <x:c r="A153" s="49" t="s">
        <x:v>626</x:v>
      </x:c>
      <x:c r="B153" s="49" t="s">
        <x:v>716</x:v>
      </x:c>
      <x:c r="C153" s="49" t="s">
        <x:v>333</x:v>
      </x:c>
      <x:c r="D153" s="49" t="s">
        <x:v>116</x:v>
      </x:c>
      <x:c r="E153" s="49" t="s">
        <x:v>730</x:v>
      </x:c>
      <x:c r="F153" s="49" t="s">
        <x:v>734</x:v>
      </x:c>
      <x:c r="G153" s="60">
        <x:v>0.83</x:v>
      </x:c>
      <x:c r="H153" s="60">
        <x:v>0</x:v>
      </x:c>
      <x:c r="I153" s="60">
        <x:v>1.03</x:v>
      </x:c>
      <x:c r="J153" s="49" t="s">
        <x:v>735</x:v>
      </x:c>
      <x:c r="K153" s="49" t="s">
        <x:v>132</x:v>
      </x:c>
      <x:c r="L153" s="49" t="s">
        <x:v>736</x:v>
      </x:c>
      <x:c r="M153" s="61">
        <x:v>0.603</x:v>
      </x:c>
      <x:c r="N153" s="49" t="s">
        <x:v>685</x:v>
      </x:c>
      <x:c r="O153" s="49" t="s">
        <x:v>737</x:v>
      </x:c>
      <x:c r="P153" s="49" t="s">
        <x:v>30</x:v>
      </x:c>
      <x:c r="Q153" s="49" t="s">
        <x:v>11</x:v>
      </x:c>
      <x:c r="R153" s="50">
        <x:v>1.03</x:v>
      </x:c>
      <x:c r="S153" s="50">
        <x:f t="shared" si="12"/>
        <x:v>1.03</x:v>
      </x:c>
      <x:c r="T153" s="49" t="s">
        <x:v>632</x:v>
      </x:c>
      <x:c r="U153" s="49" t="str">
        <x:f t="shared" si="10"/>
        <x:v>黑</x:v>
      </x:c>
      <x:c r="V153" s="50">
        <x:f t="shared" si="11"/>
        <x:v>0.83</x:v>
      </x:c>
      <x:c r="W153" s="50">
        <x:f t="shared" si="13"/>
        <x:v>-1</x:v>
      </x:c>
      <x:c r="X153" s="57">
        <x:v>0.75</x:v>
      </x:c>
      <x:c r="Y153" s="57">
        <x:v>-0.25</x:v>
      </x:c>
      <x:c r="Z153" s="57">
        <x:v>0.95</x:v>
      </x:c>
      <x:c r="AA153" s="57">
        <x:v>-0.25</x:v>
      </x:c>
      <x:c r="AB153" s="57">
        <x:v>0.95</x:v>
      </x:c>
      <x:c r="AC153" s="57">
        <x:v>1.03</x:v>
      </x:c>
      <x:c r="AD153" s="57">
        <x:v>3.06</x:v>
      </x:c>
      <x:c r="AE153" s="57">
        <x:v>3.56</x:v>
      </x:c>
      <x:c r="AF153" s="57">
        <x:v>2.05</x:v>
      </x:c>
      <x:c r="AG153" s="58">
        <x:v>0.0955011400741899</x:v>
      </x:c>
      <x:c r="AH153" s="58">
        <x:v>0.0455011400741899</x:v>
      </x:c>
      <x:c r="AI153" s="58">
        <x:v>0.298308576473762</x:v>
      </x:c>
      <x:c r="AJ153" s="58">
        <x:v>0.25641130449711</x:v>
      </x:c>
      <x:c r="AK153" s="58">
        <x:v>0.445280119029128</x:v>
      </x:c>
      <x:c r="AL153" s="57">
        <x:v>1.17</x:v>
      </x:c>
      <x:c r="AM153" s="57">
        <x:v>1.49</x:v>
      </x:c>
      <x:c r="AN153" s="57">
        <x:v>0.00035460847384258</x:v>
      </x:c>
      <x:c r="AO153" s="57">
        <x:v>0.668310189416348</x:v>
      </x:c>
      <x:c r="AP153" s="57">
        <x:v>0.361689810583652</x:v>
      </x:c>
      <x:c r="AQ153" s="59" t="s">
        <x:v>135</x:v>
      </x:c>
      <x:c r="AR153" s="57">
        <x:v>0</x:v>
      </x:c>
      <x:c r="AS153" s="57">
        <x:v>0.445641537809985</x:v>
      </x:c>
      <x:c r="AT153" s="57">
        <x:v>0.297826780545583</x:v>
      </x:c>
      <x:c r="AU153" s="57">
        <x:v>2.52</x:v>
      </x:c>
      <x:c r="AV153" s="57">
        <x:v>3.47</x:v>
      </x:c>
      <x:c r="AW153" s="57">
        <x:v>2.48</x:v>
      </x:c>
      <x:c r="AX153" s="59" t="s">
        <x:v>100</x:v>
      </x:c>
      <x:c r="AY153" s="59" t="s">
        <x:v>101</x:v>
      </x:c>
    </x:row>
    <x:row r="154" ht="22" customHeight="1">
      <x:c r="A154" s="49" t="s">
        <x:v>626</x:v>
      </x:c>
      <x:c r="B154" s="49" t="s">
        <x:v>716</x:v>
      </x:c>
      <x:c r="C154" s="49" t="s">
        <x:v>333</x:v>
      </x:c>
      <x:c r="D154" s="49" t="s">
        <x:v>116</x:v>
      </x:c>
      <x:c r="E154" s="49" t="s">
        <x:v>730</x:v>
      </x:c>
      <x:c r="F154" s="49" t="s">
        <x:v>738</x:v>
      </x:c>
      <x:c r="G154" s="60">
        <x:v>1.02</x:v>
      </x:c>
      <x:c r="H154" s="60">
        <x:v>1</x:v>
      </x:c>
      <x:c r="I154" s="60">
        <x:v>0.84</x:v>
      </x:c>
      <x:c r="J154" s="49" t="s">
        <x:v>739</x:v>
      </x:c>
      <x:c r="K154" s="49" t="s">
        <x:v>189</x:v>
      </x:c>
      <x:c r="L154" s="49" t="s">
        <x:v>740</x:v>
      </x:c>
      <x:c r="M154" s="61">
        <x:v>0.519</x:v>
      </x:c>
      <x:c r="N154" s="49" t="s">
        <x:v>685</x:v>
      </x:c>
      <x:c r="O154" s="49" t="s">
        <x:v>126</x:v>
      </x:c>
      <x:c r="P154" s="49" t="s">
        <x:v>30</x:v>
      </x:c>
      <x:c r="Q154" s="49" t="s">
        <x:v>23</x:v>
      </x:c>
      <x:c r="R154" s="50">
        <x:v>1.02</x:v>
      </x:c>
      <x:c r="S154" s="50">
        <x:f t="shared" si="12"/>
        <x:v>-1</x:v>
      </x:c>
      <x:c r="T154" s="49" t="s">
        <x:v>632</x:v>
      </x:c>
      <x:c r="U154" s="49" t="str">
        <x:f t="shared" si="10"/>
        <x:v>红</x:v>
      </x:c>
      <x:c r="V154" s="50">
        <x:f t="shared" si="11"/>
        <x:v>0.84</x:v>
      </x:c>
      <x:c r="W154" s="50">
        <x:f t="shared" si="13"/>
        <x:v>0.84</x:v>
      </x:c>
      <x:c r="X154" s="57">
        <x:v>0.8</x:v>
      </x:c>
      <x:c r="Y154" s="57">
        <x:v>0.75</x:v>
      </x:c>
      <x:c r="Z154" s="57">
        <x:v>0.9</x:v>
      </x:c>
      <x:c r="AA154" s="57">
        <x:v>-0.75</x:v>
      </x:c>
      <x:c r="AB154" s="57">
        <x:v>0.8</x:v>
      </x:c>
      <x:c r="AC154" s="57">
        <x:v>1.02</x:v>
      </x:c>
      <x:c r="AD154" s="57">
        <x:v>1.7</x:v>
      </x:c>
      <x:c r="AE154" s="57">
        <x:v>3.83</x:v>
      </x:c>
      <x:c r="AF154" s="57">
        <x:v>4.01</x:v>
      </x:c>
      <x:c r="AG154" s="58">
        <x:v>0.0987084584652638</x:v>
      </x:c>
      <x:c r="AH154" s="58">
        <x:v>0.0487084584652638</x:v>
      </x:c>
      <x:c r="AI154" s="58">
        <x:v>0.535387972655937</x:v>
      </x:c>
      <x:c r="AJ154" s="58">
        <x:v>0.237639570108379</x:v>
      </x:c>
      <x:c r="AK154" s="58">
        <x:v>0.226972457235684</x:v>
      </x:c>
      <x:c r="AL154" s="57">
        <x:v>1.73</x:v>
      </x:c>
      <x:c r="AM154" s="57">
        <x:v>1.04</x:v>
      </x:c>
      <x:c r="AN154" s="57">
        <x:v>0.000114641409965056</x:v>
      </x:c>
      <x:c r="AO154" s="57">
        <x:v>1.57219345785509</x:v>
      </x:c>
      <x:c r="AP154" s="57">
        <x:v>-0.552193457855094</x:v>
      </x:c>
      <x:c r="AQ154" s="59" t="s">
        <x:v>99</x:v>
      </x:c>
      <x:c r="AR154" s="57">
        <x:v>-1</x:v>
      </x:c>
      <x:c r="AS154" s="57">
        <x:v>0.295477865374231</x:v>
      </x:c>
      <x:c r="AT154" s="57">
        <x:v>0.464548366882354</x:v>
      </x:c>
      <x:c r="AU154" s="57">
        <x:v>1.65</x:v>
      </x:c>
      <x:c r="AV154" s="57">
        <x:v>3.92</x:v>
      </x:c>
      <x:c r="AW154" s="57">
        <x:v>4.31</x:v>
      </x:c>
      <x:c r="AX154" s="59" t="s">
        <x:v>100</x:v>
      </x:c>
      <x:c r="AY154" s="59" t="s">
        <x:v>101</x:v>
      </x:c>
    </x:row>
    <x:row r="155" ht="22" customHeight="1">
      <x:c r="A155" s="49" t="s">
        <x:v>626</x:v>
      </x:c>
      <x:c r="B155" s="49" t="s">
        <x:v>716</x:v>
      </x:c>
      <x:c r="C155" s="49" t="s">
        <x:v>333</x:v>
      </x:c>
      <x:c r="D155" s="49" t="s">
        <x:v>116</x:v>
      </x:c>
      <x:c r="E155" s="49" t="s">
        <x:v>730</x:v>
      </x:c>
      <x:c r="F155" s="49" t="s">
        <x:v>741</x:v>
      </x:c>
      <x:c r="G155" s="60">
        <x:v>1.06</x:v>
      </x:c>
      <x:c r="H155" s="60">
        <x:v>-0.5</x:v>
      </x:c>
      <x:c r="I155" s="60">
        <x:v>0.8</x:v>
      </x:c>
      <x:c r="J155" s="49" t="s">
        <x:v>742</x:v>
      </x:c>
      <x:c r="K155" s="49" t="s">
        <x:v>106</x:v>
      </x:c>
      <x:c r="L155" s="49" t="s">
        <x:v>743</x:v>
      </x:c>
      <x:c r="M155" s="61">
        <x:v>0.576</x:v>
      </x:c>
      <x:c r="N155" s="49" t="s">
        <x:v>685</x:v>
      </x:c>
      <x:c r="O155" s="49" t="s">
        <x:v>169</x:v>
      </x:c>
      <x:c r="P155" s="49" t="s">
        <x:v>30</x:v>
      </x:c>
      <x:c r="Q155" s="49" t="s">
        <x:v>11</x:v>
      </x:c>
      <x:c r="R155" s="50">
        <x:v>0.8</x:v>
      </x:c>
      <x:c r="S155" s="50">
        <x:f t="shared" si="12"/>
        <x:v>0.8</x:v>
      </x:c>
      <x:c r="T155" s="49" t="s">
        <x:v>632</x:v>
      </x:c>
      <x:c r="U155" s="49" t="str">
        <x:f t="shared" si="10"/>
        <x:v>黑</x:v>
      </x:c>
      <x:c r="V155" s="50">
        <x:f t="shared" si="11"/>
        <x:v>1.06</x:v>
      </x:c>
      <x:c r="W155" s="50">
        <x:f t="shared" si="13"/>
        <x:v>-1</x:v>
      </x:c>
      <x:c r="X155" s="57">
        <x:v>0.8</x:v>
      </x:c>
      <x:c r="Y155" s="57">
        <x:v>-0.5</x:v>
      </x:c>
      <x:c r="Z155" s="57">
        <x:v>0.9</x:v>
      </x:c>
      <x:c r="AA155" s="57">
        <x:v>-0.5</x:v>
      </x:c>
      <x:c r="AB155" s="57">
        <x:v>0.9</x:v>
      </x:c>
      <x:c r="AC155" s="57">
        <x:v>0.8</x:v>
      </x:c>
      <x:c r="AD155" s="57">
        <x:v>3.31</x:v>
      </x:c>
      <x:c r="AE155" s="57">
        <x:v>3.61</x:v>
      </x:c>
      <x:c r="AF155" s="57">
        <x:v>1.92</x:v>
      </x:c>
      <x:c r="AG155" s="58">
        <x:v>0.0999564472080183</x:v>
      </x:c>
      <x:c r="AH155" s="58">
        <x:v>0.0499564472080183</x:v>
      </x:c>
      <x:c r="AI155" s="58">
        <x:v>0.274660696241406</x:v>
      </x:c>
      <x:c r="AJ155" s="58">
        <x:v>0.251835707634087</x:v>
      </x:c>
      <x:c r="AK155" s="58">
        <x:v>0.473503596124507</x:v>
      </x:c>
      <x:c r="AL155" s="57">
        <x:v>1.13</x:v>
      </x:c>
      <x:c r="AM155" s="57">
        <x:v>1.56</x:v>
      </x:c>
      <x:c r="AN155" s="57">
        <x:v>0.000761245540770707</x:v>
      </x:c>
      <x:c r="AO155" s="57">
        <x:v>1.11606347925336</x:v>
      </x:c>
      <x:c r="AP155" s="57">
        <x:v>-0.316063479253356</x:v>
      </x:c>
      <x:c r="AQ155" s="59" t="s">
        <x:v>99</x:v>
      </x:c>
      <x:c r="AR155" s="57">
        <x:v>-0.5</x:v>
      </x:c>
      <x:c r="AS155" s="57">
        <x:v>0.472575614958794</x:v>
      </x:c>
      <x:c r="AT155" s="57">
        <x:v>0.527424385041206</x:v>
      </x:c>
      <x:c r="AU155" s="57">
        <x:v>3.63</x:v>
      </x:c>
      <x:c r="AV155" s="57">
        <x:v>3.79</x:v>
      </x:c>
      <x:c r="AW155" s="57">
        <x:v>1.81</x:v>
      </x:c>
      <x:c r="AX155" s="59" t="s">
        <x:v>100</x:v>
      </x:c>
      <x:c r="AY155" s="59" t="s">
        <x:v>101</x:v>
      </x:c>
    </x:row>
    <x:row r="156" ht="22" customHeight="1">
      <x:c r="A156" s="49" t="s">
        <x:v>626</x:v>
      </x:c>
      <x:c r="B156" s="49" t="s">
        <x:v>716</x:v>
      </x:c>
      <x:c r="C156" s="49" t="s">
        <x:v>89</x:v>
      </x:c>
      <x:c r="D156" s="49" t="s">
        <x:v>116</x:v>
      </x:c>
      <x:c r="E156" s="49" t="s">
        <x:v>687</x:v>
      </x:c>
      <x:c r="F156" s="49" t="s">
        <x:v>744</x:v>
      </x:c>
      <x:c r="G156" s="60">
        <x:v>0.94</x:v>
      </x:c>
      <x:c r="H156" s="60">
        <x:v>-0.75</x:v>
      </x:c>
      <x:c r="I156" s="60">
        <x:v>0.76</x:v>
      </x:c>
      <x:c r="J156" s="49" t="s">
        <x:v>745</x:v>
      </x:c>
      <x:c r="K156" s="49" t="s">
        <x:v>106</x:v>
      </x:c>
      <x:c r="L156" s="49" t="s">
        <x:v>746</x:v>
      </x:c>
      <x:c r="M156" s="61">
        <x:v>0.574</x:v>
      </x:c>
      <x:c r="N156" s="49" t="s">
        <x:v>96</x:v>
      </x:c>
      <x:c r="O156" s="49" t="s">
        <x:v>410</x:v>
      </x:c>
      <x:c r="P156" s="49" t="s">
        <x:v>30</x:v>
      </x:c>
      <x:c r="Q156" s="49" t="s">
        <x:v>23</x:v>
      </x:c>
      <x:c r="R156" s="50">
        <x:v>0.76</x:v>
      </x:c>
      <x:c r="S156" s="50">
        <x:f t="shared" si="12"/>
        <x:v>-1</x:v>
      </x:c>
      <x:c r="T156" s="49" t="s">
        <x:v>632</x:v>
      </x:c>
      <x:c r="U156" s="49" t="str">
        <x:f t="shared" si="10"/>
        <x:v>红</x:v>
      </x:c>
      <x:c r="V156" s="50">
        <x:f t="shared" si="11"/>
        <x:v>0.94</x:v>
      </x:c>
      <x:c r="W156" s="50">
        <x:f t="shared" si="13"/>
        <x:v>0.94</x:v>
      </x:c>
      <x:c r="X156" s="57">
        <x:v>0.94</x:v>
      </x:c>
      <x:c r="Y156" s="57">
        <x:v>-0.75</x:v>
      </x:c>
      <x:c r="Z156" s="57">
        <x:v>0.76</x:v>
      </x:c>
      <x:c r="AA156" s="57">
        <x:v>-0.75</x:v>
      </x:c>
      <x:c r="AB156" s="57">
        <x:v>0.76</x:v>
      </x:c>
      <x:c r="AC156" s="57">
        <x:v>0.76</x:v>
      </x:c>
      <x:c r="AD156" s="57">
        <x:v>3.55</x:v>
      </x:c>
      <x:c r="AE156" s="57">
        <x:v>3.72</x:v>
      </x:c>
      <x:c r="AF156" s="57">
        <x:v>1.81</x:v>
      </x:c>
      <x:c r="AG156" s="58">
        <x:v>0.10299353299145</x:v>
      </x:c>
      <x:c r="AH156" s="58">
        <x:v>0.0529935329914498</x:v>
      </x:c>
      <x:c r="AI156" s="58">
        <x:v>0.255386937837336</x:v>
      </x:c>
      <x:c r="AJ156" s="58">
        <x:v>0.24371602938778</x:v>
      </x:c>
      <x:c r="AK156" s="58">
        <x:v>0.500897032774885</x:v>
      </x:c>
      <x:c r="AL156" s="57">
        <x:v>1.11</x:v>
      </x:c>
      <x:c r="AM156" s="57">
        <x:v>1.66</x:v>
      </x:c>
      <x:c r="AN156" s="57">
        <x:v>0.000844135955246177</x:v>
      </x:c>
      <x:c r="AO156" s="57">
        <x:v>1.29389483317983</x:v>
      </x:c>
      <x:c r="AP156" s="57">
        <x:v>-0.533894833179826</x:v>
      </x:c>
      <x:c r="AQ156" s="59" t="s">
        <x:v>99</x:v>
      </x:c>
      <x:c r="AR156" s="57">
        <x:v>-0.75</x:v>
      </x:c>
      <x:c r="AS156" s="57">
        <x:v>0.384881670295003</x:v>
      </x:c>
      <x:c r="AT156" s="57">
        <x:v>0.497996404580326</x:v>
      </x:c>
      <x:c r="AU156" s="57">
        <x:v>4.39</x:v>
      </x:c>
      <x:c r="AV156" s="57">
        <x:v>3.91</x:v>
      </x:c>
      <x:c r="AW156" s="57">
        <x:v>1.61</x:v>
      </x:c>
      <x:c r="AX156" s="59" t="s">
        <x:v>100</x:v>
      </x:c>
      <x:c r="AY156" s="59" t="s">
        <x:v>101</x:v>
      </x:c>
    </x:row>
    <x:row r="157" ht="22" customHeight="1">
      <x:c r="A157" s="49" t="s">
        <x:v>626</x:v>
      </x:c>
      <x:c r="B157" s="49" t="s">
        <x:v>716</x:v>
      </x:c>
      <x:c r="C157" s="49" t="s">
        <x:v>333</x:v>
      </x:c>
      <x:c r="D157" s="49" t="s">
        <x:v>116</x:v>
      </x:c>
      <x:c r="E157" s="49" t="s">
        <x:v>747</x:v>
      </x:c>
      <x:c r="F157" s="49" t="s">
        <x:v>748</x:v>
      </x:c>
      <x:c r="G157" s="60">
        <x:v>0.89</x:v>
      </x:c>
      <x:c r="H157" s="60">
        <x:v>0.75</x:v>
      </x:c>
      <x:c r="I157" s="60">
        <x:v>0.99</x:v>
      </x:c>
      <x:c r="J157" s="49" t="s">
        <x:v>749</x:v>
      </x:c>
      <x:c r="K157" s="49" t="s">
        <x:v>94</x:v>
      </x:c>
      <x:c r="L157" s="49" t="s">
        <x:v>750</x:v>
      </x:c>
      <x:c r="M157" s="61">
        <x:v>0.542</x:v>
      </x:c>
      <x:c r="N157" s="49" t="s">
        <x:v>685</x:v>
      </x:c>
      <x:c r="O157" s="49" t="s">
        <x:v>273</x:v>
      </x:c>
      <x:c r="P157" s="49" t="s">
        <x:v>30</x:v>
      </x:c>
      <x:c r="Q157" s="49" t="s">
        <x:v>11</x:v>
      </x:c>
      <x:c r="R157" s="50">
        <x:v>0.99</x:v>
      </x:c>
      <x:c r="S157" s="50">
        <x:f t="shared" si="12"/>
        <x:v>0.99</x:v>
      </x:c>
      <x:c r="T157" s="49" t="s">
        <x:v>632</x:v>
      </x:c>
      <x:c r="U157" s="49" t="str">
        <x:f t="shared" si="10"/>
        <x:v>黑</x:v>
      </x:c>
      <x:c r="V157" s="50">
        <x:f t="shared" si="11"/>
        <x:v>0.89</x:v>
      </x:c>
      <x:c r="W157" s="50">
        <x:f t="shared" si="13"/>
        <x:v>-1</x:v>
      </x:c>
      <x:c r="X157" s="57">
        <x:v>0.8</x:v>
      </x:c>
      <x:c r="Y157" s="57">
        <x:v>0.5</x:v>
      </x:c>
      <x:c r="Z157" s="57">
        <x:v>1.02</x:v>
      </x:c>
      <x:c r="AA157" s="57">
        <x:v>0.5</x:v>
      </x:c>
      <x:c r="AB157" s="57">
        <x:v>1.02</x:v>
      </x:c>
      <x:c r="AC157" s="57">
        <x:v>0.99</x:v>
      </x:c>
      <x:c r="AD157" s="57">
        <x:v>1.81</x:v>
      </x:c>
      <x:c r="AE157" s="57">
        <x:v>3.63</x:v>
      </x:c>
      <x:c r="AF157" s="57">
        <x:v>3.9</x:v>
      </x:c>
      <x:c r="AG157" s="58">
        <x:v>0.0843785379194721</x:v>
      </x:c>
      <x:c r="AH157" s="58">
        <x:v>0.0343785379194721</x:v>
      </x:c>
      <x:c r="AI157" s="58">
        <x:v>0.509495686723313</x:v>
      </x:c>
      <x:c r="AJ157" s="58">
        <x:v>0.2540460586692</x:v>
      </x:c>
      <x:c r="AK157" s="58">
        <x:v>0.236458254607487</x:v>
      </x:c>
      <x:c r="AL157" s="57">
        <x:v>1.57</x:v>
      </x:c>
      <x:c r="AM157" s="57">
        <x:v>0.98</x:v>
      </x:c>
      <x:c r="AN157" s="57">
        <x:v>0.000924663057593641</x:v>
      </x:c>
      <x:c r="AO157" s="57">
        <x:v>0.79419574471016</x:v>
      </x:c>
      <x:c r="AP157" s="57">
        <x:v>0.19580425528984</x:v>
      </x:c>
      <x:c r="AQ157" s="59" t="s">
        <x:v>142</x:v>
      </x:c>
      <x:c r="AR157" s="57">
        <x:v>0.75</x:v>
      </x:c>
      <x:c r="AS157" s="57">
        <x:v>0.489235699255044</x:v>
      </x:c>
      <x:c r="AT157" s="57">
        <x:v>0.388548910508655</x:v>
      </x:c>
      <x:c r="AU157" s="57">
        <x:v>1.73</x:v>
      </x:c>
      <x:c r="AV157" s="57">
        <x:v>3.62</x:v>
      </x:c>
      <x:c r="AW157" s="57">
        <x:v>4.55</x:v>
      </x:c>
      <x:c r="AX157" s="59" t="s">
        <x:v>100</x:v>
      </x:c>
      <x:c r="AY157" s="59" t="s">
        <x:v>101</x:v>
      </x:c>
    </x:row>
    <x:row r="158" ht="22" customHeight="1">
      <x:c r="A158" s="49" t="s">
        <x:v>626</x:v>
      </x:c>
      <x:c r="B158" s="49" t="s">
        <x:v>716</x:v>
      </x:c>
      <x:c r="C158" s="49" t="s">
        <x:v>333</x:v>
      </x:c>
      <x:c r="D158" s="49" t="s">
        <x:v>116</x:v>
      </x:c>
      <x:c r="E158" s="49" t="s">
        <x:v>747</x:v>
      </x:c>
      <x:c r="F158" s="49" t="s">
        <x:v>751</x:v>
      </x:c>
      <x:c r="G158" s="60">
        <x:v>0.81</x:v>
      </x:c>
      <x:c r="H158" s="60">
        <x:v>0.25</x:v>
      </x:c>
      <x:c r="I158" s="60">
        <x:v>1.07</x:v>
      </x:c>
      <x:c r="J158" s="49" t="s">
        <x:v>752</x:v>
      </x:c>
      <x:c r="K158" s="49" t="s">
        <x:v>106</x:v>
      </x:c>
      <x:c r="L158" s="49" t="s">
        <x:v>753</x:v>
      </x:c>
      <x:c r="M158" s="61">
        <x:v>0.576</x:v>
      </x:c>
      <x:c r="N158" s="49" t="s">
        <x:v>685</x:v>
      </x:c>
      <x:c r="O158" s="49" t="s">
        <x:v>410</x:v>
      </x:c>
      <x:c r="P158" s="49" t="s">
        <x:v>30</x:v>
      </x:c>
      <x:c r="Q158" s="49" t="s">
        <x:v>11</x:v>
      </x:c>
      <x:c r="R158" s="50">
        <x:v>0.81</x:v>
      </x:c>
      <x:c r="S158" s="50">
        <x:f t="shared" si="12"/>
        <x:v>0.81</x:v>
      </x:c>
      <x:c r="T158" s="49" t="s">
        <x:v>632</x:v>
      </x:c>
      <x:c r="U158" s="49" t="str">
        <x:f t="shared" si="10"/>
        <x:v>黑</x:v>
      </x:c>
      <x:c r="V158" s="50">
        <x:f t="shared" si="11"/>
        <x:v>1.07</x:v>
      </x:c>
      <x:c r="W158" s="50">
        <x:f t="shared" si="13"/>
        <x:v>-1</x:v>
      </x:c>
      <x:c r="X158" s="57">
        <x:v>0.85</x:v>
      </x:c>
      <x:c r="Y158" s="57">
        <x:v>0.25</x:v>
      </x:c>
      <x:c r="Z158" s="57">
        <x:v>0.97</x:v>
      </x:c>
      <x:c r="AA158" s="57">
        <x:v>-0.25</x:v>
      </x:c>
      <x:c r="AB158" s="57">
        <x:v>0.85</x:v>
      </x:c>
      <x:c r="AC158" s="57">
        <x:v>0.81</x:v>
      </x:c>
      <x:c r="AD158" s="57">
        <x:v>2.06</x:v>
      </x:c>
      <x:c r="AE158" s="57">
        <x:v>3.38</x:v>
      </x:c>
      <x:c r="AF158" s="57">
        <x:v>3.3</x:v>
      </x:c>
      <x:c r="AG158" s="58">
        <x:v>0.0843251843998669</x:v>
      </x:c>
      <x:c r="AH158" s="58">
        <x:v>0.0343251843998669</x:v>
      </x:c>
      <x:c r="AI158" s="58">
        <x:v>0.447685712909596</x:v>
      </x:c>
      <x:c r="AJ158" s="58">
        <x:v>0.27284987236502</x:v>
      </x:c>
      <x:c r="AK158" s="58">
        <x:v>0.279464414725384</x:v>
      </x:c>
      <x:c r="AL158" s="57">
        <x:v>1.36</x:v>
      </x:c>
      <x:c r="AM158" s="57">
        <x:v>1.01</x:v>
      </x:c>
      <x:c r="AN158" s="57">
        <x:v>0.000714489573367852</x:v>
      </x:c>
      <x:c r="AO158" s="57">
        <x:v>0.926131908373137</x:v>
      </x:c>
      <x:c r="AP158" s="57">
        <x:v>-0.116131908373137</x:v>
      </x:c>
      <x:c r="AQ158" s="59" t="s">
        <x:v>99</x:v>
      </x:c>
      <x:c r="AR158" s="57">
        <x:v>-0.25</x:v>
      </x:c>
      <x:c r="AS158" s="57">
        <x:v>0.448224575316193</x:v>
      </x:c>
      <x:c r="AT158" s="57">
        <x:v>0.415115081317325</x:v>
      </x:c>
      <x:c r="AU158" s="57">
        <x:v>2.01</x:v>
      </x:c>
      <x:c r="AV158" s="57">
        <x:v>3.46</x:v>
      </x:c>
      <x:c r="AW158" s="57">
        <x:v>3.46</x:v>
      </x:c>
      <x:c r="AX158" s="59" t="s">
        <x:v>100</x:v>
      </x:c>
      <x:c r="AY158" s="59" t="s">
        <x:v>101</x:v>
      </x:c>
    </x:row>
    <x:row r="159" ht="22" customHeight="1">
      <x:c r="A159" s="49" t="s">
        <x:v>626</x:v>
      </x:c>
      <x:c r="B159" s="49" t="s">
        <x:v>754</x:v>
      </x:c>
      <x:c r="C159" s="49" t="s">
        <x:v>89</x:v>
      </x:c>
      <x:c r="D159" s="49" t="s">
        <x:v>116</x:v>
      </x:c>
      <x:c r="E159" s="49" t="s">
        <x:v>755</x:v>
      </x:c>
      <x:c r="F159" s="49" t="s">
        <x:v>756</x:v>
      </x:c>
      <x:c r="G159" s="60">
        <x:v>0.86</x:v>
      </x:c>
      <x:c r="H159" s="60">
        <x:v>1.25</x:v>
      </x:c>
      <x:c r="I159" s="60">
        <x:v>1.02</x:v>
      </x:c>
      <x:c r="J159" s="49" t="s">
        <x:v>757</x:v>
      </x:c>
      <x:c r="K159" s="49" t="s">
        <x:v>276</x:v>
      </x:c>
      <x:c r="L159" s="49" t="s">
        <x:v>758</x:v>
      </x:c>
      <x:c r="M159" s="61">
        <x:v>0.584</x:v>
      </x:c>
      <x:c r="N159" s="49" t="s">
        <x:v>96</x:v>
      </x:c>
      <x:c r="O159" s="49" t="s">
        <x:v>317</x:v>
      </x:c>
      <x:c r="P159" s="49" t="s">
        <x:v>30</x:v>
      </x:c>
      <x:c r="Q159" s="49" t="s">
        <x:v>11</x:v>
      </x:c>
      <x:c r="R159" s="50">
        <x:v>0.86</x:v>
      </x:c>
      <x:c r="S159" s="50">
        <x:f t="shared" si="12"/>
        <x:v>0.86</x:v>
      </x:c>
      <x:c r="T159" s="49" t="s">
        <x:v>632</x:v>
      </x:c>
      <x:c r="U159" s="49" t="str">
        <x:f t="shared" si="10"/>
        <x:v>黑</x:v>
      </x:c>
      <x:c r="V159" s="50">
        <x:f t="shared" si="11"/>
        <x:v>1.02</x:v>
      </x:c>
      <x:c r="W159" s="50">
        <x:f t="shared" si="13"/>
        <x:v>-1</x:v>
      </x:c>
      <x:c r="X159" s="57">
        <x:v>0.91</x:v>
      </x:c>
      <x:c r="Y159" s="57">
        <x:v>1.25</x:v>
      </x:c>
      <x:c r="Z159" s="57">
        <x:v>0.91</x:v>
      </x:c>
      <x:c r="AA159" s="57">
        <x:v>-1.25</x:v>
      </x:c>
      <x:c r="AB159" s="57">
        <x:v>0.91</x:v>
      </x:c>
      <x:c r="AC159" s="57">
        <x:v>0.86</x:v>
      </x:c>
      <x:c r="AD159" s="57">
        <x:v>1.34</x:v>
      </x:c>
      <x:c r="AE159" s="57">
        <x:v>4.21</x:v>
      </x:c>
      <x:c r="AF159" s="57">
        <x:v>8.83</x:v>
      </x:c>
      <x:c r="AG159" s="58">
        <x:v>0.097048631053527</x:v>
      </x:c>
      <x:c r="AH159" s="58">
        <x:v>0.047048631053527</x:v>
      </x:c>
      <x:c r="AI159" s="58">
        <x:v>0.680251208189153</x:v>
      </x:c>
      <x:c r="AJ159" s="58">
        <x:v>0.216517011632652</x:v>
      </x:c>
      <x:c r="AK159" s="58">
        <x:v>0.103231780178195</x:v>
      </x:c>
      <x:c r="AL159" s="57">
        <x:v>1.79</x:v>
      </x:c>
      <x:c r="AM159" s="57">
        <x:v>0.53</x:v>
      </x:c>
      <x:c r="AN159" s="57">
        <x:v>0.00033977845415983</x:v>
      </x:c>
      <x:c r="AO159" s="57">
        <x:v>1.12074031899753</x:v>
      </x:c>
      <x:c r="AP159" s="57">
        <x:v>-0.260740318997529</x:v>
      </x:c>
      <x:c r="AQ159" s="59" t="s">
        <x:v>99</x:v>
      </x:c>
      <x:c r="AR159" s="57">
        <x:v>-1.25</x:v>
      </x:c>
      <x:c r="AS159" s="57">
        <x:v>0.407018160511573</x:v>
      </x:c>
      <x:c r="AT159" s="57">
        <x:v>0.456161663049528</x:v>
      </x:c>
      <x:c r="AU159" s="57">
        <x:v>1.33</x:v>
      </x:c>
      <x:c r="AV159" s="57">
        <x:v>4.71</x:v>
      </x:c>
      <x:c r="AW159" s="57">
        <x:v>8.28</x:v>
      </x:c>
      <x:c r="AX159" s="59" t="s">
        <x:v>100</x:v>
      </x:c>
      <x:c r="AY159" s="59" t="s">
        <x:v>101</x:v>
      </x:c>
    </x:row>
    <x:row r="160" ht="22" customHeight="1">
      <x:c r="A160" s="49" t="s">
        <x:v>626</x:v>
      </x:c>
      <x:c r="B160" s="49" t="s">
        <x:v>754</x:v>
      </x:c>
      <x:c r="C160" s="49" t="s">
        <x:v>244</x:v>
      </x:c>
      <x:c r="D160" s="49" t="s">
        <x:v>90</x:v>
      </x:c>
      <x:c r="E160" s="49" t="s">
        <x:v>759</x:v>
      </x:c>
      <x:c r="F160" s="49" t="s">
        <x:v>760</x:v>
      </x:c>
      <x:c r="G160" s="60">
        <x:v>0.92</x:v>
      </x:c>
      <x:c r="H160" s="60">
        <x:v>-1.5</x:v>
      </x:c>
      <x:c r="I160" s="60">
        <x:v>0.78</x:v>
      </x:c>
      <x:c r="J160" s="49" t="s">
        <x:v>761</x:v>
      </x:c>
      <x:c r="K160" s="49" t="s">
        <x:v>106</x:v>
      </x:c>
      <x:c r="L160" s="49" t="s">
        <x:v>762</x:v>
      </x:c>
      <x:c r="M160" s="61">
        <x:v>0.584</x:v>
      </x:c>
      <x:c r="N160" s="49" t="s">
        <x:v>96</x:v>
      </x:c>
      <x:c r="O160" s="49" t="s">
        <x:v>288</x:v>
      </x:c>
      <x:c r="P160" s="49" t="s">
        <x:v>30</x:v>
      </x:c>
      <x:c r="Q160" s="49" t="s">
        <x:v>11</x:v>
      </x:c>
      <x:c r="R160" s="50">
        <x:v>0.78</x:v>
      </x:c>
      <x:c r="S160" s="50">
        <x:f t="shared" si="12"/>
        <x:v>0.78</x:v>
      </x:c>
      <x:c r="T160" s="49" t="s">
        <x:v>632</x:v>
      </x:c>
      <x:c r="U160" s="49" t="str">
        <x:f t="shared" si="10"/>
        <x:v>黑</x:v>
      </x:c>
      <x:c r="V160" s="50">
        <x:f t="shared" si="11"/>
        <x:v>0.92</x:v>
      </x:c>
      <x:c r="W160" s="50">
        <x:f t="shared" si="13"/>
        <x:v>-1</x:v>
      </x:c>
      <x:c r="X160" s="57">
        <x:v>0.78</x:v>
      </x:c>
      <x:c r="Y160" s="57">
        <x:v>-1.5</x:v>
      </x:c>
      <x:c r="Z160" s="57">
        <x:v>0.92</x:v>
      </x:c>
      <x:c r="AA160" s="57">
        <x:v>-1.5</x:v>
      </x:c>
      <x:c r="AB160" s="57">
        <x:v>0.92</x:v>
      </x:c>
      <x:c r="AC160" s="57">
        <x:v>0.78</x:v>
      </x:c>
      <x:c r="AD160" s="57">
        <x:v>7.67</x:v>
      </x:c>
      <x:c r="AE160" s="57">
        <x:v>5.56</x:v>
      </x:c>
      <x:c r="AF160" s="57">
        <x:v>1.27</x:v>
      </x:c>
      <x:c r="AG160" s="58">
        <x:v>0.0976357863908546</x:v>
      </x:c>
      <x:c r="AH160" s="58">
        <x:v>0.0476357863908546</x:v>
      </x:c>
      <x:c r="AI160" s="58">
        <x:v>0.118780836135535</x:v>
      </x:c>
      <x:c r="AJ160" s="58">
        <x:v>0.163857736179776</x:v>
      </x:c>
      <x:c r="AK160" s="58">
        <x:v>0.717361427684689</x:v>
      </x:c>
      <x:c r="AL160" s="57">
        <x:v>0.93</x:v>
      </x:c>
      <x:c r="AM160" s="57">
        <x:v>2.51</x:v>
      </x:c>
      <x:c r="AN160" s="57">
        <x:v>8.31226174028474e-5</x:v>
      </x:c>
      <x:c r="AO160" s="57">
        <x:v>1.00621195091066</x:v>
      </x:c>
      <x:c r="AP160" s="57">
        <x:v>-0.226211950910656</x:v>
      </x:c>
      <x:c r="AQ160" s="59" t="s">
        <x:v>99</x:v>
      </x:c>
      <x:c r="AR160" s="57">
        <x:v>-1.5</x:v>
      </x:c>
      <x:c r="AS160" s="57">
        <x:v>0.498451820878687</x:v>
      </x:c>
      <x:c r="AT160" s="57">
        <x:v>0.501548179121313</x:v>
      </x:c>
      <x:c r="AU160" s="57">
        <x:v>6.86</x:v>
      </x:c>
      <x:c r="AV160" s="57">
        <x:v>5.16</x:v>
      </x:c>
      <x:c r="AW160" s="57">
        <x:v>1.32</x:v>
      </x:c>
      <x:c r="AX160" s="59" t="s">
        <x:v>100</x:v>
      </x:c>
      <x:c r="AY160" s="59" t="s">
        <x:v>101</x:v>
      </x:c>
    </x:row>
    <x:row r="161" ht="22" customHeight="1">
      <x:c r="A161" s="49" t="s">
        <x:v>626</x:v>
      </x:c>
      <x:c r="B161" s="49" t="s">
        <x:v>763</x:v>
      </x:c>
      <x:c r="C161" s="49" t="s">
        <x:v>333</x:v>
      </x:c>
      <x:c r="D161" s="49" t="s">
        <x:v>116</x:v>
      </x:c>
      <x:c r="E161" s="49" t="s">
        <x:v>764</x:v>
      </x:c>
      <x:c r="F161" s="49" t="s">
        <x:v>765</x:v>
      </x:c>
      <x:c r="G161" s="60">
        <x:v>0.81</x:v>
      </x:c>
      <x:c r="H161" s="60">
        <x:v>0.25</x:v>
      </x:c>
      <x:c r="I161" s="60">
        <x:v>1.01</x:v>
      </x:c>
      <x:c r="J161" s="49" t="s">
        <x:v>766</x:v>
      </x:c>
      <x:c r="K161" s="49" t="s">
        <x:v>132</x:v>
      </x:c>
      <x:c r="L161" s="49" t="s">
        <x:v>767</x:v>
      </x:c>
      <x:c r="M161" s="61">
        <x:v>0.603</x:v>
      </x:c>
      <x:c r="N161" s="49" t="s">
        <x:v>685</x:v>
      </x:c>
      <x:c r="O161" s="49" t="s">
        <x:v>653</x:v>
      </x:c>
      <x:c r="P161" s="49" t="s">
        <x:v>30</x:v>
      </x:c>
      <x:c r="Q161" s="49" t="s">
        <x:v>23</x:v>
      </x:c>
      <x:c r="R161" s="50">
        <x:v>0.81</x:v>
      </x:c>
      <x:c r="S161" s="50">
        <x:f t="shared" si="12"/>
        <x:v>-1</x:v>
      </x:c>
      <x:c r="T161" s="49" t="s">
        <x:v>632</x:v>
      </x:c>
      <x:c r="U161" s="49" t="str">
        <x:f t="shared" si="10"/>
        <x:v>红</x:v>
      </x:c>
      <x:c r="V161" s="50">
        <x:f t="shared" si="11"/>
        <x:v>1.01</x:v>
      </x:c>
      <x:c r="W161" s="50">
        <x:f t="shared" si="13"/>
        <x:v>1.01</x:v>
      </x:c>
      <x:c r="X161" s="57">
        <x:v>0.95</x:v>
      </x:c>
      <x:c r="Y161" s="57">
        <x:v>0.5</x:v>
      </x:c>
      <x:c r="Z161" s="57">
        <x:v>0.75</x:v>
      </x:c>
      <x:c r="AA161" s="57">
        <x:v>-0.5</x:v>
      </x:c>
      <x:c r="AB161" s="57">
        <x:v>0.95</x:v>
      </x:c>
      <x:c r="AC161" s="57">
        <x:v>0.81</x:v>
      </x:c>
      <x:c r="AD161" s="57">
        <x:v>1.97</x:v>
      </x:c>
      <x:c r="AE161" s="57">
        <x:v>3.18</x:v>
      </x:c>
      <x:c r="AF161" s="57">
        <x:v>3.56</x:v>
      </x:c>
      <x:c r="AG161" s="58">
        <x:v>0.102978498407495</x:v>
      </x:c>
      <x:c r="AH161" s="58">
        <x:v>0.0529784984074953</x:v>
      </x:c>
      <x:c r="AI161" s="58">
        <x:v>0.46022131340808</x:v>
      </x:c>
      <x:c r="AJ161" s="58">
        <x:v>0.285105656419471</x:v>
      </x:c>
      <x:c r="AK161" s="58">
        <x:v>0.254673030172449</x:v>
      </x:c>
      <x:c r="AL161" s="57">
        <x:v>1.29</x:v>
      </x:c>
      <x:c r="AM161" s="57">
        <x:v>0.88</x:v>
      </x:c>
      <x:c r="AN161" s="57">
        <x:v>0.000362544055293077</x:v>
      </x:c>
      <x:c r="AO161" s="57">
        <x:v>0.862719993566921</x:v>
      </x:c>
      <x:c r="AP161" s="57">
        <x:v>-0.0527199935669206</x:v>
      </x:c>
      <x:c r="AQ161" s="59" t="s">
        <x:v>99</x:v>
      </x:c>
      <x:c r="AR161" s="57">
        <x:v>-0.25</x:v>
      </x:c>
      <x:c r="AS161" s="57">
        <x:v>0.460197721590864</x:v>
      </x:c>
      <x:c r="AT161" s="57">
        <x:v>0.397021775410382</x:v>
      </x:c>
      <x:c r="AU161" s="57">
        <x:v>2.05</x:v>
      </x:c>
      <x:c r="AV161" s="57">
        <x:v>3.16</x:v>
      </x:c>
      <x:c r="AW161" s="57">
        <x:v>3.46</x:v>
      </x:c>
      <x:c r="AX161" s="59" t="s">
        <x:v>100</x:v>
      </x:c>
      <x:c r="AY161" s="59" t="s">
        <x:v>101</x:v>
      </x:c>
    </x:row>
    <x:row r="162" ht="22" customHeight="1">
      <x:c r="A162" s="49" t="s">
        <x:v>626</x:v>
      </x:c>
      <x:c r="B162" s="49" t="s">
        <x:v>768</x:v>
      </x:c>
      <x:c r="C162" s="49" t="s">
        <x:v>136</x:v>
      </x:c>
      <x:c r="D162" s="49" t="s">
        <x:v>116</x:v>
      </x:c>
      <x:c r="E162" s="49" t="s">
        <x:v>769</x:v>
      </x:c>
      <x:c r="F162" s="49" t="s">
        <x:v>770</x:v>
      </x:c>
      <x:c r="G162" s="60">
        <x:v>1.04</x:v>
      </x:c>
      <x:c r="H162" s="60">
        <x:v>0</x:v>
      </x:c>
      <x:c r="I162" s="60">
        <x:v>0.82</x:v>
      </x:c>
      <x:c r="J162" s="49" t="s">
        <x:v>771</x:v>
      </x:c>
      <x:c r="K162" s="49" t="s">
        <x:v>106</x:v>
      </x:c>
      <x:c r="L162" s="49" t="s">
        <x:v>772</x:v>
      </x:c>
      <x:c r="M162" s="61">
        <x:v>0.572</x:v>
      </x:c>
      <x:c r="N162" s="49" t="s">
        <x:v>96</x:v>
      </x:c>
      <x:c r="O162" s="49" t="s">
        <x:v>126</x:v>
      </x:c>
      <x:c r="P162" s="49" t="s">
        <x:v>30</x:v>
      </x:c>
      <x:c r="Q162" s="49" t="s">
        <x:v>17</x:v>
      </x:c>
      <x:c r="R162" s="50">
        <x:v>0.82</x:v>
      </x:c>
      <x:c r="S162" s="50">
        <x:f t="shared" si="12"/>
        <x:v>0</x:v>
      </x:c>
      <x:c r="T162" s="49" t="s">
        <x:v>632</x:v>
      </x:c>
      <x:c r="U162" s="49" t="str">
        <x:f t="shared" si="10"/>
        <x:v>走</x:v>
      </x:c>
      <x:c r="V162" s="50">
        <x:f t="shared" si="11"/>
        <x:v>1.04</x:v>
      </x:c>
      <x:c r="W162" s="50">
        <x:f t="shared" si="13"/>
        <x:v>0</x:v>
      </x:c>
      <x:c r="X162" s="57">
        <x:v>0.95</x:v>
      </x:c>
      <x:c r="Y162" s="57">
        <x:v>0</x:v>
      </x:c>
      <x:c r="Z162" s="57">
        <x:v>0.75</x:v>
      </x:c>
      <x:c r="AA162" s="57">
        <x:v>0</x:v>
      </x:c>
      <x:c r="AB162" s="57">
        <x:v>0.75</x:v>
      </x:c>
      <x:c r="AC162" s="57">
        <x:v>0.82</x:v>
      </x:c>
      <x:c r="AD162" s="57">
        <x:v>2.75</x:v>
      </x:c>
      <x:c r="AE162" s="57">
        <x:v>3.01</x:v>
      </x:c>
      <x:c r="AF162" s="57">
        <x:v>2.46</x:v>
      </x:c>
      <x:c r="AG162" s="58">
        <x:v>0.102366342298277</x:v>
      </x:c>
      <x:c r="AH162" s="58">
        <x:v>0.0523663422982766</x:v>
      </x:c>
      <x:c r="AI162" s="58">
        <x:v>0.329868891749936</x:v>
      </x:c>
      <x:c r="AJ162" s="58">
        <x:v>0.301375233326354</x:v>
      </x:c>
      <x:c r="AK162" s="58">
        <x:v>0.368755874923709</x:v>
      </x:c>
      <x:c r="AL162" s="57">
        <x:v>1</x:v>
      </x:c>
      <x:c r="AM162" s="57">
        <x:v>1.08</x:v>
      </x:c>
      <x:c r="AN162" s="57">
        <x:v>0.000994202930754802</x:v>
      </x:c>
      <x:c r="AO162" s="57">
        <x:v>0.888643483886343</x:v>
      </x:c>
      <x:c r="AP162" s="57">
        <x:v>-0.0686434838863432</x:v>
      </x:c>
      <x:c r="AQ162" s="59" t="s">
        <x:v>150</x:v>
      </x:c>
      <x:c r="AR162" s="57">
        <x:v>0</x:v>
      </x:c>
      <x:c r="AS162" s="57">
        <x:v>0.370125827366101</x:v>
      </x:c>
      <x:c r="AT162" s="57">
        <x:v>0.328909904706927</x:v>
      </x:c>
      <x:c r="AU162" s="57">
        <x:v>2.78</x:v>
      </x:c>
      <x:c r="AV162" s="57">
        <x:v>2.95</x:v>
      </x:c>
      <x:c r="AW162" s="57">
        <x:v>2.49</x:v>
      </x:c>
      <x:c r="AX162" s="59" t="s">
        <x:v>100</x:v>
      </x:c>
      <x:c r="AY162" s="59" t="s">
        <x:v>101</x:v>
      </x:c>
    </x:row>
    <x:row r="163" ht="22" customHeight="1">
      <x:c r="A163" s="49" t="s">
        <x:v>626</x:v>
      </x:c>
      <x:c r="B163" s="49" t="s">
        <x:v>768</x:v>
      </x:c>
      <x:c r="C163" s="49" t="s">
        <x:v>244</x:v>
      </x:c>
      <x:c r="D163" s="49" t="s">
        <x:v>116</x:v>
      </x:c>
      <x:c r="E163" s="49" t="s">
        <x:v>773</x:v>
      </x:c>
      <x:c r="F163" s="49" t="s">
        <x:v>774</x:v>
      </x:c>
      <x:c r="G163" s="60">
        <x:v>0.74</x:v>
      </x:c>
      <x:c r="H163" s="60">
        <x:v>-0.25</x:v>
      </x:c>
      <x:c r="I163" s="60">
        <x:v>1.08</x:v>
      </x:c>
      <x:c r="J163" s="49" t="s">
        <x:v>775</x:v>
      </x:c>
      <x:c r="K163" s="49" t="s">
        <x:v>189</x:v>
      </x:c>
      <x:c r="L163" s="49" t="s">
        <x:v>776</x:v>
      </x:c>
      <x:c r="M163" s="61">
        <x:v>0.505</x:v>
      </x:c>
      <x:c r="N163" s="49" t="s">
        <x:v>96</x:v>
      </x:c>
      <x:c r="O163" s="49" t="s">
        <x:v>149</x:v>
      </x:c>
      <x:c r="P163" s="49" t="s">
        <x:v>30</x:v>
      </x:c>
      <x:c r="Q163" s="49" t="s">
        <x:v>20</x:v>
      </x:c>
      <x:c r="R163" s="50">
        <x:v>1.08</x:v>
      </x:c>
      <x:c r="S163" s="50">
        <x:f t="shared" si="12"/>
        <x:v>-0.5</x:v>
      </x:c>
      <x:c r="T163" s="49" t="s">
        <x:v>632</x:v>
      </x:c>
      <x:c r="U163" s="49" t="str">
        <x:f t="shared" si="10"/>
        <x:v>半红</x:v>
      </x:c>
      <x:c r="V163" s="50">
        <x:f t="shared" si="11"/>
        <x:v>0.74</x:v>
      </x:c>
      <x:c r="W163" s="50">
        <x:f t="shared" si="13"/>
        <x:v>0.37</x:v>
      </x:c>
      <x:c r="X163" s="57">
        <x:v>0.85</x:v>
      </x:c>
      <x:c r="Y163" s="57">
        <x:v>0</x:v>
      </x:c>
      <x:c r="Z163" s="57">
        <x:v>0.85</x:v>
      </x:c>
      <x:c r="AA163" s="57">
        <x:v>0</x:v>
      </x:c>
      <x:c r="AB163" s="57">
        <x:v>0.85</x:v>
      </x:c>
      <x:c r="AC163" s="57">
        <x:v>1.08</x:v>
      </x:c>
      <x:c r="AD163" s="57">
        <x:v>2.59</x:v>
      </x:c>
      <x:c r="AE163" s="57">
        <x:v>3.03</x:v>
      </x:c>
      <x:c r="AF163" s="57">
        <x:v>2.59</x:v>
      </x:c>
      <x:c r="AG163" s="58">
        <x:v>0.102233775501102</x:v>
      </x:c>
      <x:c r="AH163" s="58">
        <x:v>0.0522337755011022</x:v>
      </x:c>
      <x:c r="AI163" s="58">
        <x:v>0.350289017341041</x:v>
      </x:c>
      <x:c r="AJ163" s="58">
        <x:v>0.299421965317919</x:v>
      </x:c>
      <x:c r="AK163" s="58">
        <x:v>0.350289017341041</x:v>
      </x:c>
      <x:c r="AL163" s="57">
        <x:v>1.05</x:v>
      </x:c>
      <x:c r="AM163" s="57">
        <x:v>1.05</x:v>
      </x:c>
      <x:c r="AN163" s="57">
        <x:v>9.97934687684613e-5</x:v>
      </x:c>
      <x:c r="AO163" s="57">
        <x:v>1.42768034106031</x:v>
      </x:c>
      <x:c r="AP163" s="57">
        <x:v>-0.347680341060312</x:v>
      </x:c>
      <x:c r="AQ163" s="59" t="s">
        <x:v>99</x:v>
      </x:c>
      <x:c r="AR163" s="57">
        <x:v>-0.25</x:v>
      </x:c>
      <x:c r="AS163" s="57">
        <x:v>0.350218452702556</x:v>
      </x:c>
      <x:c r="AT163" s="57">
        <x:v>0.5</x:v>
      </x:c>
      <x:c r="AU163" s="57">
        <x:v>2.9</x:v>
      </x:c>
      <x:c r="AV163" s="57">
        <x:v>2.79</x:v>
      </x:c>
      <x:c r="AW163" s="57">
        <x:v>2.55</x:v>
      </x:c>
      <x:c r="AX163" s="59" t="s">
        <x:v>100</x:v>
      </x:c>
      <x:c r="AY163" s="59" t="s">
        <x:v>101</x:v>
      </x:c>
    </x:row>
    <x:row r="164" ht="22" customHeight="1">
      <x:c r="A164" s="49" t="s">
        <x:v>626</x:v>
      </x:c>
      <x:c r="B164" s="49" t="s">
        <x:v>768</x:v>
      </x:c>
      <x:c r="C164" s="49" t="s">
        <x:v>89</x:v>
      </x:c>
      <x:c r="D164" s="49" t="s">
        <x:v>116</x:v>
      </x:c>
      <x:c r="E164" s="49" t="s">
        <x:v>117</x:v>
      </x:c>
      <x:c r="F164" s="49" t="s">
        <x:v>777</x:v>
      </x:c>
      <x:c r="G164" s="60">
        <x:v>0.81</x:v>
      </x:c>
      <x:c r="H164" s="60">
        <x:v>1.5</x:v>
      </x:c>
      <x:c r="I164" s="60">
        <x:v>1.01</x:v>
      </x:c>
      <x:c r="J164" s="49" t="s">
        <x:v>778</x:v>
      </x:c>
      <x:c r="K164" s="49" t="s">
        <x:v>106</x:v>
      </x:c>
      <x:c r="L164" s="49" t="s">
        <x:v>779</x:v>
      </x:c>
      <x:c r="M164" s="61">
        <x:v>0.574</x:v>
      </x:c>
      <x:c r="N164" s="49" t="s">
        <x:v>96</x:v>
      </x:c>
      <x:c r="O164" s="49" t="s">
        <x:v>780</x:v>
      </x:c>
      <x:c r="P164" s="49" t="s">
        <x:v>30</x:v>
      </x:c>
      <x:c r="Q164" s="49" t="s">
        <x:v>11</x:v>
      </x:c>
      <x:c r="R164" s="50">
        <x:v>0.81</x:v>
      </x:c>
      <x:c r="S164" s="50">
        <x:f t="shared" si="12"/>
        <x:v>0.81</x:v>
      </x:c>
      <x:c r="T164" s="49" t="s">
        <x:v>632</x:v>
      </x:c>
      <x:c r="U164" s="49" t="str">
        <x:f t="shared" si="10"/>
        <x:v>黑</x:v>
      </x:c>
      <x:c r="V164" s="50">
        <x:f t="shared" si="11"/>
        <x:v>1.01</x:v>
      </x:c>
      <x:c r="W164" s="50">
        <x:f t="shared" si="13"/>
        <x:v>-1</x:v>
      </x:c>
      <x:c r="X164" s="57">
        <x:v>0.89</x:v>
      </x:c>
      <x:c r="Y164" s="57">
        <x:v>1.5</x:v>
      </x:c>
      <x:c r="Z164" s="57">
        <x:v>0.93</x:v>
      </x:c>
      <x:c r="AA164" s="57">
        <x:v>-1.5</x:v>
      </x:c>
      <x:c r="AB164" s="57">
        <x:v>0.89</x:v>
      </x:c>
      <x:c r="AC164" s="57">
        <x:v>0.81</x:v>
      </x:c>
      <x:c r="AD164" s="57">
        <x:v>1.3</x:v>
      </x:c>
      <x:c r="AE164" s="57">
        <x:v>4.8</x:v>
      </x:c>
      <x:c r="AF164" s="57">
        <x:v>8.62</x:v>
      </x:c>
      <x:c r="AG164" s="58">
        <x:v>0.093573383306562</x:v>
      </x:c>
      <x:c r="AH164" s="58">
        <x:v>0.0435733833065619</x:v>
      </x:c>
      <x:c r="AI164" s="58">
        <x:v>0.703410288667505</x:v>
      </x:c>
      <x:c r="AJ164" s="58">
        <x:v>0.190506953180783</x:v>
      </x:c>
      <x:c r="AK164" s="58">
        <x:v>0.106082758151712</x:v>
      </x:c>
      <x:c r="AL164" s="57">
        <x:v>2.06</x:v>
      </x:c>
      <x:c r="AM164" s="57">
        <x:v>0.65</x:v>
      </x:c>
      <x:c r="AN164" s="57">
        <x:v>0.000315586729190164</x:v>
      </x:c>
      <x:c r="AO164" s="57">
        <x:v>1.21189533213681</x:v>
      </x:c>
      <x:c r="AP164" s="57">
        <x:v>-0.401895332136813</x:v>
      </x:c>
      <x:c r="AQ164" s="59" t="s">
        <x:v>99</x:v>
      </x:c>
      <x:c r="AR164" s="57">
        <x:v>-1.5</x:v>
      </x:c>
      <x:c r="AS164" s="57">
        <x:v>0.452100958608175</x:v>
      </x:c>
      <x:c r="AT164" s="57">
        <x:v>0.547899041391825</x:v>
      </x:c>
      <x:c r="AU164" s="57">
        <x:v>1.25</x:v>
      </x:c>
      <x:c r="AV164" s="57">
        <x:v>5.26</x:v>
      </x:c>
      <x:c r="AW164" s="57">
        <x:v>10.18</x:v>
      </x:c>
      <x:c r="AX164" s="59" t="s">
        <x:v>100</x:v>
      </x:c>
      <x:c r="AY164" s="59" t="s">
        <x:v>101</x:v>
      </x:c>
    </x:row>
    <x:row r="165" ht="22" customHeight="1">
      <x:c r="A165" s="49" t="s">
        <x:v>626</x:v>
      </x:c>
      <x:c r="B165" s="49" t="s">
        <x:v>768</x:v>
      </x:c>
      <x:c r="C165" s="49" t="s">
        <x:v>89</x:v>
      </x:c>
      <x:c r="D165" s="49" t="s">
        <x:v>116</x:v>
      </x:c>
      <x:c r="E165" s="49" t="s">
        <x:v>587</x:v>
      </x:c>
      <x:c r="F165" s="49" t="s">
        <x:v>781</x:v>
      </x:c>
      <x:c r="G165" s="60">
        <x:v>1.03</x:v>
      </x:c>
      <x:c r="H165" s="60">
        <x:v>0</x:v>
      </x:c>
      <x:c r="I165" s="60">
        <x:v>0.86</x:v>
      </x:c>
      <x:c r="J165" s="49" t="s">
        <x:v>782</x:v>
      </x:c>
      <x:c r="K165" s="49" t="s">
        <x:v>132</x:v>
      </x:c>
      <x:c r="L165" s="49" t="s">
        <x:v>783</x:v>
      </x:c>
      <x:c r="M165" s="61">
        <x:v>0.576</x:v>
      </x:c>
      <x:c r="N165" s="49" t="s">
        <x:v>96</x:v>
      </x:c>
      <x:c r="O165" s="49" t="s">
        <x:v>558</x:v>
      </x:c>
      <x:c r="P165" s="49" t="s">
        <x:v>30</x:v>
      </x:c>
      <x:c r="Q165" s="49" t="s">
        <x:v>23</x:v>
      </x:c>
      <x:c r="R165" s="50">
        <x:v>1.03</x:v>
      </x:c>
      <x:c r="S165" s="50">
        <x:f t="shared" si="12"/>
        <x:v>-1</x:v>
      </x:c>
      <x:c r="T165" s="49" t="s">
        <x:v>632</x:v>
      </x:c>
      <x:c r="U165" s="49" t="str">
        <x:f t="shared" si="10"/>
        <x:v>红</x:v>
      </x:c>
      <x:c r="V165" s="50">
        <x:f t="shared" si="11"/>
        <x:v>0.86</x:v>
      </x:c>
      <x:c r="W165" s="50">
        <x:f t="shared" si="13"/>
        <x:v>0.86</x:v>
      </x:c>
      <x:c r="X165" s="57">
        <x:v>0.8</x:v>
      </x:c>
      <x:c r="Y165" s="57">
        <x:v>-0.25</x:v>
      </x:c>
      <x:c r="Z165" s="57">
        <x:v>1.08</x:v>
      </x:c>
      <x:c r="AA165" s="57">
        <x:v>0.25</x:v>
      </x:c>
      <x:c r="AB165" s="57">
        <x:v>0.8</x:v>
      </x:c>
      <x:c r="AC165" s="57">
        <x:v>1.03</x:v>
      </x:c>
      <x:c r="AD165" s="57">
        <x:v>2.7</x:v>
      </x:c>
      <x:c r="AE165" s="57">
        <x:v>3.39</x:v>
      </x:c>
      <x:c r="AF165" s="57">
        <x:v>2.32</x:v>
      </x:c>
      <x:c r="AG165" s="58">
        <x:v>0.0963901038664543</x:v>
      </x:c>
      <x:c r="AH165" s="58">
        <x:v>0.0463901038664543</x:v>
      </x:c>
      <x:c r="AI165" s="58">
        <x:v>0.337808932299049</x:v>
      </x:c>
      <x:c r="AJ165" s="58">
        <x:v>0.269051362008092</x:v>
      </x:c>
      <x:c r="AK165" s="58">
        <x:v>0.393139705692859</x:v>
      </x:c>
      <x:c r="AL165" s="57">
        <x:v>1.19</x:v>
      </x:c>
      <x:c r="AM165" s="57">
        <x:v>1.31</x:v>
      </x:c>
      <x:c r="AN165" s="57">
        <x:v>0.000798638029146783</x:v>
      </x:c>
      <x:c r="AO165" s="57">
        <x:v>1.16976797096388</x:v>
      </x:c>
      <x:c r="AP165" s="57">
        <x:v>-0.139767970963876</x:v>
      </x:c>
      <x:c r="AQ165" s="59" t="s">
        <x:v>150</x:v>
      </x:c>
      <x:c r="AR165" s="57">
        <x:v>0</x:v>
      </x:c>
      <x:c r="AS165" s="57">
        <x:v>0.336694106007066</x:v>
      </x:c>
      <x:c r="AT165" s="57">
        <x:v>0.393853981219381</x:v>
      </x:c>
      <x:c r="AU165" s="57">
        <x:v>2.66</x:v>
      </x:c>
      <x:c r="AV165" s="57">
        <x:v>3.41</x:v>
      </x:c>
      <x:c r="AW165" s="57">
        <x:v>2.4</x:v>
      </x:c>
      <x:c r="AX165" s="59" t="s">
        <x:v>100</x:v>
      </x:c>
      <x:c r="AY165" s="59" t="s">
        <x:v>101</x:v>
      </x:c>
    </x:row>
    <x:row r="166" ht="22" customHeight="1">
      <x:c r="A166" s="49" t="s">
        <x:v>626</x:v>
      </x:c>
      <x:c r="B166" s="49" t="s">
        <x:v>768</x:v>
      </x:c>
      <x:c r="C166" s="49" t="s">
        <x:v>89</x:v>
      </x:c>
      <x:c r="D166" s="49" t="s">
        <x:v>116</x:v>
      </x:c>
      <x:c r="E166" s="49" t="s">
        <x:v>784</x:v>
      </x:c>
      <x:c r="F166" s="49" t="s">
        <x:v>785</x:v>
      </x:c>
      <x:c r="G166" s="60">
        <x:v>0.76</x:v>
      </x:c>
      <x:c r="H166" s="60">
        <x:v>0</x:v>
      </x:c>
      <x:c r="I166" s="60">
        <x:v>0.94</x:v>
      </x:c>
      <x:c r="J166" s="49" t="s">
        <x:v>786</x:v>
      </x:c>
      <x:c r="K166" s="49" t="s">
        <x:v>106</x:v>
      </x:c>
      <x:c r="L166" s="49" t="s">
        <x:v>787</x:v>
      </x:c>
      <x:c r="M166" s="61">
        <x:v>0.574</x:v>
      </x:c>
      <x:c r="N166" s="49" t="s">
        <x:v>96</x:v>
      </x:c>
      <x:c r="O166" s="49" t="s">
        <x:v>273</x:v>
      </x:c>
      <x:c r="P166" s="49" t="s">
        <x:v>30</x:v>
      </x:c>
      <x:c r="Q166" s="49" t="s">
        <x:v>17</x:v>
      </x:c>
      <x:c r="R166" s="50">
        <x:v>0.76</x:v>
      </x:c>
      <x:c r="S166" s="50">
        <x:f t="shared" si="12"/>
        <x:v>0</x:v>
      </x:c>
      <x:c r="T166" s="49" t="s">
        <x:v>632</x:v>
      </x:c>
      <x:c r="U166" s="49" t="str">
        <x:f t="shared" si="10"/>
        <x:v>走</x:v>
      </x:c>
      <x:c r="V166" s="50">
        <x:f t="shared" si="11"/>
        <x:v>0.94</x:v>
      </x:c>
      <x:c r="W166" s="50">
        <x:f t="shared" si="13"/>
        <x:v>0</x:v>
      </x:c>
      <x:c r="X166" s="57">
        <x:v>0.85</x:v>
      </x:c>
      <x:c r="Y166" s="57">
        <x:v>0</x:v>
      </x:c>
      <x:c r="Z166" s="57">
        <x:v>0.85</x:v>
      </x:c>
      <x:c r="AA166" s="57">
        <x:v>0</x:v>
      </x:c>
      <x:c r="AB166" s="57">
        <x:v>0.85</x:v>
      </x:c>
      <x:c r="AC166" s="57">
        <x:v>0.76</x:v>
      </x:c>
      <x:c r="AD166" s="57">
        <x:v>2.56</x:v>
      </x:c>
      <x:c r="AE166" s="57">
        <x:v>3.15</x:v>
      </x:c>
      <x:c r="AF166" s="57">
        <x:v>2.56</x:v>
      </x:c>
      <x:c r="AG166" s="58">
        <x:v>0.0987103174603174</x:v>
      </x:c>
      <x:c r="AH166" s="58">
        <x:v>0.0487103174603174</x:v>
      </x:c>
      <x:c r="AI166" s="58">
        <x:v>0.355530474040632</x:v>
      </x:c>
      <x:c r="AJ166" s="58">
        <x:v>0.288939051918736</x:v>
      </x:c>
      <x:c r="AK166" s="58">
        <x:v>0.355530474040632</x:v>
      </x:c>
      <x:c r="AL166" s="57">
        <x:v>1.12</x:v>
      </x:c>
      <x:c r="AM166" s="57">
        <x:v>1.12</x:v>
      </x:c>
      <x:c r="AN166" s="57">
        <x:v>0.000524687743359328</x:v>
      </x:c>
      <x:c r="AO166" s="57">
        <x:v>1</x:v>
      </x:c>
      <x:c r="AP166" s="57">
        <x:v>-0.24</x:v>
      </x:c>
      <x:c r="AQ166" s="59" t="s">
        <x:v>150</x:v>
      </x:c>
      <x:c r="AR166" s="57">
        <x:v>0</x:v>
      </x:c>
      <x:c r="AS166" s="57">
        <x:v>0.355901484301967</x:v>
      </x:c>
      <x:c r="AT166" s="57">
        <x:v>0.355901484301967</x:v>
      </x:c>
      <x:c r="AU166" s="57">
        <x:v>2.44</x:v>
      </x:c>
      <x:c r="AV166" s="57">
        <x:v>3.12</x:v>
      </x:c>
      <x:c r="AW166" s="57">
        <x:v>2.65</x:v>
      </x:c>
      <x:c r="AX166" s="59" t="s">
        <x:v>100</x:v>
      </x:c>
      <x:c r="AY166" s="59" t="s">
        <x:v>101</x:v>
      </x:c>
    </x:row>
    <x:row r="167" ht="22" customHeight="1">
      <x:c r="A167" s="49" t="s">
        <x:v>626</x:v>
      </x:c>
      <x:c r="B167" s="49" t="s">
        <x:v>788</x:v>
      </x:c>
      <x:c r="C167" s="49" t="s">
        <x:v>89</x:v>
      </x:c>
      <x:c r="D167" s="49" t="s">
        <x:v>116</x:v>
      </x:c>
      <x:c r="E167" s="49" t="s">
        <x:v>789</x:v>
      </x:c>
      <x:c r="F167" s="49" t="s">
        <x:v>790</x:v>
      </x:c>
      <x:c r="G167" s="60">
        <x:v>0.98</x:v>
      </x:c>
      <x:c r="H167" s="60">
        <x:v>1</x:v>
      </x:c>
      <x:c r="I167" s="60">
        <x:v>0.91</x:v>
      </x:c>
      <x:c r="J167" s="49" t="s">
        <x:v>791</x:v>
      </x:c>
      <x:c r="K167" s="49" t="s">
        <x:v>94</x:v>
      </x:c>
      <x:c r="L167" s="49" t="s">
        <x:v>792</x:v>
      </x:c>
      <x:c r="M167" s="61">
        <x:v>0.528</x:v>
      </x:c>
      <x:c r="N167" s="49" t="s">
        <x:v>96</x:v>
      </x:c>
      <x:c r="O167" s="49" t="s">
        <x:v>169</x:v>
      </x:c>
      <x:c r="P167" s="49" t="s">
        <x:v>30</x:v>
      </x:c>
      <x:c r="Q167" s="49" t="s">
        <x:v>23</x:v>
      </x:c>
      <x:c r="R167" s="50">
        <x:v>0.98</x:v>
      </x:c>
      <x:c r="S167" s="50">
        <x:f t="shared" si="12"/>
        <x:v>-1</x:v>
      </x:c>
      <x:c r="T167" s="49" t="s">
        <x:v>632</x:v>
      </x:c>
      <x:c r="U167" s="49" t="str">
        <x:f t="shared" si="10"/>
        <x:v>红</x:v>
      </x:c>
      <x:c r="V167" s="50">
        <x:f t="shared" si="11"/>
        <x:v>0.91</x:v>
      </x:c>
      <x:c r="W167" s="50">
        <x:f t="shared" si="13"/>
        <x:v>0.91</x:v>
      </x:c>
      <x:c r="X167" s="57">
        <x:v>0.82</x:v>
      </x:c>
      <x:c r="Y167" s="57">
        <x:v>0.75</x:v>
      </x:c>
      <x:c r="Z167" s="57">
        <x:v>1.06</x:v>
      </x:c>
      <x:c r="AA167" s="57">
        <x:v>-0.75</x:v>
      </x:c>
      <x:c r="AB167" s="57">
        <x:v>0.82</x:v>
      </x:c>
      <x:c r="AC167" s="57">
        <x:v>0.98</x:v>
      </x:c>
      <x:c r="AD167" s="57">
        <x:v>1.56</x:v>
      </x:c>
      <x:c r="AE167" s="57">
        <x:v>3.97</x:v>
      </x:c>
      <x:c r="AF167" s="57">
        <x:v>5.48</x:v>
      </x:c>
      <x:c r="AG167" s="58">
        <x:v>0.0753965616162016</x:v>
      </x:c>
      <x:c r="AH167" s="58">
        <x:v>0.0253965616162016</x:v>
      </x:c>
      <x:c r="AI167" s="58">
        <x:v>0.596083030117049</x:v>
      </x:c>
      <x:c r="AJ167" s="58">
        <x:v>0.234229099995616</x:v>
      </x:c>
      <x:c r="AK167" s="58">
        <x:v>0.169687869887335</x:v>
      </x:c>
      <x:c r="AL167" s="57">
        <x:v>1.73</x:v>
      </x:c>
      <x:c r="AM167" s="57">
        <x:v>0.8</x:v>
      </x:c>
      <x:c r="AN167" s="57">
        <x:v>0.000642859213632467</x:v>
      </x:c>
      <x:c r="AO167" s="57">
        <x:v>1.20004658103407</x:v>
      </x:c>
      <x:c r="AP167" s="57">
        <x:v>-0.220046581034074</x:v>
      </x:c>
      <x:c r="AQ167" s="59" t="s">
        <x:v>99</x:v>
      </x:c>
      <x:c r="AR167" s="57">
        <x:v>-1</x:v>
      </x:c>
      <x:c r="AS167" s="57">
        <x:v>0.337314169759923</x:v>
      </x:c>
      <x:c r="AT167" s="57">
        <x:v>0.404792716154743</x:v>
      </x:c>
      <x:c r="AU167" s="57">
        <x:v>1.57</x:v>
      </x:c>
      <x:c r="AV167" s="57">
        <x:v>4.01</x:v>
      </x:c>
      <x:c r="AW167" s="57">
        <x:v>5.47</x:v>
      </x:c>
      <x:c r="AX167" s="59" t="s">
        <x:v>100</x:v>
      </x:c>
      <x:c r="AY167" s="59" t="s">
        <x:v>101</x:v>
      </x:c>
    </x:row>
    <x:row r="168" ht="22" customHeight="1">
      <x:c r="A168" s="49" t="s">
        <x:v>626</x:v>
      </x:c>
      <x:c r="B168" s="49" t="s">
        <x:v>788</x:v>
      </x:c>
      <x:c r="C168" s="49" t="s">
        <x:v>333</x:v>
      </x:c>
      <x:c r="D168" s="49" t="s">
        <x:v>116</x:v>
      </x:c>
      <x:c r="E168" s="49" t="s">
        <x:v>597</x:v>
      </x:c>
      <x:c r="F168" s="49" t="s">
        <x:v>793</x:v>
      </x:c>
      <x:c r="G168" s="60">
        <x:v>0.94</x:v>
      </x:c>
      <x:c r="H168" s="60">
        <x:v>-0.75</x:v>
      </x:c>
      <x:c r="I168" s="60">
        <x:v>0.95</x:v>
      </x:c>
      <x:c r="J168" s="49" t="s">
        <x:v>794</x:v>
      </x:c>
      <x:c r="K168" s="49" t="s">
        <x:v>94</x:v>
      </x:c>
      <x:c r="L168" s="49" t="s">
        <x:v>795</x:v>
      </x:c>
      <x:c r="M168" s="61">
        <x:v>0.542</x:v>
      </x:c>
      <x:c r="N168" s="49" t="s">
        <x:v>685</x:v>
      </x:c>
      <x:c r="O168" s="49" t="s">
        <x:v>197</x:v>
      </x:c>
      <x:c r="P168" s="49" t="s">
        <x:v>30</x:v>
      </x:c>
      <x:c r="Q168" s="49" t="s">
        <x:v>11</x:v>
      </x:c>
      <x:c r="R168" s="50">
        <x:v>0.94</x:v>
      </x:c>
      <x:c r="S168" s="50">
        <x:f t="shared" si="12"/>
        <x:v>0.94</x:v>
      </x:c>
      <x:c r="T168" s="49" t="s">
        <x:v>632</x:v>
      </x:c>
      <x:c r="U168" s="49" t="str">
        <x:f t="shared" si="10"/>
        <x:v>黑</x:v>
      </x:c>
      <x:c r="V168" s="50">
        <x:f t="shared" si="11"/>
        <x:v>0.95</x:v>
      </x:c>
      <x:c r="W168" s="50">
        <x:f t="shared" si="13"/>
        <x:v>-1</x:v>
      </x:c>
      <x:c r="X168" s="57">
        <x:v>0.91</x:v>
      </x:c>
      <x:c r="Y168" s="57">
        <x:v>-0.5</x:v>
      </x:c>
      <x:c r="Z168" s="57">
        <x:v>0.97</x:v>
      </x:c>
      <x:c r="AA168" s="57">
        <x:v>0.5</x:v>
      </x:c>
      <x:c r="AB168" s="57">
        <x:v>0.91</x:v>
      </x:c>
      <x:c r="AC168" s="57">
        <x:v>0.94</x:v>
      </x:c>
      <x:c r="AD168" s="57">
        <x:v>3.49</x:v>
      </x:c>
      <x:c r="AE168" s="57">
        <x:v>3.93</x:v>
      </x:c>
      <x:c r="AF168" s="57">
        <x:v>1.93</x:v>
      </x:c>
      <x:c r="AG168" s="58">
        <x:v>0.0591205925239564</x:v>
      </x:c>
      <x:c r="AH168" s="58">
        <x:v>0.0091205925239564</x:v>
      </x:c>
      <x:c r="AI168" s="58">
        <x:v>0.270538551806051</x:v>
      </x:c>
      <x:c r="AJ168" s="58">
        <x:v>0.240249248295959</x:v>
      </x:c>
      <x:c r="AK168" s="58">
        <x:v>0.489212199897989</x:v>
      </x:c>
      <x:c r="AL168" s="57">
        <x:v>1.19</x:v>
      </x:c>
      <x:c r="AM168" s="57">
        <x:v>1.68</x:v>
      </x:c>
      <x:c r="AN168" s="57">
        <x:v>0.000657225505061585</x:v>
      </x:c>
      <x:c r="AO168" s="57">
        <x:v>0.731636827513527</x:v>
      </x:c>
      <x:c r="AP168" s="57">
        <x:v>0.208363172486472</x:v>
      </x:c>
      <x:c r="AQ168" s="59" t="s">
        <x:v>142</x:v>
      </x:c>
      <x:c r="AR168" s="57">
        <x:v>0.75</x:v>
      </x:c>
      <x:c r="AS168" s="57">
        <x:v>0.511641017479902</x:v>
      </x:c>
      <x:c r="AT168" s="57">
        <x:v>0.374335410854789</x:v>
      </x:c>
      <x:c r="AU168" s="57">
        <x:v>4.1</x:v>
      </x:c>
      <x:c r="AV168" s="57">
        <x:v>4.2</x:v>
      </x:c>
      <x:c r="AW168" s="57">
        <x:v>1.75</x:v>
      </x:c>
      <x:c r="AX168" s="59" t="s">
        <x:v>100</x:v>
      </x:c>
      <x:c r="AY168" s="59" t="s">
        <x:v>101</x:v>
      </x:c>
    </x:row>
    <x:row r="169" ht="22" customHeight="1">
      <x:c r="A169" s="49" t="s">
        <x:v>626</x:v>
      </x:c>
      <x:c r="B169" s="49" t="s">
        <x:v>788</x:v>
      </x:c>
      <x:c r="C169" s="49" t="s">
        <x:v>333</x:v>
      </x:c>
      <x:c r="D169" s="49" t="s">
        <x:v>116</x:v>
      </x:c>
      <x:c r="E169" s="49" t="s">
        <x:v>597</x:v>
      </x:c>
      <x:c r="F169" s="49" t="s">
        <x:v>796</x:v>
      </x:c>
      <x:c r="G169" s="60">
        <x:v>0.84</x:v>
      </x:c>
      <x:c r="H169" s="60">
        <x:v>1.25</x:v>
      </x:c>
      <x:c r="I169" s="60">
        <x:v>1.05</x:v>
      </x:c>
      <x:c r="J169" s="49" t="s">
        <x:v>724</x:v>
      </x:c>
      <x:c r="K169" s="49" t="s">
        <x:v>106</x:v>
      </x:c>
      <x:c r="L169" s="49" t="s">
        <x:v>797</x:v>
      </x:c>
      <x:c r="M169" s="61">
        <x:v>0.576</x:v>
      </x:c>
      <x:c r="N169" s="49" t="s">
        <x:v>685</x:v>
      </x:c>
      <x:c r="O169" s="49" t="s">
        <x:v>108</x:v>
      </x:c>
      <x:c r="P169" s="49" t="s">
        <x:v>30</x:v>
      </x:c>
      <x:c r="Q169" s="49" t="s">
        <x:v>11</x:v>
      </x:c>
      <x:c r="R169" s="50">
        <x:v>0.84</x:v>
      </x:c>
      <x:c r="S169" s="50">
        <x:f t="shared" si="12"/>
        <x:v>0.84</x:v>
      </x:c>
      <x:c r="T169" s="49" t="s">
        <x:v>632</x:v>
      </x:c>
      <x:c r="U169" s="49" t="str">
        <x:f t="shared" si="10"/>
        <x:v>黑</x:v>
      </x:c>
      <x:c r="V169" s="50">
        <x:f t="shared" si="11"/>
        <x:v>1.05</x:v>
      </x:c>
      <x:c r="W169" s="50">
        <x:f t="shared" si="13"/>
        <x:v>-1</x:v>
      </x:c>
      <x:c r="X169" s="57">
        <x:v>0.94</x:v>
      </x:c>
      <x:c r="Y169" s="57">
        <x:v>1.25</x:v>
      </x:c>
      <x:c r="Z169" s="57">
        <x:v>0.94</x:v>
      </x:c>
      <x:c r="AA169" s="57">
        <x:v>-1.25</x:v>
      </x:c>
      <x:c r="AB169" s="57">
        <x:v>0.94</x:v>
      </x:c>
      <x:c r="AC169" s="57">
        <x:v>0.84</x:v>
      </x:c>
      <x:c r="AD169" s="57">
        <x:v>1.46</x:v>
      </x:c>
      <x:c r="AE169" s="57">
        <x:v>4.75</x:v>
      </x:c>
      <x:c r="AF169" s="57">
        <x:v>5.83</x:v>
      </x:c>
      <x:c r="AG169" s="58">
        <x:v>0.0669844092597149</x:v>
      </x:c>
      <x:c r="AH169" s="58">
        <x:v>0.0169844092597149</x:v>
      </x:c>
      <x:c r="AI169" s="58">
        <x:v>0.641932066584298</x:v>
      </x:c>
      <x:c r="AJ169" s="58">
        <x:v>0.197309645729068</x:v>
      </x:c>
      <x:c r="AK169" s="58">
        <x:v>0.160758287686634</x:v>
      </x:c>
      <x:c r="AL169" s="57">
        <x:v>2.14</x:v>
      </x:c>
      <x:c r="AM169" s="57">
        <x:v>0.97</x:v>
      </x:c>
      <x:c r="AN169" s="57">
        <x:v>0.000421062484117922</x:v>
      </x:c>
      <x:c r="AO169" s="57">
        <x:v>1.17256255982587</x:v>
      </x:c>
      <x:c r="AP169" s="57">
        <x:v>-0.332562559825871</x:v>
      </x:c>
      <x:c r="AQ169" s="59" t="s">
        <x:v>99</x:v>
      </x:c>
      <x:c r="AR169" s="57">
        <x:v>-1.25</x:v>
      </x:c>
      <x:c r="AS169" s="57">
        <x:v>0.406116973556447</x:v>
      </x:c>
      <x:c r="AT169" s="57">
        <x:v>0.476197558102083</x:v>
      </x:c>
      <x:c r="AU169" s="57">
        <x:v>1.43</x:v>
      </x:c>
      <x:c r="AV169" s="57">
        <x:v>5.04</x:v>
      </x:c>
      <x:c r="AW169" s="57">
        <x:v>6.41</x:v>
      </x:c>
      <x:c r="AX169" s="59" t="s">
        <x:v>100</x:v>
      </x:c>
      <x:c r="AY169" s="59" t="s">
        <x:v>101</x:v>
      </x:c>
    </x:row>
    <x:row r="170" ht="22" customHeight="1">
      <x:c r="A170" s="49" t="s">
        <x:v>626</x:v>
      </x:c>
      <x:c r="B170" s="49" t="s">
        <x:v>788</x:v>
      </x:c>
      <x:c r="C170" s="49" t="s">
        <x:v>333</x:v>
      </x:c>
      <x:c r="D170" s="49" t="s">
        <x:v>116</x:v>
      </x:c>
      <x:c r="E170" s="49" t="s">
        <x:v>597</x:v>
      </x:c>
      <x:c r="F170" s="49" t="s">
        <x:v>798</x:v>
      </x:c>
      <x:c r="G170" s="60">
        <x:v>0.95</x:v>
      </x:c>
      <x:c r="H170" s="60">
        <x:v>-0.5</x:v>
      </x:c>
      <x:c r="I170" s="60">
        <x:v>0.94</x:v>
      </x:c>
      <x:c r="J170" s="49" t="s">
        <x:v>799</x:v>
      </x:c>
      <x:c r="K170" s="49" t="s">
        <x:v>94</x:v>
      </x:c>
      <x:c r="L170" s="49" t="s">
        <x:v>800</x:v>
      </x:c>
      <x:c r="M170" s="61">
        <x:v>0.542</x:v>
      </x:c>
      <x:c r="N170" s="49" t="s">
        <x:v>685</x:v>
      </x:c>
      <x:c r="O170" s="49" t="s">
        <x:v>191</x:v>
      </x:c>
      <x:c r="P170" s="49" t="s">
        <x:v>30</x:v>
      </x:c>
      <x:c r="Q170" s="49" t="s">
        <x:v>23</x:v>
      </x:c>
      <x:c r="R170" s="50">
        <x:v>0.95</x:v>
      </x:c>
      <x:c r="S170" s="50">
        <x:f t="shared" si="12"/>
        <x:v>-1</x:v>
      </x:c>
      <x:c r="T170" s="49" t="s">
        <x:v>632</x:v>
      </x:c>
      <x:c r="U170" s="49" t="str">
        <x:f t="shared" si="10"/>
        <x:v>红</x:v>
      </x:c>
      <x:c r="V170" s="50">
        <x:f t="shared" si="11"/>
        <x:v>0.94</x:v>
      </x:c>
      <x:c r="W170" s="50">
        <x:f t="shared" si="13"/>
        <x:v>0.94</x:v>
      </x:c>
      <x:c r="X170" s="57">
        <x:v>1.01</x:v>
      </x:c>
      <x:c r="Y170" s="57">
        <x:v>-0.25</x:v>
      </x:c>
      <x:c r="Z170" s="57">
        <x:v>0.87</x:v>
      </x:c>
      <x:c r="AA170" s="57">
        <x:v>0.25</x:v>
      </x:c>
      <x:c r="AB170" s="57">
        <x:v>1.01</x:v>
      </x:c>
      <x:c r="AC170" s="57">
        <x:v>0.95</x:v>
      </x:c>
      <x:c r="AD170" s="57">
        <x:v>3.03</x:v>
      </x:c>
      <x:c r="AE170" s="57">
        <x:v>3.56</x:v>
      </x:c>
      <x:c r="AF170" s="57">
        <x:v>2.23</x:v>
      </x:c>
      <x:c r="AG170" s="58">
        <x:v>0.059362372978367</x:v>
      </x:c>
      <x:c r="AH170" s="58">
        <x:v>0.00936237297836699</x:v>
      </x:c>
      <x:c r="AI170" s="58">
        <x:v>0.311539291670754</x:v>
      </x:c>
      <x:c r="AJ170" s="58">
        <x:v>0.265158442068086</x:v>
      </x:c>
      <x:c r="AK170" s="58">
        <x:v>0.42330226626116</x:v>
      </x:c>
      <x:c r="AL170" s="57">
        <x:v>1.15</x:v>
      </x:c>
      <x:c r="AM170" s="57">
        <x:v>1.39</x:v>
      </x:c>
      <x:c r="AN170" s="57">
        <x:v>0.000638579626999258</x:v>
      </x:c>
      <x:c r="AO170" s="57">
        <x:v>0.736273838485353</x:v>
      </x:c>
      <x:c r="AP170" s="57">
        <x:v>0.213726161514647</x:v>
      </x:c>
      <x:c r="AQ170" s="59" t="s">
        <x:v>142</x:v>
      </x:c>
      <x:c r="AR170" s="57">
        <x:v>0.5</x:v>
      </x:c>
      <x:c r="AS170" s="57">
        <x:v>0.575946016022654</x:v>
      </x:c>
      <x:c r="AT170" s="57">
        <x:v>0.424053983977346</x:v>
      </x:c>
      <x:c r="AU170" s="57">
        <x:v>3.62</x:v>
      </x:c>
      <x:c r="AV170" s="57">
        <x:v>3.69</x:v>
      </x:c>
      <x:c r="AW170" s="57">
        <x:v>1.97</x:v>
      </x:c>
      <x:c r="AX170" s="59" t="s">
        <x:v>100</x:v>
      </x:c>
      <x:c r="AY170" s="59" t="s">
        <x:v>101</x:v>
      </x:c>
    </x:row>
    <x:row r="171" ht="22" customHeight="1">
      <x:c r="A171" s="49" t="s">
        <x:v>626</x:v>
      </x:c>
      <x:c r="B171" s="49" t="s">
        <x:v>788</x:v>
      </x:c>
      <x:c r="C171" s="49" t="s">
        <x:v>333</x:v>
      </x:c>
      <x:c r="D171" s="49" t="s">
        <x:v>116</x:v>
      </x:c>
      <x:c r="E171" s="49" t="s">
        <x:v>597</x:v>
      </x:c>
      <x:c r="F171" s="49" t="s">
        <x:v>801</x:v>
      </x:c>
      <x:c r="G171" s="60">
        <x:v>0.91</x:v>
      </x:c>
      <x:c r="H171" s="60">
        <x:v>0.5</x:v>
      </x:c>
      <x:c r="I171" s="60">
        <x:v>0.98</x:v>
      </x:c>
      <x:c r="J171" s="49" t="s">
        <x:v>802</x:v>
      </x:c>
      <x:c r="K171" s="49" t="s">
        <x:v>132</x:v>
      </x:c>
      <x:c r="L171" s="49" t="s">
        <x:v>803</x:v>
      </x:c>
      <x:c r="M171" s="61">
        <x:v>0.603</x:v>
      </x:c>
      <x:c r="N171" s="49" t="s">
        <x:v>685</x:v>
      </x:c>
      <x:c r="O171" s="49" t="s">
        <x:v>155</x:v>
      </x:c>
      <x:c r="P171" s="49" t="s">
        <x:v>30</x:v>
      </x:c>
      <x:c r="Q171" s="49" t="s">
        <x:v>23</x:v>
      </x:c>
      <x:c r="R171" s="50">
        <x:v>0.91</x:v>
      </x:c>
      <x:c r="S171" s="50">
        <x:f t="shared" si="12"/>
        <x:v>-1</x:v>
      </x:c>
      <x:c r="T171" s="49" t="s">
        <x:v>632</x:v>
      </x:c>
      <x:c r="U171" s="49" t="str">
        <x:f t="shared" si="10"/>
        <x:v>红</x:v>
      </x:c>
      <x:c r="V171" s="50">
        <x:f t="shared" si="11"/>
        <x:v>0.98</x:v>
      </x:c>
      <x:c r="W171" s="50">
        <x:f t="shared" si="13"/>
        <x:v>0.98</x:v>
      </x:c>
      <x:c r="X171" s="57">
        <x:v>0.93</x:v>
      </x:c>
      <x:c r="Y171" s="57">
        <x:v>0.75</x:v>
      </x:c>
      <x:c r="Z171" s="57">
        <x:v>0.95</x:v>
      </x:c>
      <x:c r="AA171" s="57">
        <x:v>-0.75</x:v>
      </x:c>
      <x:c r="AB171" s="57">
        <x:v>0.93</x:v>
      </x:c>
      <x:c r="AC171" s="57">
        <x:v>0.91</x:v>
      </x:c>
      <x:c r="AD171" s="57">
        <x:v>1.69</x:v>
      </x:c>
      <x:c r="AE171" s="57">
        <x:v>4.03</x:v>
      </x:c>
      <x:c r="AF171" s="57">
        <x:v>4.55</x:v>
      </x:c>
      <x:c r="AG171" s="58">
        <x:v>0.059635153927958</x:v>
      </x:c>
      <x:c r="AH171" s="58">
        <x:v>0.00963515392795804</x:v>
      </x:c>
      <x:c r="AI171" s="58">
        <x:v>0.558414822439526</x:v>
      </x:c>
      <x:c r="AJ171" s="58">
        <x:v>0.234173957797221</x:v>
      </x:c>
      <x:c r="AK171" s="58">
        <x:v>0.207411219763253</x:v>
      </x:c>
      <x:c r="AL171" s="57">
        <x:v>1.77</x:v>
      </x:c>
      <x:c r="AM171" s="57">
        <x:v>0.98</x:v>
      </x:c>
      <x:c r="AN171" s="57">
        <x:v>0.000778158741345043</x:v>
      </x:c>
      <x:c r="AO171" s="57">
        <x:v>0.787646534530226</x:v>
      </x:c>
      <x:c r="AP171" s="57">
        <x:v>0.122353465469774</x:v>
      </x:c>
      <x:c r="AQ171" s="59" t="s">
        <x:v>165</x:v>
      </x:c>
      <x:c r="AR171" s="57">
        <x:v>-0.5</x:v>
      </x:c>
      <x:c r="AS171" s="57">
        <x:v>0.559394701739955</x:v>
      </x:c>
      <x:c r="AT171" s="57">
        <x:v>0.440605298260045</x:v>
      </x:c>
      <x:c r="AU171" s="57">
        <x:v>1.88</x:v>
      </x:c>
      <x:c r="AV171" s="57">
        <x:v>3.9</x:v>
      </x:c>
      <x:c r="AW171" s="57">
        <x:v>3.76</x:v>
      </x:c>
      <x:c r="AX171" s="59" t="s">
        <x:v>100</x:v>
      </x:c>
      <x:c r="AY171" s="59" t="s">
        <x:v>101</x:v>
      </x:c>
    </x:row>
    <x:row r="172" ht="22" customHeight="1">
      <x:c r="A172" s="49" t="s">
        <x:v>626</x:v>
      </x:c>
      <x:c r="B172" s="49" t="s">
        <x:v>788</x:v>
      </x:c>
      <x:c r="C172" s="49" t="s">
        <x:v>333</x:v>
      </x:c>
      <x:c r="D172" s="49" t="s">
        <x:v>116</x:v>
      </x:c>
      <x:c r="E172" s="49" t="s">
        <x:v>597</x:v>
      </x:c>
      <x:c r="F172" s="49" t="s">
        <x:v>804</x:v>
      </x:c>
      <x:c r="G172" s="60">
        <x:v>0.99</x:v>
      </x:c>
      <x:c r="H172" s="60">
        <x:v>0</x:v>
      </x:c>
      <x:c r="I172" s="60">
        <x:v>0.9</x:v>
      </x:c>
      <x:c r="J172" s="49" t="s">
        <x:v>805</x:v>
      </x:c>
      <x:c r="K172" s="49" t="s">
        <x:v>132</x:v>
      </x:c>
      <x:c r="L172" s="49" t="s">
        <x:v>806</x:v>
      </x:c>
      <x:c r="M172" s="61">
        <x:v>0.603</x:v>
      </x:c>
      <x:c r="N172" s="49" t="s">
        <x:v>685</x:v>
      </x:c>
      <x:c r="O172" s="49" t="s">
        <x:v>642</x:v>
      </x:c>
      <x:c r="P172" s="49" t="s">
        <x:v>30</x:v>
      </x:c>
      <x:c r="Q172" s="49" t="s">
        <x:v>11</x:v>
      </x:c>
      <x:c r="R172" s="50">
        <x:v>0.9</x:v>
      </x:c>
      <x:c r="S172" s="50">
        <x:f t="shared" si="12"/>
        <x:v>0.9</x:v>
      </x:c>
      <x:c r="T172" s="49" t="s">
        <x:v>632</x:v>
      </x:c>
      <x:c r="U172" s="49" t="str">
        <x:f t="shared" si="10"/>
        <x:v>黑</x:v>
      </x:c>
      <x:c r="V172" s="50">
        <x:f t="shared" si="11"/>
        <x:v>0.99</x:v>
      </x:c>
      <x:c r="W172" s="50">
        <x:f t="shared" si="13"/>
        <x:v>-1</x:v>
      </x:c>
      <x:c r="X172" s="57">
        <x:v>0.88</x:v>
      </x:c>
      <x:c r="Y172" s="57">
        <x:v>-0.25</x:v>
      </x:c>
      <x:c r="Z172" s="57">
        <x:v>1</x:v>
      </x:c>
      <x:c r="AA172" s="57">
        <x:v>-0.25</x:v>
      </x:c>
      <x:c r="AB172" s="57">
        <x:v>1</x:v>
      </x:c>
      <x:c r="AC172" s="57">
        <x:v>0.9</x:v>
      </x:c>
      <x:c r="AD172" s="57">
        <x:v>2.7</x:v>
      </x:c>
      <x:c r="AE172" s="57">
        <x:v>3.81</x:v>
      </x:c>
      <x:c r="AF172" s="57">
        <x:v>2.32</x:v>
      </x:c>
      <x:c r="AG172" s="58">
        <x:v>0.0638720447300409</x:v>
      </x:c>
      <x:c r="AH172" s="58">
        <x:v>0.0138720447300409</x:v>
      </x:c>
      <x:c r="AI172" s="58">
        <x:v>0.34813431954061</x:v>
      </x:c>
      <x:c r="AJ172" s="58">
        <x:v>0.246709360304369</x:v>
      </x:c>
      <x:c r="AK172" s="58">
        <x:v>0.405156320155021</x:v>
      </x:c>
      <x:c r="AL172" s="57">
        <x:v>1.39</x:v>
      </x:c>
      <x:c r="AM172" s="57">
        <x:v>1.52</x:v>
      </x:c>
      <x:c r="AN172" s="57">
        <x:v>0.000367428494366808</x:v>
      </x:c>
      <x:c r="AO172" s="57">
        <x:v>0.857200917164703</x:v>
      </x:c>
      <x:c r="AP172" s="57">
        <x:v>0.042799082835297</x:v>
      </x:c>
      <x:c r="AQ172" s="59" t="s">
        <x:v>174</x:v>
      </x:c>
      <x:c r="AR172" s="57">
        <x:v>0</x:v>
      </x:c>
      <x:c r="AS172" s="57">
        <x:v>0.405615110756961</x:v>
      </x:c>
      <x:c r="AT172" s="57">
        <x:v>0.347693644956729</x:v>
      </x:c>
      <x:c r="AU172" s="57">
        <x:v>2.66</x:v>
      </x:c>
      <x:c r="AV172" s="57">
        <x:v>3.79</x:v>
      </x:c>
      <x:c r="AW172" s="57">
        <x:v>2.42</x:v>
      </x:c>
      <x:c r="AX172" s="59" t="s">
        <x:v>100</x:v>
      </x:c>
      <x:c r="AY172" s="59" t="s">
        <x:v>101</x:v>
      </x:c>
    </x:row>
    <x:row r="173" ht="22" customHeight="1">
      <x:c r="A173" s="49" t="s">
        <x:v>626</x:v>
      </x:c>
      <x:c r="B173" s="49" t="s">
        <x:v>807</x:v>
      </x:c>
      <x:c r="C173" s="49" t="s">
        <x:v>136</x:v>
      </x:c>
      <x:c r="D173" s="49" t="s">
        <x:v>116</x:v>
      </x:c>
      <x:c r="E173" s="49" t="s">
        <x:v>563</x:v>
      </x:c>
      <x:c r="F173" s="49" t="s">
        <x:v>808</x:v>
      </x:c>
      <x:c r="G173" s="60">
        <x:v>0.82</x:v>
      </x:c>
      <x:c r="H173" s="60">
        <x:v>1</x:v>
      </x:c>
      <x:c r="I173" s="60">
        <x:v>1.06</x:v>
      </x:c>
      <x:c r="J173" s="49" t="s">
        <x:v>809</x:v>
      </x:c>
      <x:c r="K173" s="49" t="s">
        <x:v>132</x:v>
      </x:c>
      <x:c r="L173" s="49" t="s">
        <x:v>810</x:v>
      </x:c>
      <x:c r="M173" s="61">
        <x:v>0.607</x:v>
      </x:c>
      <x:c r="N173" s="49" t="s">
        <x:v>96</x:v>
      </x:c>
      <x:c r="O173" s="49" t="s">
        <x:v>421</x:v>
      </x:c>
      <x:c r="P173" s="49" t="s">
        <x:v>30</x:v>
      </x:c>
      <x:c r="Q173" s="49" t="s">
        <x:v>17</x:v>
      </x:c>
      <x:c r="R173" s="50">
        <x:v>0.82</x:v>
      </x:c>
      <x:c r="S173" s="50">
        <x:f t="shared" si="12"/>
        <x:v>0</x:v>
      </x:c>
      <x:c r="T173" s="49" t="s">
        <x:v>632</x:v>
      </x:c>
      <x:c r="U173" s="49" t="str">
        <x:f t="shared" si="10"/>
        <x:v>走</x:v>
      </x:c>
      <x:c r="V173" s="50">
        <x:f t="shared" si="11"/>
        <x:v>1.06</x:v>
      </x:c>
      <x:c r="W173" s="50">
        <x:f t="shared" si="13"/>
        <x:v>0</x:v>
      </x:c>
      <x:c r="X173" s="57">
        <x:v>1.02</x:v>
      </x:c>
      <x:c r="Y173" s="57">
        <x:v>1.25</x:v>
      </x:c>
      <x:c r="Z173" s="57">
        <x:v>0.8</x:v>
      </x:c>
      <x:c r="AA173" s="57">
        <x:v>-1.25</x:v>
      </x:c>
      <x:c r="AB173" s="57">
        <x:v>1.02</x:v>
      </x:c>
      <x:c r="AC173" s="57">
        <x:v>0.82</x:v>
      </x:c>
      <x:c r="AD173" s="57">
        <x:v>1.43</x:v>
      </x:c>
      <x:c r="AE173" s="57">
        <x:v>4.4</x:v>
      </x:c>
      <x:c r="AF173" s="57">
        <x:v>5.78</x:v>
      </x:c>
      <x:c r="AG173" s="58">
        <x:v>0.099583807196264</x:v>
      </x:c>
      <x:c r="AH173" s="58">
        <x:v>0.049583807196264</x:v>
      </x:c>
      <x:c r="AI173" s="58">
        <x:v>0.63596853166089</x:v>
      </x:c>
      <x:c r="AJ173" s="58">
        <x:v>0.206689772789789</x:v>
      </x:c>
      <x:c r="AK173" s="58">
        <x:v>0.157341695549321</x:v>
      </x:c>
      <x:c r="AL173" s="57">
        <x:v>2.02</x:v>
      </x:c>
      <x:c r="AM173" s="57">
        <x:v>0.89</x:v>
      </x:c>
      <x:c r="AN173" s="57">
        <x:v>0.000340745153497119</x:v>
      </x:c>
      <x:c r="AO173" s="57">
        <x:v>0.925343529536806</x:v>
      </x:c>
      <x:c r="AP173" s="57">
        <x:v>-0.105343529536806</x:v>
      </x:c>
      <x:c r="AQ173" s="59" t="s">
        <x:v>99</x:v>
      </x:c>
      <x:c r="AR173" s="57">
        <x:v>-1</x:v>
      </x:c>
      <x:c r="AS173" s="57">
        <x:v>0.392937773565414</x:v>
      </x:c>
      <x:c r="AT173" s="57">
        <x:v>0.363602426279354</x:v>
      </x:c>
      <x:c r="AU173" s="57">
        <x:v>1.45</x:v>
      </x:c>
      <x:c r="AV173" s="57">
        <x:v>4.38</x:v>
      </x:c>
      <x:c r="AW173" s="57">
        <x:v>5.54</x:v>
      </x:c>
      <x:c r="AX173" s="59" t="s">
        <x:v>100</x:v>
      </x:c>
      <x:c r="AY173" s="59" t="s">
        <x:v>101</x:v>
      </x:c>
    </x:row>
    <x:row r="174" ht="22" customHeight="1">
      <x:c r="A174" s="49" t="s">
        <x:v>626</x:v>
      </x:c>
      <x:c r="B174" s="49" t="s">
        <x:v>811</x:v>
      </x:c>
      <x:c r="C174" s="49" t="s">
        <x:v>89</x:v>
      </x:c>
      <x:c r="D174" s="49" t="s">
        <x:v>116</x:v>
      </x:c>
      <x:c r="E174" s="49" t="s">
        <x:v>812</x:v>
      </x:c>
      <x:c r="F174" s="49" t="s">
        <x:v>813</x:v>
      </x:c>
      <x:c r="G174" s="60">
        <x:v>0.82</x:v>
      </x:c>
      <x:c r="H174" s="60">
        <x:v>0</x:v>
      </x:c>
      <x:c r="I174" s="60">
        <x:v>1.04</x:v>
      </x:c>
      <x:c r="J174" s="49" t="s">
        <x:v>814</x:v>
      </x:c>
      <x:c r="K174" s="49" t="s">
        <x:v>106</x:v>
      </x:c>
      <x:c r="L174" s="49" t="s">
        <x:v>815</x:v>
      </x:c>
      <x:c r="M174" s="61">
        <x:v>0.574</x:v>
      </x:c>
      <x:c r="N174" s="49" t="s">
        <x:v>96</x:v>
      </x:c>
      <x:c r="O174" s="49" t="s">
        <x:v>191</x:v>
      </x:c>
      <x:c r="P174" s="49" t="s">
        <x:v>30</x:v>
      </x:c>
      <x:c r="Q174" s="49" t="s">
        <x:v>23</x:v>
      </x:c>
      <x:c r="R174" s="50">
        <x:v>0.82</x:v>
      </x:c>
      <x:c r="S174" s="50">
        <x:f t="shared" si="12"/>
        <x:v>-1</x:v>
      </x:c>
      <x:c r="T174" s="49" t="s">
        <x:v>632</x:v>
      </x:c>
      <x:c r="U174" s="49" t="str">
        <x:f t="shared" si="10"/>
        <x:v>红</x:v>
      </x:c>
      <x:c r="V174" s="50">
        <x:f t="shared" si="11"/>
        <x:v>1.04</x:v>
      </x:c>
      <x:c r="W174" s="50">
        <x:f t="shared" si="13"/>
        <x:v>1.04</x:v>
      </x:c>
      <x:c r="X174" s="57">
        <x:v>0.77</x:v>
      </x:c>
      <x:c r="Y174" s="57">
        <x:v>0</x:v>
      </x:c>
      <x:c r="Z174" s="57">
        <x:v>0.99</x:v>
      </x:c>
      <x:c r="AA174" s="57">
        <x:v>0</x:v>
      </x:c>
      <x:c r="AB174" s="57">
        <x:v>0.77</x:v>
      </x:c>
      <x:c r="AC174" s="57">
        <x:v>0.82</x:v>
      </x:c>
      <x:c r="AD174" s="57">
        <x:v>2.43</x:v>
      </x:c>
      <x:c r="AE174" s="57">
        <x:v>3.23</x:v>
      </x:c>
      <x:c r="AF174" s="57">
        <x:v>2.68</x:v>
      </x:c>
      <x:c r="AG174" s="58">
        <x:v>0.0942544853228791</x:v>
      </x:c>
      <x:c r="AH174" s="58">
        <x:v>0.0442544853228791</x:v>
      </x:c>
      <x:c r="AI174" s="58">
        <x:v>0.376075802534571</x:v>
      </x:c>
      <x:c r="AJ174" s="58">
        <x:v>0.282930092928485</x:v>
      </x:c>
      <x:c r="AK174" s="58">
        <x:v>0.340994104536943</x:v>
      </x:c>
      <x:c r="AL174" s="57">
        <x:v>1.19</x:v>
      </x:c>
      <x:c r="AM174" s="57">
        <x:v>1.12</x:v>
      </x:c>
      <x:c r="AN174" s="57">
        <x:v>0.00026976015250365</x:v>
      </x:c>
      <x:c r="AO174" s="57">
        <x:v>0.908191180107255</x:v>
      </x:c>
      <x:c r="AP174" s="57">
        <x:v>-0.0881911801072547</x:v>
      </x:c>
      <x:c r="AQ174" s="59" t="s">
        <x:v>150</x:v>
      </x:c>
      <x:c r="AR174" s="57">
        <x:v>0</x:v>
      </x:c>
      <x:c r="AS174" s="57">
        <x:v>0.375885177541494</x:v>
      </x:c>
      <x:c r="AT174" s="57">
        <x:v>0.341375602976234</x:v>
      </x:c>
      <x:c r="AU174" s="57">
        <x:v>2.52</x:v>
      </x:c>
      <x:c r="AV174" s="57">
        <x:v>3.22</x:v>
      </x:c>
      <x:c r="AW174" s="57">
        <x:v>2.64</x:v>
      </x:c>
      <x:c r="AX174" s="59" t="s">
        <x:v>100</x:v>
      </x:c>
      <x:c r="AY174" s="59" t="s">
        <x:v>101</x:v>
      </x:c>
    </x:row>
    <x:row r="175" ht="22" customHeight="1">
      <x:c r="A175" s="49" t="s">
        <x:v>626</x:v>
      </x:c>
      <x:c r="B175" s="49" t="s">
        <x:v>811</x:v>
      </x:c>
      <x:c r="C175" s="49" t="s">
        <x:v>89</x:v>
      </x:c>
      <x:c r="D175" s="49" t="s">
        <x:v>116</x:v>
      </x:c>
      <x:c r="E175" s="49" t="s">
        <x:v>816</x:v>
      </x:c>
      <x:c r="F175" s="49" t="s">
        <x:v>817</x:v>
      </x:c>
      <x:c r="G175" s="60">
        <x:v>0.98</x:v>
      </x:c>
      <x:c r="H175" s="60">
        <x:v>-0.25</x:v>
      </x:c>
      <x:c r="I175" s="60">
        <x:v>0.78</x:v>
      </x:c>
      <x:c r="J175" s="49" t="s">
        <x:v>818</x:v>
      </x:c>
      <x:c r="K175" s="49" t="s">
        <x:v>106</x:v>
      </x:c>
      <x:c r="L175" s="49" t="s">
        <x:v>819</x:v>
      </x:c>
      <x:c r="M175" s="61">
        <x:v>0.574</x:v>
      </x:c>
      <x:c r="N175" s="49" t="s">
        <x:v>96</x:v>
      </x:c>
      <x:c r="O175" s="49" t="s">
        <x:v>231</x:v>
      </x:c>
      <x:c r="P175" s="49" t="s">
        <x:v>30</x:v>
      </x:c>
      <x:c r="Q175" s="49" t="s">
        <x:v>23</x:v>
      </x:c>
      <x:c r="R175" s="50">
        <x:v>0.78</x:v>
      </x:c>
      <x:c r="S175" s="50">
        <x:f t="shared" si="12"/>
        <x:v>-1</x:v>
      </x:c>
      <x:c r="T175" s="49" t="s">
        <x:v>632</x:v>
      </x:c>
      <x:c r="U175" s="49" t="str">
        <x:f t="shared" ref="U175:U238" si="14">IF(Q175="","",IF(Q175="待结算","待结算",IF(Q175="红","黑",IF(Q175="半红","半黑",IF(Q175="走","走",IF(Q175="半黑","半红","红"))))))</x:f>
        <x:v>红</x:v>
      </x:c>
      <x:c r="V175" s="50" t="n">
        <x:f t="shared" ref="V175:V238" si="15">IF(OR(Q175="",Q175="待结算"),"",IF(L175=LEFT(F175,FIND(" vs ",F175)-1),I175,G175))</x:f>
        <x:v>0.98</x:v>
      </x:c>
      <x:c r="W175" s="50">
        <x:f t="shared" si="13"/>
        <x:v>0.98</x:v>
      </x:c>
      <x:c r="X175" s="57">
        <x:v>1.01</x:v>
      </x:c>
      <x:c r="Y175" s="57">
        <x:v>-0.25</x:v>
      </x:c>
      <x:c r="Z175" s="57">
        <x:v>0.81</x:v>
      </x:c>
      <x:c r="AA175" s="57">
        <x:v>-0.25</x:v>
      </x:c>
      <x:c r="AB175" s="57">
        <x:v>0.81</x:v>
      </x:c>
      <x:c r="AC175" s="57">
        <x:v>0.78</x:v>
      </x:c>
      <x:c r="AD175" s="57">
        <x:v>3.02</x:v>
      </x:c>
      <x:c r="AE175" s="57">
        <x:v>3.9</x:v>
      </x:c>
      <x:c r="AF175" s="57">
        <x:v>1.92</x:v>
      </x:c>
      <x:c r="AG175" s="58">
        <x:v>0.108369417558159</x:v>
      </x:c>
      <x:c r="AH175" s="58">
        <x:v>0.0583694175581593</x:v>
      </x:c>
      <x:c r="AI175" s="58">
        <x:v>0.29875041892086</x:v>
      </x:c>
      <x:c r="AJ175" s="58">
        <x:v>0.231340067984871</x:v>
      </x:c>
      <x:c r="AK175" s="58">
        <x:v>0.469909513094269</x:v>
      </x:c>
      <x:c r="AL175" s="57">
        <x:v>1.38</x:v>
      </x:c>
      <x:c r="AM175" s="57">
        <x:v>1.78</x:v>
      </x:c>
      <x:c r="AN175" s="57">
        <x:v>0.000231378078830497</x:v>
      </x:c>
      <x:c r="AO175" s="57">
        <x:v>0.882301757246253</x:v>
      </x:c>
      <x:c r="AP175" s="57">
        <x:v>-0.102301757246253</x:v>
      </x:c>
      <x:c r="AQ175" s="59" t="s">
        <x:v>99</x:v>
      </x:c>
      <x:c r="AR175" s="57">
        <x:v>-0.25</x:v>
      </x:c>
      <x:c r="AS175" s="57">
        <x:v>0.469884854935482</x:v>
      </x:c>
      <x:c r="AT175" s="57">
        <x:v>0.414580233212976</x:v>
      </x:c>
      <x:c r="AU175" s="57">
        <x:v>2.89</x:v>
      </x:c>
      <x:c r="AV175" s="57">
        <x:v>3.77</x:v>
      </x:c>
      <x:c r="AW175" s="57">
        <x:v>2.03</x:v>
      </x:c>
      <x:c r="AX175" s="59" t="s">
        <x:v>100</x:v>
      </x:c>
      <x:c r="AY175" s="59" t="s">
        <x:v>101</x:v>
      </x:c>
    </x:row>
    <x:row r="176" ht="22" customHeight="1">
      <x:c r="A176" s="49" t="s">
        <x:v>626</x:v>
      </x:c>
      <x:c r="B176" s="49" t="s">
        <x:v>811</x:v>
      </x:c>
      <x:c r="C176" s="49" t="s">
        <x:v>89</x:v>
      </x:c>
      <x:c r="D176" s="49" t="s">
        <x:v>116</x:v>
      </x:c>
      <x:c r="E176" s="49" t="s">
        <x:v>816</x:v>
      </x:c>
      <x:c r="F176" s="49" t="s">
        <x:v>820</x:v>
      </x:c>
      <x:c r="G176" s="60">
        <x:v>0.99</x:v>
      </x:c>
      <x:c r="H176" s="60">
        <x:v>-0.25</x:v>
      </x:c>
      <x:c r="I176" s="60">
        <x:v>0.77</x:v>
      </x:c>
      <x:c r="J176" s="49" t="s">
        <x:v>821</x:v>
      </x:c>
      <x:c r="K176" s="49" t="s">
        <x:v>106</x:v>
      </x:c>
      <x:c r="L176" s="49" t="s">
        <x:v>822</x:v>
      </x:c>
      <x:c r="M176" s="61">
        <x:v>0.574</x:v>
      </x:c>
      <x:c r="N176" s="49" t="s">
        <x:v>96</x:v>
      </x:c>
      <x:c r="O176" s="49" t="s">
        <x:v>114</x:v>
      </x:c>
      <x:c r="P176" s="49" t="s">
        <x:v>30</x:v>
      </x:c>
      <x:c r="Q176" s="49" t="s">
        <x:v>11</x:v>
      </x:c>
      <x:c r="R176" s="50">
        <x:v>0.77</x:v>
      </x:c>
      <x:c r="S176" s="50">
        <x:f t="shared" si="12"/>
        <x:v>0.77</x:v>
      </x:c>
      <x:c r="T176" s="49" t="s">
        <x:v>632</x:v>
      </x:c>
      <x:c r="U176" s="49" t="str">
        <x:f t="shared" si="14"/>
        <x:v>黑</x:v>
      </x:c>
      <x:c r="V176" s="50">
        <x:f t="shared" si="15"/>
        <x:v>0.99</x:v>
      </x:c>
      <x:c r="W176" s="50">
        <x:f t="shared" si="13"/>
        <x:v>-1</x:v>
      </x:c>
      <x:c r="X176" s="57">
        <x:v>0.81</x:v>
      </x:c>
      <x:c r="Y176" s="57">
        <x:v>-0.25</x:v>
      </x:c>
      <x:c r="Z176" s="57">
        <x:v>1.01</x:v>
      </x:c>
      <x:c r="AA176" s="57">
        <x:v>-0.25</x:v>
      </x:c>
      <x:c r="AB176" s="57">
        <x:v>1.01</x:v>
      </x:c>
      <x:c r="AC176" s="57">
        <x:v>0.77</x:v>
      </x:c>
      <x:c r="AD176" s="57">
        <x:v>3.91</x:v>
      </x:c>
      <x:c r="AE176" s="57">
        <x:v>4.06</x:v>
      </x:c>
      <x:c r="AF176" s="57">
        <x:v>1.76</x:v>
      </x:c>
      <x:c r="AG176" s="58">
        <x:v>0.0702417126043549</x:v>
      </x:c>
      <x:c r="AH176" s="58">
        <x:v>0.0202417126043548</x:v>
      </x:c>
      <x:c r="AI176" s="58">
        <x:v>0.238968891504859</x:v>
      </x:c>
      <x:c r="AJ176" s="58">
        <x:v>0.230139991572414</x:v>
      </x:c>
      <x:c r="AK176" s="58">
        <x:v>0.530891116922727</x:v>
      </x:c>
      <x:c r="AL176" s="57">
        <x:v>1.14</x:v>
      </x:c>
      <x:c r="AM176" s="57">
        <x:v>1.81</x:v>
      </x:c>
      <x:c r="AN176" s="57">
        <x:v>0.000344234160090357</x:v>
      </x:c>
      <x:c r="AO176" s="57">
        <x:v>0.667497838577817</x:v>
      </x:c>
      <x:c r="AP176" s="57">
        <x:v>0.102502161422184</x:v>
      </x:c>
      <x:c r="AQ176" s="59" t="s">
        <x:v>165</x:v>
      </x:c>
      <x:c r="AR176" s="57">
        <x:v>-0.25</x:v>
      </x:c>
      <x:c r="AS176" s="57">
        <x:v>0.530551820795173</x:v>
      </x:c>
      <x:c r="AT176" s="57">
        <x:v>0.354142193634303</x:v>
      </x:c>
      <x:c r="AU176" s="57">
        <x:v>2.84</x:v>
      </x:c>
      <x:c r="AV176" s="57">
        <x:v>3.73</x:v>
      </x:c>
      <x:c r="AW176" s="57">
        <x:v>2.08</x:v>
      </x:c>
      <x:c r="AX176" s="59" t="s">
        <x:v>100</x:v>
      </x:c>
      <x:c r="AY176" s="59" t="s">
        <x:v>101</x:v>
      </x:c>
    </x:row>
    <x:row r="177" ht="22" customHeight="1">
      <x:c r="A177" s="49" t="s">
        <x:v>626</x:v>
      </x:c>
      <x:c r="B177" s="49" t="s">
        <x:v>811</x:v>
      </x:c>
      <x:c r="C177" s="49" t="s">
        <x:v>89</x:v>
      </x:c>
      <x:c r="D177" s="49" t="s">
        <x:v>116</x:v>
      </x:c>
      <x:c r="E177" s="49" t="s">
        <x:v>816</x:v>
      </x:c>
      <x:c r="F177" s="49" t="s">
        <x:v>823</x:v>
      </x:c>
      <x:c r="G177" s="60">
        <x:v>0.92</x:v>
      </x:c>
      <x:c r="H177" s="60">
        <x:v>-1.75</x:v>
      </x:c>
      <x:c r="I177" s="60">
        <x:v>0.84</x:v>
      </x:c>
      <x:c r="J177" s="49" t="s">
        <x:v>824</x:v>
      </x:c>
      <x:c r="K177" s="49" t="s">
        <x:v>106</x:v>
      </x:c>
      <x:c r="L177" s="49" t="s">
        <x:v>825</x:v>
      </x:c>
      <x:c r="M177" s="61">
        <x:v>0.574</x:v>
      </x:c>
      <x:c r="N177" s="49" t="s">
        <x:v>96</x:v>
      </x:c>
      <x:c r="O177" s="49" t="s">
        <x:v>126</x:v>
      </x:c>
      <x:c r="P177" s="49" t="s">
        <x:v>30</x:v>
      </x:c>
      <x:c r="Q177" s="49" t="s">
        <x:v>23</x:v>
      </x:c>
      <x:c r="R177" s="50">
        <x:v>0.84</x:v>
      </x:c>
      <x:c r="S177" s="50">
        <x:f t="shared" si="12"/>
        <x:v>-1</x:v>
      </x:c>
      <x:c r="T177" s="49" t="s">
        <x:v>632</x:v>
      </x:c>
      <x:c r="U177" s="49" t="str">
        <x:f t="shared" si="14"/>
        <x:v>红</x:v>
      </x:c>
      <x:c r="V177" s="50">
        <x:f t="shared" si="15"/>
        <x:v>0.92</x:v>
      </x:c>
      <x:c r="W177" s="50">
        <x:f t="shared" si="13"/>
        <x:v>0.92</x:v>
      </x:c>
      <x:c r="X177" s="57">
        <x:v>0.95</x:v>
      </x:c>
      <x:c r="Y177" s="57">
        <x:v>-1.5</x:v>
      </x:c>
      <x:c r="Z177" s="57">
        <x:v>0.87</x:v>
      </x:c>
      <x:c r="AA177" s="57">
        <x:v>-1.5</x:v>
      </x:c>
      <x:c r="AB177" s="57">
        <x:v>0.87</x:v>
      </x:c>
      <x:c r="AC177" s="57">
        <x:v>0.84</x:v>
      </x:c>
      <x:c r="AD177" s="57">
        <x:v>4.72</x:v>
      </x:c>
      <x:c r="AE177" s="57">
        <x:v>4.76</x:v>
      </x:c>
      <x:c r="AF177" s="57">
        <x:v>1.5</x:v>
      </x:c>
      <x:c r="AG177" s="58">
        <x:v>0.0886151070597729</x:v>
      </x:c>
      <x:c r="AH177" s="58">
        <x:v>0.0386151070597729</x:v>
      </x:c>
      <x:c r="AI177" s="58">
        <x:v>0.19461828648684</x:v>
      </x:c>
      <x:c r="AJ177" s="58">
        <x:v>0.192982838701236</x:v>
      </x:c>
      <x:c r="AK177" s="58">
        <x:v>0.612398874811924</x:v>
      </x:c>
      <x:c r="AL177" s="57">
        <x:v>1.23</x:v>
      </x:c>
      <x:c r="AM177" s="57">
        <x:v>2.29</x:v>
      </x:c>
      <x:c r="AN177" s="57">
        <x:v>0.000577173296681744</x:v>
      </x:c>
      <x:c r="AO177" s="57">
        <x:v>2.02372339269536</x:v>
      </x:c>
      <x:c r="AP177" s="57">
        <x:v>-1.18372339269536</x:v>
      </x:c>
      <x:c r="AQ177" s="59" t="s">
        <x:v>99</x:v>
      </x:c>
      <x:c r="AR177" s="57">
        <x:v>-1.75</x:v>
      </x:c>
      <x:c r="AS177" s="57">
        <x:v>0.300694121178296</x:v>
      </x:c>
      <x:c r="AT177" s="57">
        <x:v>0.608521727074491</x:v>
      </x:c>
      <x:c r="AU177" s="57">
        <x:v>6.66</x:v>
      </x:c>
      <x:c r="AV177" s="57">
        <x:v>6.33</x:v>
      </x:c>
      <x:c r="AW177" s="57">
        <x:v>1.27</x:v>
      </x:c>
      <x:c r="AX177" s="59" t="s">
        <x:v>100</x:v>
      </x:c>
      <x:c r="AY177" s="59" t="s">
        <x:v>101</x:v>
      </x:c>
    </x:row>
    <x:row r="178" ht="22" customHeight="1">
      <x:c r="A178" s="49" t="s">
        <x:v>626</x:v>
      </x:c>
      <x:c r="B178" s="49" t="s">
        <x:v>811</x:v>
      </x:c>
      <x:c r="C178" s="49" t="s">
        <x:v>136</x:v>
      </x:c>
      <x:c r="D178" s="49" t="s">
        <x:v>116</x:v>
      </x:c>
      <x:c r="E178" s="49" t="s">
        <x:v>482</x:v>
      </x:c>
      <x:c r="F178" s="49" t="s">
        <x:v>826</x:v>
      </x:c>
      <x:c r="G178" s="60">
        <x:v>0.8</x:v>
      </x:c>
      <x:c r="H178" s="60">
        <x:v>0</x:v>
      </x:c>
      <x:c r="I178" s="60">
        <x:v>1.02</x:v>
      </x:c>
      <x:c r="J178" s="49" t="s">
        <x:v>247</x:v>
      </x:c>
      <x:c r="K178" s="49" t="s">
        <x:v>106</x:v>
      </x:c>
      <x:c r="L178" s="49" t="s">
        <x:v>827</x:v>
      </x:c>
      <x:c r="M178" s="61">
        <x:v>0.572</x:v>
      </x:c>
      <x:c r="N178" s="49" t="s">
        <x:v>96</x:v>
      </x:c>
      <x:c r="O178" s="49" t="s">
        <x:v>126</x:v>
      </x:c>
      <x:c r="P178" s="49" t="s">
        <x:v>30</x:v>
      </x:c>
      <x:c r="Q178" s="49" t="s">
        <x:v>17</x:v>
      </x:c>
      <x:c r="R178" s="50">
        <x:v>0.8</x:v>
      </x:c>
      <x:c r="S178" s="50">
        <x:f t="shared" si="12"/>
        <x:v>0</x:v>
      </x:c>
      <x:c r="T178" s="49" t="s">
        <x:v>632</x:v>
      </x:c>
      <x:c r="U178" s="49" t="str">
        <x:f t="shared" si="14"/>
        <x:v>走</x:v>
      </x:c>
      <x:c r="V178" s="50">
        <x:f t="shared" si="15"/>
        <x:v>1.02</x:v>
      </x:c>
      <x:c r="W178" s="50">
        <x:f t="shared" si="13"/>
        <x:v>0</x:v>
      </x:c>
      <x:c r="X178" s="57">
        <x:v>0.77</x:v>
      </x:c>
      <x:c r="Y178" s="57">
        <x:v>0</x:v>
      </x:c>
      <x:c r="Z178" s="57">
        <x:v>0.99</x:v>
      </x:c>
      <x:c r="AA178" s="57">
        <x:v>0</x:v>
      </x:c>
      <x:c r="AB178" s="57">
        <x:v>0.77</x:v>
      </x:c>
      <x:c r="AC178" s="57">
        <x:v>0.8</x:v>
      </x:c>
      <x:c r="AD178" s="57">
        <x:v>2.38</x:v>
      </x:c>
      <x:c r="AE178" s="57">
        <x:v>3.42</x:v>
      </x:c>
      <x:c r="AF178" s="57">
        <x:v>2.55</x:v>
      </x:c>
      <x:c r="AG178" s="58">
        <x:v>0.104722590790702</x:v>
      </x:c>
      <x:c r="AH178" s="58">
        <x:v>0.0547225907907023</x:v>
      </x:c>
      <x:c r="AI178" s="58">
        <x:v>0.380338078291815</x:v>
      </x:c>
      <x:c r="AJ178" s="58">
        <x:v>0.264679715302491</x:v>
      </x:c>
      <x:c r="AK178" s="58">
        <x:v>0.354982206405694</x:v>
      </x:c>
      <x:c r="AL178" s="57">
        <x:v>1.32</x:v>
      </x:c>
      <x:c r="AM178" s="57">
        <x:v>1.27</x:v>
      </x:c>
      <x:c r="AN178" s="57">
        <x:v>0.000795093444236988</x:v>
      </x:c>
      <x:c r="AO178" s="57">
        <x:v>0.938172479001181</x:v>
      </x:c>
      <x:c r="AP178" s="57">
        <x:v>-0.138172479001181</x:v>
      </x:c>
      <x:c r="AQ178" s="59" t="s">
        <x:v>150</x:v>
      </x:c>
      <x:c r="AR178" s="57">
        <x:v>0</x:v>
      </x:c>
      <x:c r="AS178" s="57">
        <x:v>0.379527750085105</x:v>
      </x:c>
      <x:c r="AT178" s="57">
        <x:v>0.356062490147084</x:v>
      </x:c>
      <x:c r="AU178" s="57">
        <x:v>2.41</x:v>
      </x:c>
      <x:c r="AV178" s="57">
        <x:v>3.19</x:v>
      </x:c>
      <x:c r="AW178" s="57">
        <x:v>2.7</x:v>
      </x:c>
      <x:c r="AX178" s="59" t="s">
        <x:v>100</x:v>
      </x:c>
      <x:c r="AY178" s="59" t="s">
        <x:v>101</x:v>
      </x:c>
    </x:row>
    <x:row r="179" ht="22" customHeight="1">
      <x:c r="A179" s="49" t="s">
        <x:v>626</x:v>
      </x:c>
      <x:c r="B179" s="49" t="s">
        <x:v>811</x:v>
      </x:c>
      <x:c r="C179" s="49" t="s">
        <x:v>136</x:v>
      </x:c>
      <x:c r="D179" s="49" t="s">
        <x:v>116</x:v>
      </x:c>
      <x:c r="E179" s="49" t="s">
        <x:v>726</x:v>
      </x:c>
      <x:c r="F179" s="49" t="s">
        <x:v>828</x:v>
      </x:c>
      <x:c r="G179" s="60">
        <x:v>0.83</x:v>
      </x:c>
      <x:c r="H179" s="60">
        <x:v>0.25</x:v>
      </x:c>
      <x:c r="I179" s="60">
        <x:v>1.03</x:v>
      </x:c>
      <x:c r="J179" s="49" t="s">
        <x:v>829</x:v>
      </x:c>
      <x:c r="K179" s="49" t="s">
        <x:v>106</x:v>
      </x:c>
      <x:c r="L179" s="49" t="s">
        <x:v>830</x:v>
      </x:c>
      <x:c r="M179" s="61">
        <x:v>0.572</x:v>
      </x:c>
      <x:c r="N179" s="49" t="s">
        <x:v>96</x:v>
      </x:c>
      <x:c r="O179" s="49" t="s">
        <x:v>191</x:v>
      </x:c>
      <x:c r="P179" s="49" t="s">
        <x:v>30</x:v>
      </x:c>
      <x:c r="Q179" s="49" t="s">
        <x:v>23</x:v>
      </x:c>
      <x:c r="R179" s="50">
        <x:v>0.83</x:v>
      </x:c>
      <x:c r="S179" s="50">
        <x:f t="shared" si="12"/>
        <x:v>-1</x:v>
      </x:c>
      <x:c r="T179" s="49" t="s">
        <x:v>632</x:v>
      </x:c>
      <x:c r="U179" s="49" t="str">
        <x:f t="shared" si="14"/>
        <x:v>红</x:v>
      </x:c>
      <x:c r="V179" s="50">
        <x:f t="shared" si="15"/>
        <x:v>1.03</x:v>
      </x:c>
      <x:c r="W179" s="50">
        <x:f t="shared" si="13"/>
        <x:v>1.03</x:v>
      </x:c>
      <x:c r="X179" s="57">
        <x:v>0.75</x:v>
      </x:c>
      <x:c r="Y179" s="57">
        <x:v>0.25</x:v>
      </x:c>
      <x:c r="Z179" s="57">
        <x:v>0.95</x:v>
      </x:c>
      <x:c r="AA179" s="57">
        <x:v>-0.25</x:v>
      </x:c>
      <x:c r="AB179" s="57">
        <x:v>0.75</x:v>
      </x:c>
      <x:c r="AC179" s="57">
        <x:v>0.83</x:v>
      </x:c>
      <x:c r="AD179" s="57">
        <x:v>2.14</x:v>
      </x:c>
      <x:c r="AE179" s="57">
        <x:v>3.18</x:v>
      </x:c>
      <x:c r="AF179" s="57">
        <x:v>3.12</x:v>
      </x:c>
      <x:c r="AG179" s="58">
        <x:v>0.10226794894402</x:v>
      </x:c>
      <x:c r="AH179" s="58">
        <x:v>0.0522679489440201</x:v>
      </x:c>
      <x:c r="AI179" s="58">
        <x:v>0.423934779264729</x:v>
      </x:c>
      <x:c r="AJ179" s="58">
        <x:v>0.285289442649849</x:v>
      </x:c>
      <x:c r="AK179" s="58">
        <x:v>0.290775778085423</x:v>
      </x:c>
      <x:c r="AL179" s="57">
        <x:v>1.25</x:v>
      </x:c>
      <x:c r="AM179" s="57">
        <x:v>0.98</x:v>
      </x:c>
      <x:c r="AN179" s="57">
        <x:v>0.000645904319784984</x:v>
      </x:c>
      <x:c r="AO179" s="57">
        <x:v>1.01901416728905</x:v>
      </x:c>
      <x:c r="AP179" s="57">
        <x:v>-0.189014167289051</x:v>
      </x:c>
      <x:c r="AQ179" s="59" t="s">
        <x:v>99</x:v>
      </x:c>
      <x:c r="AR179" s="57">
        <x:v>-0.25</x:v>
      </x:c>
      <x:c r="AS179" s="57">
        <x:v>0.424582672599071</x:v>
      </x:c>
      <x:c r="AT179" s="57">
        <x:v>0.432655758563902</x:v>
      </x:c>
      <x:c r="AU179" s="57">
        <x:v>2.03</x:v>
      </x:c>
      <x:c r="AV179" s="57">
        <x:v>3.17</x:v>
      </x:c>
      <x:c r="AW179" s="57">
        <x:v>3.48</x:v>
      </x:c>
      <x:c r="AX179" s="59" t="s">
        <x:v>100</x:v>
      </x:c>
      <x:c r="AY179" s="59" t="s">
        <x:v>101</x:v>
      </x:c>
    </x:row>
    <x:row r="180" ht="22" customHeight="1">
      <x:c r="A180" s="49" t="s">
        <x:v>626</x:v>
      </x:c>
      <x:c r="B180" s="49" t="s">
        <x:v>811</x:v>
      </x:c>
      <x:c r="C180" s="49" t="s">
        <x:v>89</x:v>
      </x:c>
      <x:c r="D180" s="49" t="s">
        <x:v>116</x:v>
      </x:c>
      <x:c r="E180" s="49" t="s">
        <x:v>831</x:v>
      </x:c>
      <x:c r="F180" s="49" t="s">
        <x:v>832</x:v>
      </x:c>
      <x:c r="G180" s="60">
        <x:v>0.89</x:v>
      </x:c>
      <x:c r="H180" s="60">
        <x:v>-0.5</x:v>
      </x:c>
      <x:c r="I180" s="60">
        <x:v>0.95</x:v>
      </x:c>
      <x:c r="J180" s="49" t="s">
        <x:v>833</x:v>
      </x:c>
      <x:c r="K180" s="49" t="s">
        <x:v>94</x:v>
      </x:c>
      <x:c r="L180" s="49" t="s">
        <x:v>834</x:v>
      </x:c>
      <x:c r="M180" s="61">
        <x:v>0.528</x:v>
      </x:c>
      <x:c r="N180" s="49" t="s">
        <x:v>96</x:v>
      </x:c>
      <x:c r="O180" s="49" t="s">
        <x:v>161</x:v>
      </x:c>
      <x:c r="P180" s="49" t="s">
        <x:v>30</x:v>
      </x:c>
      <x:c r="Q180" s="49" t="s">
        <x:v>23</x:v>
      </x:c>
      <x:c r="R180" s="50">
        <x:v>0.95</x:v>
      </x:c>
      <x:c r="S180" s="50">
        <x:f t="shared" si="12"/>
        <x:v>-1</x:v>
      </x:c>
      <x:c r="T180" s="49" t="s">
        <x:v>632</x:v>
      </x:c>
      <x:c r="U180" s="49" t="str">
        <x:f t="shared" si="14"/>
        <x:v>红</x:v>
      </x:c>
      <x:c r="V180" s="50">
        <x:f t="shared" si="15"/>
        <x:v>0.89</x:v>
      </x:c>
      <x:c r="W180" s="50">
        <x:f t="shared" si="13"/>
        <x:v>0.89</x:v>
      </x:c>
      <x:c r="X180" s="57">
        <x:v>0.9</x:v>
      </x:c>
      <x:c r="Y180" s="57">
        <x:v>-0.25</x:v>
      </x:c>
      <x:c r="Z180" s="57">
        <x:v>0.8</x:v>
      </x:c>
      <x:c r="AA180" s="57">
        <x:v>-0.25</x:v>
      </x:c>
      <x:c r="AB180" s="57">
        <x:v>0.8</x:v>
      </x:c>
      <x:c r="AC180" s="57">
        <x:v>0.95</x:v>
      </x:c>
      <x:c r="AD180" s="57">
        <x:v>3.05</x:v>
      </x:c>
      <x:c r="AE180" s="57">
        <x:v>3.51</x:v>
      </x:c>
      <x:c r="AF180" s="57">
        <x:v>2.06</x:v>
      </x:c>
      <x:c r="AG180" s="58">
        <x:v>0.0982060305631849</x:v>
      </x:c>
      <x:c r="AH180" s="58">
        <x:v>0.0482060305631849</x:v>
      </x:c>
      <x:c r="AI180" s="58">
        <x:v>0.298549491929923</x:v>
      </x:c>
      <x:c r="AJ180" s="58">
        <x:v>0.259423347688395</x:v>
      </x:c>
      <x:c r="AK180" s="58">
        <x:v>0.442027160381682</x:v>
      </x:c>
      <x:c r="AL180" s="57">
        <x:v>1.15</x:v>
      </x:c>
      <x:c r="AM180" s="57">
        <x:v>1.46</x:v>
      </x:c>
      <x:c r="AN180" s="57">
        <x:v>0.000400531520492352</x:v>
      </x:c>
      <x:c r="AO180" s="57">
        <x:v>1.26028420488111</x:v>
      </x:c>
      <x:c r="AP180" s="57">
        <x:v>-0.310284204881112</x:v>
      </x:c>
      <x:c r="AQ180" s="59" t="s">
        <x:v>99</x:v>
      </x:c>
      <x:c r="AR180" s="57">
        <x:v>-0.5</x:v>
      </x:c>
      <x:c r="AS180" s="57">
        <x:v>0.442422239575221</x:v>
      </x:c>
      <x:c r="AT180" s="57">
        <x:v>0.557577760424779</x:v>
      </x:c>
      <x:c r="AU180" s="57">
        <x:v>3.41</x:v>
      </x:c>
      <x:c r="AV180" s="57">
        <x:v>3.58</x:v>
      </x:c>
      <x:c r="AW180" s="57">
        <x:v>1.94</x:v>
      </x:c>
      <x:c r="AX180" s="59" t="s">
        <x:v>100</x:v>
      </x:c>
      <x:c r="AY180" s="59" t="s">
        <x:v>101</x:v>
      </x:c>
    </x:row>
    <x:row r="181" ht="22" customHeight="1">
      <x:c r="A181" s="49" t="s">
        <x:v>626</x:v>
      </x:c>
      <x:c r="B181" s="49" t="s">
        <x:v>811</x:v>
      </x:c>
      <x:c r="C181" s="49" t="s">
        <x:v>89</x:v>
      </x:c>
      <x:c r="D181" s="49" t="s">
        <x:v>116</x:v>
      </x:c>
      <x:c r="E181" s="49" t="s">
        <x:v>831</x:v>
      </x:c>
      <x:c r="F181" s="49" t="s">
        <x:v>835</x:v>
      </x:c>
      <x:c r="G181" s="60">
        <x:v>0.97</x:v>
      </x:c>
      <x:c r="H181" s="60">
        <x:v>1.75</x:v>
      </x:c>
      <x:c r="I181" s="60">
        <x:v>0.87</x:v>
      </x:c>
      <x:c r="J181" s="49" t="s">
        <x:v>836</x:v>
      </x:c>
      <x:c r="K181" s="49" t="s">
        <x:v>94</x:v>
      </x:c>
      <x:c r="L181" s="49" t="s">
        <x:v>837</x:v>
      </x:c>
      <x:c r="M181" s="61">
        <x:v>0.528</x:v>
      </x:c>
      <x:c r="N181" s="49" t="s">
        <x:v>96</x:v>
      </x:c>
      <x:c r="O181" s="49" t="s">
        <x:v>161</x:v>
      </x:c>
      <x:c r="P181" s="49" t="s">
        <x:v>30</x:v>
      </x:c>
      <x:c r="Q181" s="49" t="s">
        <x:v>14</x:v>
      </x:c>
      <x:c r="R181" s="50">
        <x:v>0.97</x:v>
      </x:c>
      <x:c r="S181" s="50">
        <x:f t="shared" si="12"/>
        <x:v>0.485</x:v>
      </x:c>
      <x:c r="T181" s="49" t="s">
        <x:v>632</x:v>
      </x:c>
      <x:c r="U181" s="49" t="str">
        <x:f t="shared" si="14"/>
        <x:v>半黑</x:v>
      </x:c>
      <x:c r="V181" s="50">
        <x:f t="shared" si="15"/>
        <x:v>0.87</x:v>
      </x:c>
      <x:c r="W181" s="50">
        <x:f t="shared" si="13"/>
        <x:v>-0.5</x:v>
      </x:c>
      <x:c r="X181" s="57">
        <x:v>0.8</x:v>
      </x:c>
      <x:c r="Y181" s="57">
        <x:v>1.5</x:v>
      </x:c>
      <x:c r="Z181" s="57">
        <x:v>0.9</x:v>
      </x:c>
      <x:c r="AA181" s="57">
        <x:v>-1.5</x:v>
      </x:c>
      <x:c r="AB181" s="57">
        <x:v>0.8</x:v>
      </x:c>
      <x:c r="AC181" s="57">
        <x:v>0.97</x:v>
      </x:c>
      <x:c r="AD181" s="57">
        <x:v>1.35</x:v>
      </x:c>
      <x:c r="AE181" s="57">
        <x:v>5.31</x:v>
      </x:c>
      <x:c r="AF181" s="57">
        <x:v>6.02</x:v>
      </x:c>
      <x:c r="AG181" s="58">
        <x:v>0.0951776146888483</x:v>
      </x:c>
      <x:c r="AH181" s="58">
        <x:v>0.0451776146888483</x:v>
      </x:c>
      <x:c r="AI181" s="58">
        <x:v>0.676365852265153</x:v>
      </x:c>
      <x:c r="AJ181" s="58">
        <x:v>0.171957420067412</x:v>
      </x:c>
      <x:c r="AK181" s="58">
        <x:v>0.151676727667435</x:v>
      </x:c>
      <x:c r="AL181" s="57">
        <x:v>2.54</x:v>
      </x:c>
      <x:c r="AM181" s="57">
        <x:v>1.14</x:v>
      </x:c>
      <x:c r="AN181" s="57">
        <x:v>0.000426009065459891</x:v>
      </x:c>
      <x:c r="AO181" s="57">
        <x:v>1.46927460305602</x:v>
      </x:c>
      <x:c r="AP181" s="57">
        <x:v>-0.49927460305602</x:v>
      </x:c>
      <x:c r="AQ181" s="59" t="s">
        <x:v>99</x:v>
      </x:c>
      <x:c r="AR181" s="57">
        <x:v>-1.75</x:v>
      </x:c>
      <x:c r="AS181" s="57">
        <x:v>0.365587129702879</x:v>
      </x:c>
      <x:c r="AT181" s="57">
        <x:v>0.537147884876587</x:v>
      </x:c>
      <x:c r="AU181" s="57">
        <x:v>1.29</x:v>
      </x:c>
      <x:c r="AV181" s="57">
        <x:v>5.85</x:v>
      </x:c>
      <x:c r="AW181" s="57">
        <x:v>6.98</x:v>
      </x:c>
      <x:c r="AX181" s="59" t="s">
        <x:v>100</x:v>
      </x:c>
      <x:c r="AY181" s="59" t="s">
        <x:v>101</x:v>
      </x:c>
    </x:row>
    <x:row r="182" ht="22" customHeight="1">
      <x:c r="A182" s="49" t="s">
        <x:v>626</x:v>
      </x:c>
      <x:c r="B182" s="49" t="s">
        <x:v>811</x:v>
      </x:c>
      <x:c r="C182" s="49" t="s">
        <x:v>89</x:v>
      </x:c>
      <x:c r="D182" s="49" t="s">
        <x:v>116</x:v>
      </x:c>
      <x:c r="E182" s="49" t="s">
        <x:v>580</x:v>
      </x:c>
      <x:c r="F182" s="49" t="s">
        <x:v>838</x:v>
      </x:c>
      <x:c r="G182" s="60">
        <x:v>0.83</x:v>
      </x:c>
      <x:c r="H182" s="60">
        <x:v>1.5</x:v>
      </x:c>
      <x:c r="I182" s="60">
        <x:v>1.06</x:v>
      </x:c>
      <x:c r="J182" s="49" t="s">
        <x:v>839</x:v>
      </x:c>
      <x:c r="K182" s="49" t="s">
        <x:v>106</x:v>
      </x:c>
      <x:c r="L182" s="49" t="s">
        <x:v>840</x:v>
      </x:c>
      <x:c r="M182" s="61">
        <x:v>0.574</x:v>
      </x:c>
      <x:c r="N182" s="49" t="s">
        <x:v>96</x:v>
      </x:c>
      <x:c r="O182" s="49" t="s">
        <x:v>108</x:v>
      </x:c>
      <x:c r="P182" s="49" t="s">
        <x:v>30</x:v>
      </x:c>
      <x:c r="Q182" s="49" t="s">
        <x:v>11</x:v>
      </x:c>
      <x:c r="R182" s="50">
        <x:v>0.83</x:v>
      </x:c>
      <x:c r="S182" s="50">
        <x:f t="shared" si="12"/>
        <x:v>0.83</x:v>
      </x:c>
      <x:c r="T182" s="49" t="s">
        <x:v>632</x:v>
      </x:c>
      <x:c r="U182" s="49" t="str">
        <x:f t="shared" si="14"/>
        <x:v>黑</x:v>
      </x:c>
      <x:c r="V182" s="50">
        <x:f t="shared" si="15"/>
        <x:v>1.06</x:v>
      </x:c>
      <x:c r="W182" s="50">
        <x:f t="shared" si="13"/>
        <x:v>-1</x:v>
      </x:c>
      <x:c r="X182" s="57">
        <x:v>0.85</x:v>
      </x:c>
      <x:c r="Y182" s="57">
        <x:v>1.25</x:v>
      </x:c>
      <x:c r="Z182" s="57">
        <x:v>1.03</x:v>
      </x:c>
      <x:c r="AA182" s="57">
        <x:v>-1.25</x:v>
      </x:c>
      <x:c r="AB182" s="57">
        <x:v>0.85</x:v>
      </x:c>
      <x:c r="AC182" s="57">
        <x:v>0.83</x:v>
      </x:c>
      <x:c r="AD182" s="57">
        <x:v>1.38</x:v>
      </x:c>
      <x:c r="AE182" s="57">
        <x:v>4.78</x:v>
      </x:c>
      <x:c r="AF182" s="57">
        <x:v>6.69</x:v>
      </x:c>
      <x:c r="AG182" s="58">
        <x:v>0.0833195331711034</x:v>
      </x:c>
      <x:c r="AH182" s="58">
        <x:v>0.0333195331711034</x:v>
      </x:c>
      <x:c r="AI182" s="58">
        <x:v>0.668904841989006</x:v>
      </x:c>
      <x:c r="AJ182" s="58">
        <x:v>0.193114787017746</x:v>
      </x:c>
      <x:c r="AK182" s="58">
        <x:v>0.137980370993248</x:v>
      </x:c>
      <x:c r="AL182" s="57">
        <x:v>2.15</x:v>
      </x:c>
      <x:c r="AM182" s="57">
        <x:v>0.86</x:v>
      </x:c>
      <x:c r="AN182" s="57">
        <x:v>0.00061055045394898</x:v>
      </x:c>
      <x:c r="AO182" s="57">
        <x:v>1.32399338094034</x:v>
      </x:c>
      <x:c r="AP182" s="57">
        <x:v>-0.493993380940337</x:v>
      </x:c>
      <x:c r="AQ182" s="59" t="s">
        <x:v>99</x:v>
      </x:c>
      <x:c r="AR182" s="57">
        <x:v>-1.5</x:v>
      </x:c>
      <x:c r="AS182" s="57">
        <x:v>0.430293824501074</x:v>
      </x:c>
      <x:c r="AT182" s="57">
        <x:v>0.569706175498926</x:v>
      </x:c>
      <x:c r="AU182" s="57">
        <x:v>1.31</x:v>
      </x:c>
      <x:c r="AV182" s="57">
        <x:v>5.37</x:v>
      </x:c>
      <x:c r="AW182" s="57">
        <x:v>8.25</x:v>
      </x:c>
      <x:c r="AX182" s="59" t="s">
        <x:v>100</x:v>
      </x:c>
      <x:c r="AY182" s="59" t="s">
        <x:v>101</x:v>
      </x:c>
    </x:row>
    <x:row r="183" ht="22" customHeight="1">
      <x:c r="A183" s="49" t="s">
        <x:v>626</x:v>
      </x:c>
      <x:c r="B183" s="49" t="s">
        <x:v>811</x:v>
      </x:c>
      <x:c r="C183" s="49" t="s">
        <x:v>89</x:v>
      </x:c>
      <x:c r="D183" s="49" t="s">
        <x:v>116</x:v>
      </x:c>
      <x:c r="E183" s="49" t="s">
        <x:v>522</x:v>
      </x:c>
      <x:c r="F183" s="49" t="s">
        <x:v>841</x:v>
      </x:c>
      <x:c r="G183" s="60">
        <x:v>1.06</x:v>
      </x:c>
      <x:c r="H183" s="60">
        <x:v>-0.25</x:v>
      </x:c>
      <x:c r="I183" s="60">
        <x:v>0.83</x:v>
      </x:c>
      <x:c r="J183" s="49" t="s">
        <x:v>842</x:v>
      </x:c>
      <x:c r="K183" s="49" t="s">
        <x:v>106</x:v>
      </x:c>
      <x:c r="L183" s="49" t="s">
        <x:v>843</x:v>
      </x:c>
      <x:c r="M183" s="61">
        <x:v>0.574</x:v>
      </x:c>
      <x:c r="N183" s="49" t="s">
        <x:v>96</x:v>
      </x:c>
      <x:c r="O183" s="49" t="s">
        <x:v>642</x:v>
      </x:c>
      <x:c r="P183" s="49" t="s">
        <x:v>30</x:v>
      </x:c>
      <x:c r="Q183" s="49" t="s">
        <x:v>11</x:v>
      </x:c>
      <x:c r="R183" s="50">
        <x:v>0.83</x:v>
      </x:c>
      <x:c r="S183" s="50">
        <x:f t="shared" si="12"/>
        <x:v>0.83</x:v>
      </x:c>
      <x:c r="T183" s="49" t="s">
        <x:v>632</x:v>
      </x:c>
      <x:c r="U183" s="49" t="str">
        <x:f t="shared" si="14"/>
        <x:v>黑</x:v>
      </x:c>
      <x:c r="V183" s="50">
        <x:f t="shared" si="15"/>
        <x:v>1.06</x:v>
      </x:c>
      <x:c r="W183" s="50">
        <x:f t="shared" si="13"/>
        <x:v>-1</x:v>
      </x:c>
      <x:c r="X183" s="57">
        <x:v>0.93</x:v>
      </x:c>
      <x:c r="Y183" s="57">
        <x:v>-0.25</x:v>
      </x:c>
      <x:c r="Z183" s="57">
        <x:v>0.95</x:v>
      </x:c>
      <x:c r="AA183" s="57">
        <x:v>-0.25</x:v>
      </x:c>
      <x:c r="AB183" s="57">
        <x:v>0.95</x:v>
      </x:c>
      <x:c r="AC183" s="57">
        <x:v>0.83</x:v>
      </x:c>
      <x:c r="AD183" s="57">
        <x:v>3.74</x:v>
      </x:c>
      <x:c r="AE183" s="57">
        <x:v>3.51</x:v>
      </x:c>
      <x:c r="AF183" s="57">
        <x:v>1.92</x:v>
      </x:c>
      <x:c r="AG183" s="58">
        <x:v>0.0731132973780033</x:v>
      </x:c>
      <x:c r="AH183" s="58">
        <x:v>0.0231132973780033</x:v>
      </x:c>
      <x:c r="AI183" s="58">
        <x:v>0.249162581246257</x:v>
      </x:c>
      <x:c r="AJ183" s="58">
        <x:v>0.265489474034473</x:v>
      </x:c>
      <x:c r="AK183" s="58">
        <x:v>0.485347944719271</x:v>
      </x:c>
      <x:c r="AL183" s="57">
        <x:v>0.96</x:v>
      </x:c>
      <x:c r="AM183" s="57">
        <x:v>1.45</x:v>
      </x:c>
      <x:c r="AN183" s="57">
        <x:v>0.000599867152551497</x:v>
      </x:c>
      <x:c r="AO183" s="57">
        <x:v>0.789668814456704</x:v>
      </x:c>
      <x:c r="AP183" s="57">
        <x:v>0.0403311855432958</x:v>
      </x:c>
      <x:c r="AQ183" s="59" t="s">
        <x:v>174</x:v>
      </x:c>
      <x:c r="AR183" s="57">
        <x:v>-0.25</x:v>
      </x:c>
      <x:c r="AS183" s="57">
        <x:v>0.484532463352577</x:v>
      </x:c>
      <x:c r="AT183" s="57">
        <x:v>0.382620175901416</x:v>
      </x:c>
      <x:c r="AU183" s="57">
        <x:v>3.55</x:v>
      </x:c>
      <x:c r="AV183" s="57">
        <x:v>3.55</x:v>
      </x:c>
      <x:c r="AW183" s="57">
        <x:v>1.98</x:v>
      </x:c>
      <x:c r="AX183" s="59" t="s">
        <x:v>100</x:v>
      </x:c>
      <x:c r="AY183" s="59" t="s">
        <x:v>101</x:v>
      </x:c>
    </x:row>
    <x:row r="184" ht="22" customHeight="1">
      <x:c r="A184" s="49" t="s">
        <x:v>626</x:v>
      </x:c>
      <x:c r="B184" s="49" t="s">
        <x:v>811</x:v>
      </x:c>
      <x:c r="C184" s="49" t="s">
        <x:v>333</x:v>
      </x:c>
      <x:c r="D184" s="49" t="s">
        <x:v>116</x:v>
      </x:c>
      <x:c r="E184" s="49" t="s">
        <x:v>156</x:v>
      </x:c>
      <x:c r="F184" s="49" t="s">
        <x:v>844</x:v>
      </x:c>
      <x:c r="G184" s="60">
        <x:v>0.82</x:v>
      </x:c>
      <x:c r="H184" s="60">
        <x:v>0.5</x:v>
      </x:c>
      <x:c r="I184" s="60">
        <x:v>1.06</x:v>
      </x:c>
      <x:c r="J184" s="49" t="s">
        <x:v>845</x:v>
      </x:c>
      <x:c r="K184" s="49" t="s">
        <x:v>106</x:v>
      </x:c>
      <x:c r="L184" s="49" t="s">
        <x:v>846</x:v>
      </x:c>
      <x:c r="M184" s="61">
        <x:v>0.576</x:v>
      </x:c>
      <x:c r="N184" s="49" t="s">
        <x:v>685</x:v>
      </x:c>
      <x:c r="O184" s="49" t="s">
        <x:v>201</x:v>
      </x:c>
      <x:c r="P184" s="49" t="s">
        <x:v>30</x:v>
      </x:c>
      <x:c r="Q184" s="49" t="s">
        <x:v>11</x:v>
      </x:c>
      <x:c r="R184" s="50">
        <x:v>0.82</x:v>
      </x:c>
      <x:c r="S184" s="50">
        <x:f t="shared" si="12"/>
        <x:v>0.82</x:v>
      </x:c>
      <x:c r="T184" s="49" t="s">
        <x:v>632</x:v>
      </x:c>
      <x:c r="U184" s="49" t="str">
        <x:f t="shared" si="14"/>
        <x:v>黑</x:v>
      </x:c>
      <x:c r="V184" s="50">
        <x:f t="shared" si="15"/>
        <x:v>1.06</x:v>
      </x:c>
      <x:c r="W184" s="50">
        <x:f t="shared" si="13"/>
        <x:v>-1</x:v>
      </x:c>
      <x:c r="X184" s="57">
        <x:v>0.89</x:v>
      </x:c>
      <x:c r="Y184" s="57">
        <x:v>0.5</x:v>
      </x:c>
      <x:c r="Z184" s="57">
        <x:v>0.99</x:v>
      </x:c>
      <x:c r="AA184" s="57">
        <x:v>-0.5</x:v>
      </x:c>
      <x:c r="AB184" s="57">
        <x:v>0.89</x:v>
      </x:c>
      <x:c r="AC184" s="57">
        <x:v>0.82</x:v>
      </x:c>
      <x:c r="AD184" s="57">
        <x:v>1.96</x:v>
      </x:c>
      <x:c r="AE184" s="57">
        <x:v>3.37</x:v>
      </x:c>
      <x:c r="AF184" s="57">
        <x:v>3.74</x:v>
      </x:c>
      <x:c r="AG184" s="58">
        <x:v>0.0743196658215484</x:v>
      </x:c>
      <x:c r="AH184" s="58">
        <x:v>0.0243196658215484</x:v>
      </x:c>
      <x:c r="AI184" s="58">
        <x:v>0.474909003217857</x:v>
      </x:c>
      <x:c r="AJ184" s="58">
        <x:v>0.276208203651929</x:v>
      </x:c>
      <x:c r="AK184" s="58">
        <x:v>0.248882793130214</x:v>
      </x:c>
      <x:c r="AL184" s="57">
        <x:v>1.37</x:v>
      </x:c>
      <x:c r="AM184" s="57">
        <x:v>0.91</x:v>
      </x:c>
      <x:c r="AN184" s="57">
        <x:v>0.000501895117336514</x:v>
      </x:c>
      <x:c r="AO184" s="57">
        <x:v>1.10439782634208</x:v>
      </x:c>
      <x:c r="AP184" s="57">
        <x:v>-0.284397826342082</x:v>
      </x:c>
      <x:c r="AQ184" s="59" t="s">
        <x:v>99</x:v>
      </x:c>
      <x:c r="AR184" s="57">
        <x:v>-0.5</x:v>
      </x:c>
      <x:c r="AS184" s="57">
        <x:v>0.475195320714727</x:v>
      </x:c>
      <x:c r="AT184" s="57">
        <x:v>0.524804679285273</x:v>
      </x:c>
      <x:c r="AU184" s="57">
        <x:v>1.83</x:v>
      </x:c>
      <x:c r="AV184" s="57">
        <x:v>3.58</x:v>
      </x:c>
      <x:c r="AW184" s="57">
        <x:v>4.21</x:v>
      </x:c>
      <x:c r="AX184" s="59" t="s">
        <x:v>100</x:v>
      </x:c>
      <x:c r="AY184" s="59" t="s">
        <x:v>101</x:v>
      </x:c>
    </x:row>
    <x:row r="185" ht="22" customHeight="1">
      <x:c r="A185" s="49" t="s">
        <x:v>626</x:v>
      </x:c>
      <x:c r="B185" s="49" t="s">
        <x:v>811</x:v>
      </x:c>
      <x:c r="C185" s="49" t="s">
        <x:v>333</x:v>
      </x:c>
      <x:c r="D185" s="49" t="s">
        <x:v>116</x:v>
      </x:c>
      <x:c r="E185" s="49" t="s">
        <x:v>156</x:v>
      </x:c>
      <x:c r="F185" s="49" t="s">
        <x:v>847</x:v>
      </x:c>
      <x:c r="G185" s="60">
        <x:v>0.85</x:v>
      </x:c>
      <x:c r="H185" s="60">
        <x:v>1.25</x:v>
      </x:c>
      <x:c r="I185" s="60">
        <x:v>1.03</x:v>
      </x:c>
      <x:c r="J185" s="49" t="s">
        <x:v>848</x:v>
      </x:c>
      <x:c r="K185" s="49" t="s">
        <x:v>276</x:v>
      </x:c>
      <x:c r="L185" s="49" t="s">
        <x:v>849</x:v>
      </x:c>
      <x:c r="M185" s="61">
        <x:v>0.521</x:v>
      </x:c>
      <x:c r="N185" s="49" t="s">
        <x:v>685</x:v>
      </x:c>
      <x:c r="O185" s="49" t="s">
        <x:v>141</x:v>
      </x:c>
      <x:c r="P185" s="49" t="s">
        <x:v>30</x:v>
      </x:c>
      <x:c r="Q185" s="49" t="s">
        <x:v>23</x:v>
      </x:c>
      <x:c r="R185" s="50">
        <x:v>1.03</x:v>
      </x:c>
      <x:c r="S185" s="50">
        <x:f t="shared" si="12"/>
        <x:v>-1</x:v>
      </x:c>
      <x:c r="T185" s="49" t="s">
        <x:v>632</x:v>
      </x:c>
      <x:c r="U185" s="49" t="str">
        <x:f t="shared" si="14"/>
        <x:v>红</x:v>
      </x:c>
      <x:c r="V185" s="50">
        <x:f t="shared" si="15"/>
        <x:v>0.85</x:v>
      </x:c>
      <x:c r="W185" s="50">
        <x:f t="shared" si="13"/>
        <x:v>0.85</x:v>
      </x:c>
      <x:c r="X185" s="57">
        <x:v>0.88</x:v>
      </x:c>
      <x:c r="Y185" s="57">
        <x:v>1.25</x:v>
      </x:c>
      <x:c r="Z185" s="57">
        <x:v>1</x:v>
      </x:c>
      <x:c r="AA185" s="57">
        <x:v>1.25</x:v>
      </x:c>
      <x:c r="AB185" s="57">
        <x:v>1</x:v>
      </x:c>
      <x:c r="AC185" s="57">
        <x:v>1.03</x:v>
      </x:c>
      <x:c r="AD185" s="57">
        <x:v>1.32</x:v>
      </x:c>
      <x:c r="AE185" s="57">
        <x:v>4.98</x:v>
      </x:c>
      <x:c r="AF185" s="57">
        <x:v>9</x:v>
      </x:c>
      <x:c r="AG185" s="58">
        <x:v>0.0694900815382742</x:v>
      </x:c>
      <x:c r="AH185" s="58">
        <x:v>0.0194900815382742</x:v>
      </x:c>
      <x:c r="AI185" s="58">
        <x:v>0.708352298588985</x:v>
      </x:c>
      <x:c r="AJ185" s="58">
        <x:v>0.187756030951297</x:v>
      </x:c>
      <x:c r="AK185" s="58">
        <x:v>0.103891670459718</x:v>
      </x:c>
      <x:c r="AL185" s="57">
        <x:v>2.08</x:v>
      </x:c>
      <x:c r="AM185" s="57">
        <x:v>0.65</x:v>
      </x:c>
      <x:c r="AN185" s="57">
        <x:v>0.000504426699775194</x:v>
      </x:c>
      <x:c r="AO185" s="57">
        <x:v>1.09459745724365</x:v>
      </x:c>
      <x:c r="AP185" s="57">
        <x:v>-0.064597457243655</x:v>
      </x:c>
      <x:c r="AQ185" s="59" t="s">
        <x:v>289</x:v>
      </x:c>
      <x:c r="AR185" s="57">
        <x:v>1.25</x:v>
      </x:c>
      <x:c r="AS185" s="57">
        <x:v>0.417618084897874</x:v>
      </x:c>
      <x:c r="AT185" s="57">
        <x:v>0.457123693828177</x:v>
      </x:c>
      <x:c r="AU185" s="57">
        <x:v>1.38</x:v>
      </x:c>
      <x:c r="AV185" s="57">
        <x:v>4.92</x:v>
      </x:c>
      <x:c r="AW185" s="57">
        <x:v>7.27</x:v>
      </x:c>
      <x:c r="AX185" s="59" t="s">
        <x:v>100</x:v>
      </x:c>
      <x:c r="AY185" s="59" t="s">
        <x:v>101</x:v>
      </x:c>
    </x:row>
    <x:row r="186" ht="22" customHeight="1">
      <x:c r="A186" s="49" t="s">
        <x:v>626</x:v>
      </x:c>
      <x:c r="B186" s="49" t="s">
        <x:v>811</x:v>
      </x:c>
      <x:c r="C186" s="49" t="s">
        <x:v>333</x:v>
      </x:c>
      <x:c r="D186" s="49" t="s">
        <x:v>116</x:v>
      </x:c>
      <x:c r="E186" s="49" t="s">
        <x:v>145</x:v>
      </x:c>
      <x:c r="F186" s="49" t="s">
        <x:v>850</x:v>
      </x:c>
      <x:c r="G186" s="60">
        <x:v>1</x:v>
      </x:c>
      <x:c r="H186" s="60">
        <x:v>1</x:v>
      </x:c>
      <x:c r="I186" s="60">
        <x:v>0.88</x:v>
      </x:c>
      <x:c r="J186" s="49" t="s">
        <x:v>851</x:v>
      </x:c>
      <x:c r="K186" s="49" t="s">
        <x:v>189</x:v>
      </x:c>
      <x:c r="L186" s="49" t="s">
        <x:v>852</x:v>
      </x:c>
      <x:c r="M186" s="61">
        <x:v>0.519</x:v>
      </x:c>
      <x:c r="N186" s="49" t="s">
        <x:v>685</x:v>
      </x:c>
      <x:c r="O186" s="49" t="s">
        <x:v>126</x:v>
      </x:c>
      <x:c r="P186" s="49" t="s">
        <x:v>30</x:v>
      </x:c>
      <x:c r="Q186" s="49" t="s">
        <x:v>23</x:v>
      </x:c>
      <x:c r="R186" s="50">
        <x:v>1</x:v>
      </x:c>
      <x:c r="S186" s="50">
        <x:f t="shared" si="12"/>
        <x:v>-1</x:v>
      </x:c>
      <x:c r="T186" s="49" t="s">
        <x:v>632</x:v>
      </x:c>
      <x:c r="U186" s="49" t="str">
        <x:f t="shared" si="14"/>
        <x:v>红</x:v>
      </x:c>
      <x:c r="V186" s="50">
        <x:f t="shared" si="15"/>
        <x:v>0.88</x:v>
      </x:c>
      <x:c r="W186" s="50">
        <x:f t="shared" si="13"/>
        <x:v>0.88</x:v>
      </x:c>
      <x:c r="X186" s="57">
        <x:v>0.87</x:v>
      </x:c>
      <x:c r="Y186" s="57">
        <x:v>0.75</x:v>
      </x:c>
      <x:c r="Z186" s="57">
        <x:v>0.95</x:v>
      </x:c>
      <x:c r="AA186" s="57">
        <x:v>-0.75</x:v>
      </x:c>
      <x:c r="AB186" s="57">
        <x:v>0.87</x:v>
      </x:c>
      <x:c r="AC186" s="57">
        <x:v>1</x:v>
      </x:c>
      <x:c r="AD186" s="57">
        <x:v>1.62</x:v>
      </x:c>
      <x:c r="AE186" s="57">
        <x:v>3.9</x:v>
      </x:c>
      <x:c r="AF186" s="57">
        <x:v>4.68</x:v>
      </x:c>
      <x:c r="AG186" s="58">
        <x:v>0.0873694207027542</x:v>
      </x:c>
      <x:c r="AH186" s="58">
        <x:v>0.0373694207027542</x:v>
      </x:c>
      <x:c r="AI186" s="58">
        <x:v>0.567685589519651</x:v>
      </x:c>
      <x:c r="AJ186" s="58">
        <x:v>0.235807860262009</x:v>
      </x:c>
      <x:c r="AK186" s="58">
        <x:v>0.196506550218341</x:v>
      </x:c>
      <x:c r="AL186" s="57">
        <x:v>1.73</x:v>
      </x:c>
      <x:c r="AM186" s="57">
        <x:v>0.91</x:v>
      </x:c>
      <x:c r="AN186" s="57">
        <x:v>0.000469355561697935</x:v>
      </x:c>
      <x:c r="AO186" s="57">
        <x:v>1.3627428063597</x:v>
      </x:c>
      <x:c r="AP186" s="57">
        <x:v>-0.362742806359704</x:v>
      </x:c>
      <x:c r="AQ186" s="59" t="s">
        <x:v>99</x:v>
      </x:c>
      <x:c r="AR186" s="57">
        <x:v>-1</x:v>
      </x:c>
      <x:c r="AS186" s="57">
        <x:v>0.317532171593118</x:v>
      </x:c>
      <x:c r="AT186" s="57">
        <x:v>0.432714682626296</x:v>
      </x:c>
      <x:c r="AU186" s="57">
        <x:v>1.62</x:v>
      </x:c>
      <x:c r="AV186" s="57">
        <x:v>4.05</x:v>
      </x:c>
      <x:c r="AW186" s="57">
        <x:v>4.75</x:v>
      </x:c>
      <x:c r="AX186" s="59" t="s">
        <x:v>100</x:v>
      </x:c>
      <x:c r="AY186" s="59" t="s">
        <x:v>101</x:v>
      </x:c>
    </x:row>
    <x:row r="187" ht="22" customHeight="1">
      <x:c r="A187" s="49" t="s">
        <x:v>626</x:v>
      </x:c>
      <x:c r="B187" s="49" t="s">
        <x:v>811</x:v>
      </x:c>
      <x:c r="C187" s="49" t="s">
        <x:v>333</x:v>
      </x:c>
      <x:c r="D187" s="49" t="s">
        <x:v>116</x:v>
      </x:c>
      <x:c r="E187" s="49" t="s">
        <x:v>145</x:v>
      </x:c>
      <x:c r="F187" s="49" t="s">
        <x:v>853</x:v>
      </x:c>
      <x:c r="G187" s="60">
        <x:v>0.85</x:v>
      </x:c>
      <x:c r="H187" s="60">
        <x:v>0.5</x:v>
      </x:c>
      <x:c r="I187" s="60">
        <x:v>1.03</x:v>
      </x:c>
      <x:c r="J187" s="49" t="s">
        <x:v>854</x:v>
      </x:c>
      <x:c r="K187" s="49" t="s">
        <x:v>276</x:v>
      </x:c>
      <x:c r="L187" s="49" t="s">
        <x:v>855</x:v>
      </x:c>
      <x:c r="M187" s="61">
        <x:v>0.521</x:v>
      </x:c>
      <x:c r="N187" s="49" t="s">
        <x:v>685</x:v>
      </x:c>
      <x:c r="O187" s="49" t="s">
        <x:v>201</x:v>
      </x:c>
      <x:c r="P187" s="49" t="s">
        <x:v>30</x:v>
      </x:c>
      <x:c r="Q187" s="49" t="s">
        <x:v>23</x:v>
      </x:c>
      <x:c r="R187" s="50">
        <x:v>1.03</x:v>
      </x:c>
      <x:c r="S187" s="50">
        <x:f t="shared" si="12"/>
        <x:v>-1</x:v>
      </x:c>
      <x:c r="T187" s="49" t="s">
        <x:v>632</x:v>
      </x:c>
      <x:c r="U187" s="49" t="str">
        <x:f t="shared" si="14"/>
        <x:v>红</x:v>
      </x:c>
      <x:c r="V187" s="50">
        <x:f t="shared" si="15"/>
        <x:v>0.85</x:v>
      </x:c>
      <x:c r="W187" s="50">
        <x:f t="shared" si="13"/>
        <x:v>0.85</x:v>
      </x:c>
      <x:c r="X187" s="57">
        <x:v>0.86</x:v>
      </x:c>
      <x:c r="Y187" s="57">
        <x:v>0.5</x:v>
      </x:c>
      <x:c r="Z187" s="57">
        <x:v>0.96</x:v>
      </x:c>
      <x:c r="AA187" s="57">
        <x:v>0.5</x:v>
      </x:c>
      <x:c r="AB187" s="57">
        <x:v>0.96</x:v>
      </x:c>
      <x:c r="AC187" s="57">
        <x:v>1.03</x:v>
      </x:c>
      <x:c r="AD187" s="57">
        <x:v>1.89</x:v>
      </x:c>
      <x:c r="AE187" s="57">
        <x:v>3.38</x:v>
      </x:c>
      <x:c r="AF187" s="57">
        <x:v>3.83</x:v>
      </x:c>
      <x:c r="AG187" s="58">
        <x:v>0.086055123010335</x:v>
      </x:c>
      <x:c r="AH187" s="58">
        <x:v>0.036055123010335</x:v>
      </x:c>
      <x:c r="AI187" s="58">
        <x:v>0.487176495824599</x:v>
      </x:c>
      <x:c r="AJ187" s="58">
        <x:v>0.272415259499554</x:v>
      </x:c>
      <x:c r="AK187" s="58">
        <x:v>0.240408244675847</x:v>
      </x:c>
      <x:c r="AL187" s="57">
        <x:v>1.4</x:v>
      </x:c>
      <x:c r="AM187" s="57">
        <x:v>0.9</x:v>
      </x:c>
      <x:c r="AN187" s="57">
        <x:v>0.00104449246442304</x:v>
      </x:c>
      <x:c r="AO187" s="57">
        <x:v>0.945145847915663</x:v>
      </x:c>
      <x:c r="AP187" s="57">
        <x:v>0.0848541520843371</x:v>
      </x:c>
      <x:c r="AQ187" s="59" t="s">
        <x:v>142</x:v>
      </x:c>
      <x:c r="AR187" s="57">
        <x:v>0.5</x:v>
      </x:c>
      <x:c r="AS187" s="57">
        <x:v>0.514100267119588</x:v>
      </x:c>
      <x:c r="AT187" s="57">
        <x:v>0.485899732880412</x:v>
      </x:c>
      <x:c r="AU187" s="57">
        <x:v>1.8</x:v>
      </x:c>
      <x:c r="AV187" s="57">
        <x:v>3.54</x:v>
      </x:c>
      <x:c r="AW187" s="57">
        <x:v>4.19</x:v>
      </x:c>
      <x:c r="AX187" s="59" t="s">
        <x:v>100</x:v>
      </x:c>
      <x:c r="AY187" s="59" t="s">
        <x:v>101</x:v>
      </x:c>
    </x:row>
    <x:row r="188" ht="22" customHeight="1">
      <x:c r="A188" s="49" t="s">
        <x:v>626</x:v>
      </x:c>
      <x:c r="B188" s="49" t="s">
        <x:v>811</x:v>
      </x:c>
      <x:c r="C188" s="49" t="s">
        <x:v>333</x:v>
      </x:c>
      <x:c r="D188" s="49" t="s">
        <x:v>116</x:v>
      </x:c>
      <x:c r="E188" s="49" t="s">
        <x:v>609</x:v>
      </x:c>
      <x:c r="F188" s="49" t="s">
        <x:v>856</x:v>
      </x:c>
      <x:c r="G188" s="60">
        <x:v>0.85</x:v>
      </x:c>
      <x:c r="H188" s="60">
        <x:v>0.25</x:v>
      </x:c>
      <x:c r="I188" s="60">
        <x:v>1.04</x:v>
      </x:c>
      <x:c r="J188" s="49" t="s">
        <x:v>857</x:v>
      </x:c>
      <x:c r="K188" s="49" t="s">
        <x:v>276</x:v>
      </x:c>
      <x:c r="L188" s="49" t="s">
        <x:v>858</x:v>
      </x:c>
      <x:c r="M188" s="61">
        <x:v>0.521</x:v>
      </x:c>
      <x:c r="N188" s="49" t="s">
        <x:v>685</x:v>
      </x:c>
      <x:c r="O188" s="49" t="s">
        <x:v>642</x:v>
      </x:c>
      <x:c r="P188" s="49" t="s">
        <x:v>30</x:v>
      </x:c>
      <x:c r="Q188" s="49" t="s">
        <x:v>11</x:v>
      </x:c>
      <x:c r="R188" s="50">
        <x:v>1.04</x:v>
      </x:c>
      <x:c r="S188" s="50">
        <x:f t="shared" si="12"/>
        <x:v>1.04</x:v>
      </x:c>
      <x:c r="T188" s="49" t="s">
        <x:v>632</x:v>
      </x:c>
      <x:c r="U188" s="49" t="str">
        <x:f t="shared" si="14"/>
        <x:v>黑</x:v>
      </x:c>
      <x:c r="V188" s="50">
        <x:f t="shared" si="15"/>
        <x:v>0.85</x:v>
      </x:c>
      <x:c r="W188" s="50">
        <x:f t="shared" si="13"/>
        <x:v>-1</x:v>
      </x:c>
      <x:c r="X188" s="57">
        <x:v>1.03</x:v>
      </x:c>
      <x:c r="Y188" s="57">
        <x:v>0.25</x:v>
      </x:c>
      <x:c r="Z188" s="57">
        <x:v>0.85</x:v>
      </x:c>
      <x:c r="AA188" s="57">
        <x:v>0.25</x:v>
      </x:c>
      <x:c r="AB188" s="57">
        <x:v>0.85</x:v>
      </x:c>
      <x:c r="AC188" s="57">
        <x:v>1.04</x:v>
      </x:c>
      <x:c r="AD188" s="57">
        <x:v>2.26</x:v>
      </x:c>
      <x:c r="AE188" s="57">
        <x:v>3.36</x:v>
      </x:c>
      <x:c r="AF188" s="57">
        <x:v>3.09</x:v>
      </x:c>
      <x:c r="AG188" s="58">
        <x:v>0.0637215191944982</x:v>
      </x:c>
      <x:c r="AH188" s="58">
        <x:v>0.0137215191944982</x:v>
      </x:c>
      <x:c r="AI188" s="58">
        <x:v>0.41597153777735</x:v>
      </x:c>
      <x:c r="AJ188" s="58">
        <x:v>0.279790379576432</x:v>
      </x:c>
      <x:c r="AK188" s="58">
        <x:v>0.304238082646217</x:v>
      </x:c>
      <x:c r="AL188" s="57">
        <x:v>1.28</x:v>
      </x:c>
      <x:c r="AM188" s="57">
        <x:v>1.05</x:v>
      </x:c>
      <x:c r="AN188" s="57">
        <x:v>0.000612372420919347</x:v>
      </x:c>
      <x:c r="AO188" s="57">
        <x:v>0.939491709878483</x:v>
      </x:c>
      <x:c r="AP188" s="57">
        <x:v>0.100508290121517</x:v>
      </x:c>
      <x:c r="AQ188" s="59" t="s">
        <x:v>142</x:v>
      </x:c>
      <x:c r="AR188" s="57">
        <x:v>0.25</x:v>
      </x:c>
      <x:c r="AS188" s="57">
        <x:v>0.443636431374292</x:v>
      </x:c>
      <x:c r="AT188" s="57">
        <x:v>0.416792749476222</x:v>
      </x:c>
      <x:c r="AU188" s="57">
        <x:v>2.17</x:v>
      </x:c>
      <x:c r="AV188" s="57">
        <x:v>3.33</x:v>
      </x:c>
      <x:c r="AW188" s="57">
        <x:v>3.45</x:v>
      </x:c>
      <x:c r="AX188" s="59" t="s">
        <x:v>100</x:v>
      </x:c>
      <x:c r="AY188" s="59" t="s">
        <x:v>101</x:v>
      </x:c>
    </x:row>
    <x:row r="189" ht="22" customHeight="1">
      <x:c r="A189" s="49" t="s">
        <x:v>626</x:v>
      </x:c>
      <x:c r="B189" s="49" t="s">
        <x:v>811</x:v>
      </x:c>
      <x:c r="C189" s="49" t="s">
        <x:v>333</x:v>
      </x:c>
      <x:c r="D189" s="49" t="s">
        <x:v>116</x:v>
      </x:c>
      <x:c r="E189" s="49" t="s">
        <x:v>609</x:v>
      </x:c>
      <x:c r="F189" s="49" t="s">
        <x:v>859</x:v>
      </x:c>
      <x:c r="G189" s="60">
        <x:v>1.06</x:v>
      </x:c>
      <x:c r="H189" s="60">
        <x:v>2.25</x:v>
      </x:c>
      <x:c r="I189" s="60">
        <x:v>0.83</x:v>
      </x:c>
      <x:c r="J189" s="49" t="s">
        <x:v>624</x:v>
      </x:c>
      <x:c r="K189" s="49" t="s">
        <x:v>189</x:v>
      </x:c>
      <x:c r="L189" s="49" t="s">
        <x:v>860</x:v>
      </x:c>
      <x:c r="M189" s="61">
        <x:v>0.519</x:v>
      </x:c>
      <x:c r="N189" s="49" t="s">
        <x:v>685</x:v>
      </x:c>
      <x:c r="O189" s="49" t="s">
        <x:v>201</x:v>
      </x:c>
      <x:c r="P189" s="49" t="s">
        <x:v>30</x:v>
      </x:c>
      <x:c r="Q189" s="49" t="s">
        <x:v>23</x:v>
      </x:c>
      <x:c r="R189" s="50">
        <x:v>1.06</x:v>
      </x:c>
      <x:c r="S189" s="50">
        <x:f t="shared" si="12"/>
        <x:v>-1</x:v>
      </x:c>
      <x:c r="T189" s="49" t="s">
        <x:v>632</x:v>
      </x:c>
      <x:c r="U189" s="49" t="str">
        <x:f t="shared" si="14"/>
        <x:v>红</x:v>
      </x:c>
      <x:c r="V189" s="50">
        <x:f t="shared" si="15"/>
        <x:v>0.83</x:v>
      </x:c>
      <x:c r="W189" s="50">
        <x:f t="shared" si="13"/>
        <x:v>0.83</x:v>
      </x:c>
      <x:c r="X189" s="57">
        <x:v>1.03</x:v>
      </x:c>
      <x:c r="Y189" s="57">
        <x:v>2</x:v>
      </x:c>
      <x:c r="Z189" s="57">
        <x:v>0.85</x:v>
      </x:c>
      <x:c r="AA189" s="57">
        <x:v>-2</x:v>
      </x:c>
      <x:c r="AB189" s="57">
        <x:v>1.03</x:v>
      </x:c>
      <x:c r="AC189" s="57">
        <x:v>1.06</x:v>
      </x:c>
      <x:c r="AD189" s="57">
        <x:v>1.19</x:v>
      </x:c>
      <x:c r="AE189" s="57">
        <x:v>7.27</x:v>
      </x:c>
      <x:c r="AF189" s="57">
        <x:v>12.34</x:v>
      </x:c>
      <x:c r="AG189" s="58">
        <x:v>0.0589249934444607</x:v>
      </x:c>
      <x:c r="AH189" s="58">
        <x:v>0.00892499344446067</x:v>
      </x:c>
      <x:c r="AI189" s="58">
        <x:v>0.79357474765077</x:v>
      </x:c>
      <x:c r="AJ189" s="58">
        <x:v>0.129897379601708</x:v>
      </x:c>
      <x:c r="AK189" s="58">
        <x:v>0.0765278727475216</x:v>
      </x:c>
      <x:c r="AL189" s="57">
        <x:v>2.83</x:v>
      </x:c>
      <x:c r="AM189" s="57">
        <x:v>0.79</x:v>
      </x:c>
      <x:c r="AN189" s="57">
        <x:v>0.000129742567763981</x:v>
      </x:c>
      <x:c r="AO189" s="57">
        <x:v>1.33985538730957</x:v>
      </x:c>
      <x:c r="AP189" s="57">
        <x:v>-0.279855387309569</x:v>
      </x:c>
      <x:c r="AQ189" s="59" t="s">
        <x:v>99</x:v>
      </x:c>
      <x:c r="AR189" s="57">
        <x:v>-2.25</x:v>
      </x:c>
      <x:c r="AS189" s="57">
        <x:v>0.381823940494298</x:v>
      </x:c>
      <x:c r="AT189" s="57">
        <x:v>0.511588863675054</x:v>
      </x:c>
      <x:c r="AU189" s="57">
        <x:v>1.17</x:v>
      </x:c>
      <x:c r="AV189" s="57">
        <x:v>8.08</x:v>
      </x:c>
      <x:c r="AW189" s="57">
        <x:v>14.7</x:v>
      </x:c>
      <x:c r="AX189" s="59" t="s">
        <x:v>100</x:v>
      </x:c>
      <x:c r="AY189" s="59" t="s">
        <x:v>101</x:v>
      </x:c>
    </x:row>
    <x:row r="190" ht="22" customHeight="1">
      <x:c r="A190" s="49" t="s">
        <x:v>626</x:v>
      </x:c>
      <x:c r="B190" s="49" t="s">
        <x:v>811</x:v>
      </x:c>
      <x:c r="C190" s="49" t="s">
        <x:v>333</x:v>
      </x:c>
      <x:c r="D190" s="49" t="s">
        <x:v>116</x:v>
      </x:c>
      <x:c r="E190" s="49" t="s">
        <x:v>609</x:v>
      </x:c>
      <x:c r="F190" s="49" t="s">
        <x:v>861</x:v>
      </x:c>
      <x:c r="G190" s="60">
        <x:v>0.82</x:v>
      </x:c>
      <x:c r="H190" s="60">
        <x:v>0</x:v>
      </x:c>
      <x:c r="I190" s="60">
        <x:v>1.07</x:v>
      </x:c>
      <x:c r="J190" s="49" t="s">
        <x:v>862</x:v>
      </x:c>
      <x:c r="K190" s="49" t="s">
        <x:v>106</x:v>
      </x:c>
      <x:c r="L190" s="49" t="s">
        <x:v>863</x:v>
      </x:c>
      <x:c r="M190" s="61">
        <x:v>0.576</x:v>
      </x:c>
      <x:c r="N190" s="49" t="s">
        <x:v>685</x:v>
      </x:c>
      <x:c r="O190" s="49" t="s">
        <x:v>149</x:v>
      </x:c>
      <x:c r="P190" s="49" t="s">
        <x:v>30</x:v>
      </x:c>
      <x:c r="Q190" s="49" t="s">
        <x:v>17</x:v>
      </x:c>
      <x:c r="R190" s="50">
        <x:v>0.82</x:v>
      </x:c>
      <x:c r="S190" s="50">
        <x:f t="shared" si="12"/>
        <x:v>0</x:v>
      </x:c>
      <x:c r="T190" s="49" t="s">
        <x:v>632</x:v>
      </x:c>
      <x:c r="U190" s="49" t="str">
        <x:f t="shared" si="14"/>
        <x:v>走</x:v>
      </x:c>
      <x:c r="V190" s="50">
        <x:f t="shared" si="15"/>
        <x:v>1.07</x:v>
      </x:c>
      <x:c r="W190" s="50">
        <x:f t="shared" si="13"/>
        <x:v>0</x:v>
      </x:c>
      <x:c r="X190" s="57">
        <x:v>1.03</x:v>
      </x:c>
      <x:c r="Y190" s="57">
        <x:v>0</x:v>
      </x:c>
      <x:c r="Z190" s="57">
        <x:v>0.85</x:v>
      </x:c>
      <x:c r="AA190" s="57">
        <x:v>0</x:v>
      </x:c>
      <x:c r="AB190" s="57">
        <x:v>1.03</x:v>
      </x:c>
      <x:c r="AC190" s="57">
        <x:v>0.82</x:v>
      </x:c>
      <x:c r="AD190" s="57">
        <x:v>2.56</x:v>
      </x:c>
      <x:c r="AE190" s="57">
        <x:v>3.34</x:v>
      </x:c>
      <x:c r="AF190" s="57">
        <x:v>2.67</x:v>
      </x:c>
      <x:c r="AG190" s="58">
        <x:v>0.0645580328107829</x:v>
      </x:c>
      <x:c r="AH190" s="58">
        <x:v>0.0145580328107829</x:v>
      </x:c>
      <x:c r="AI190" s="58">
        <x:v>0.366936313437626</x:v>
      </x:c>
      <x:c r="AJ190" s="58">
        <x:v>0.281244599521055</x:v>
      </x:c>
      <x:c r="AK190" s="58">
        <x:v>0.351819087041319</x:v>
      </x:c>
      <x:c r="AL190" s="57">
        <x:v>1.18</x:v>
      </x:c>
      <x:c r="AM190" s="57">
        <x:v>1.15</x:v>
      </x:c>
      <x:c r="AN190" s="57">
        <x:v>0.0002251865580083</x:v>
      </x:c>
      <x:c r="AO190" s="57">
        <x:v>0.959800968423097</x:v>
      </x:c>
      <x:c r="AP190" s="57">
        <x:v>-0.139800968423097</x:v>
      </x:c>
      <x:c r="AQ190" s="59" t="s">
        <x:v>150</x:v>
      </x:c>
      <x:c r="AR190" s="57">
        <x:v>0</x:v>
      </x:c>
      <x:c r="AS190" s="57">
        <x:v>0.366631120062211</x:v>
      </x:c>
      <x:c r="AT190" s="57">
        <x:v>0.351892904089755</x:v>
      </x:c>
      <x:c r="AU190" s="57">
        <x:v>2.45</x:v>
      </x:c>
      <x:c r="AV190" s="57">
        <x:v>3.43</x:v>
      </x:c>
      <x:c r="AW190" s="57">
        <x:v>2.85</x:v>
      </x:c>
      <x:c r="AX190" s="59" t="s">
        <x:v>100</x:v>
      </x:c>
      <x:c r="AY190" s="59" t="s">
        <x:v>101</x:v>
      </x:c>
    </x:row>
    <x:row r="191" ht="22" customHeight="1">
      <x:c r="A191" s="49" t="s">
        <x:v>626</x:v>
      </x:c>
      <x:c r="B191" s="49" t="s">
        <x:v>864</x:v>
      </x:c>
      <x:c r="C191" s="49" t="s">
        <x:v>333</x:v>
      </x:c>
      <x:c r="D191" s="49" t="s">
        <x:v>116</x:v>
      </x:c>
      <x:c r="E191" s="49" t="s">
        <x:v>865</x:v>
      </x:c>
      <x:c r="F191" s="49" t="s">
        <x:v>866</x:v>
      </x:c>
      <x:c r="G191" s="60">
        <x:v>0.78</x:v>
      </x:c>
      <x:c r="H191" s="60">
        <x:v>-0.25</x:v>
      </x:c>
      <x:c r="I191" s="60">
        <x:v>1.12</x:v>
      </x:c>
      <x:c r="J191" s="49" t="s">
        <x:v>867</x:v>
      </x:c>
      <x:c r="K191" s="49" t="s">
        <x:v>189</x:v>
      </x:c>
      <x:c r="L191" s="49" t="s">
        <x:v>868</x:v>
      </x:c>
      <x:c r="M191" s="61">
        <x:v>0.519</x:v>
      </x:c>
      <x:c r="N191" s="49" t="s">
        <x:v>685</x:v>
      </x:c>
      <x:c r="O191" s="49" t="s">
        <x:v>114</x:v>
      </x:c>
      <x:c r="P191" s="49" t="s">
        <x:v>30</x:v>
      </x:c>
      <x:c r="Q191" s="49" t="s">
        <x:v>11</x:v>
      </x:c>
      <x:c r="R191" s="50">
        <x:v>1.12</x:v>
      </x:c>
      <x:c r="S191" s="50">
        <x:f t="shared" si="12"/>
        <x:v>1.12</x:v>
      </x:c>
      <x:c r="T191" s="49" t="s">
        <x:v>632</x:v>
      </x:c>
      <x:c r="U191" s="49" t="str">
        <x:f t="shared" si="14"/>
        <x:v>黑</x:v>
      </x:c>
      <x:c r="V191" s="50">
        <x:f t="shared" si="15"/>
        <x:v>0.78</x:v>
      </x:c>
      <x:c r="W191" s="50">
        <x:f t="shared" si="13"/>
        <x:v>-1</x:v>
      </x:c>
      <x:c r="X191" s="57">
        <x:v>1.04</x:v>
      </x:c>
      <x:c r="Y191" s="57">
        <x:v>0</x:v>
      </x:c>
      <x:c r="Z191" s="57">
        <x:v>0.78</x:v>
      </x:c>
      <x:c r="AA191" s="57">
        <x:v>0</x:v>
      </x:c>
      <x:c r="AB191" s="57">
        <x:v>0.78</x:v>
      </x:c>
      <x:c r="AC191" s="57">
        <x:v>1.12</x:v>
      </x:c>
      <x:c r="AD191" s="57">
        <x:v>2.8</x:v>
      </x:c>
      <x:c r="AE191" s="57">
        <x:v>3.22</x:v>
      </x:c>
      <x:c r="AF191" s="57">
        <x:v>2.39</x:v>
      </x:c>
      <x:c r="AG191" s="58">
        <x:v>0.0861119051950414</x:v>
      </x:c>
      <x:c r="AH191" s="58">
        <x:v>0.0361119051950414</x:v>
      </x:c>
      <x:c r="AI191" s="58">
        <x:v>0.328826942633248</x:v>
      </x:c>
      <x:c r="AJ191" s="58">
        <x:v>0.285936471854998</x:v>
      </x:c>
      <x:c r="AK191" s="58">
        <x:v>0.385236585511754</x:v>
      </x:c>
      <x:c r="AL191" s="57">
        <x:v>1.08</x:v>
      </x:c>
      <x:c r="AM191" s="57">
        <x:v>1.19</x:v>
      </x:c>
      <x:c r="AN191" s="57">
        <x:v>0.000839054578677155</x:v>
      </x:c>
      <x:c r="AO191" s="57">
        <x:v>1.2289564791102</x:v>
      </x:c>
      <x:c r="AP191" s="57">
        <x:v>-0.108956479110195</x:v>
      </x:c>
      <x:c r="AQ191" s="59" t="s">
        <x:v>99</x:v>
      </x:c>
      <x:c r="AR191" s="57">
        <x:v>-0.25</x:v>
      </x:c>
      <x:c r="AS191" s="57">
        <x:v>0.38462894950629</x:v>
      </x:c>
      <x:c r="AT191" s="57">
        <x:v>0.472692239549103</x:v>
      </x:c>
      <x:c r="AU191" s="57">
        <x:v>2.86</x:v>
      </x:c>
      <x:c r="AV191" s="57">
        <x:v>3.25</x:v>
      </x:c>
      <x:c r="AW191" s="57">
        <x:v>2.38</x:v>
      </x:c>
      <x:c r="AX191" s="59" t="s">
        <x:v>100</x:v>
      </x:c>
      <x:c r="AY191" s="59" t="s">
        <x:v>101</x:v>
      </x:c>
    </x:row>
    <x:row r="192" ht="22" customHeight="1">
      <x:c r="A192" s="49" t="s">
        <x:v>626</x:v>
      </x:c>
      <x:c r="B192" s="49" t="s">
        <x:v>864</x:v>
      </x:c>
      <x:c r="C192" s="49" t="s">
        <x:v>333</x:v>
      </x:c>
      <x:c r="D192" s="49" t="s">
        <x:v>116</x:v>
      </x:c>
      <x:c r="E192" s="49" t="s">
        <x:v>613</x:v>
      </x:c>
      <x:c r="F192" s="49" t="s">
        <x:v>869</x:v>
      </x:c>
      <x:c r="G192" s="60">
        <x:v>0.8</x:v>
      </x:c>
      <x:c r="H192" s="60">
        <x:v>-0.25</x:v>
      </x:c>
      <x:c r="I192" s="60">
        <x:v>1.09</x:v>
      </x:c>
      <x:c r="J192" s="49" t="s">
        <x:v>870</x:v>
      </x:c>
      <x:c r="K192" s="49" t="s">
        <x:v>189</x:v>
      </x:c>
      <x:c r="L192" s="49" t="s">
        <x:v>871</x:v>
      </x:c>
      <x:c r="M192" s="61">
        <x:v>0.519</x:v>
      </x:c>
      <x:c r="N192" s="49" t="s">
        <x:v>685</x:v>
      </x:c>
      <x:c r="O192" s="49" t="s">
        <x:v>141</x:v>
      </x:c>
      <x:c r="P192" s="49" t="s">
        <x:v>30</x:v>
      </x:c>
      <x:c r="Q192" s="49" t="s">
        <x:v>23</x:v>
      </x:c>
      <x:c r="R192" s="50">
        <x:v>1.09</x:v>
      </x:c>
      <x:c r="S192" s="50">
        <x:f t="shared" si="12"/>
        <x:v>-1</x:v>
      </x:c>
      <x:c r="T192" s="49" t="s">
        <x:v>632</x:v>
      </x:c>
      <x:c r="U192" s="49" t="str">
        <x:f t="shared" si="14"/>
        <x:v>红</x:v>
      </x:c>
      <x:c r="V192" s="50">
        <x:f t="shared" si="15"/>
        <x:v>0.8</x:v>
      </x:c>
      <x:c r="W192" s="50">
        <x:f t="shared" si="13"/>
        <x:v>0.8</x:v>
      </x:c>
      <x:c r="X192" s="57">
        <x:v>1.07</x:v>
      </x:c>
      <x:c r="Y192" s="57">
        <x:v>0</x:v>
      </x:c>
      <x:c r="Z192" s="57">
        <x:v>0.81</x:v>
      </x:c>
      <x:c r="AA192" s="57">
        <x:v>0</x:v>
      </x:c>
      <x:c r="AB192" s="57">
        <x:v>0.81</x:v>
      </x:c>
      <x:c r="AC192" s="57">
        <x:v>1.09</x:v>
      </x:c>
      <x:c r="AD192" s="57">
        <x:v>2.8</x:v>
      </x:c>
      <x:c r="AE192" s="57">
        <x:v>3.42</x:v>
      </x:c>
      <x:c r="AF192" s="57">
        <x:v>2.42</x:v>
      </x:c>
      <x:c r="AG192" s="58">
        <x:v>0.0627636584574383</x:v>
      </x:c>
      <x:c r="AH192" s="58">
        <x:v>0.0127636584574382</x:v>
      </x:c>
      <x:c r="AI192" s="58">
        <x:v>0.336051063000439</x:v>
      </x:c>
      <x:c r="AJ192" s="58">
        <x:v>0.275129525263517</x:v>
      </x:c>
      <x:c r="AK192" s="58">
        <x:v>0.388819411736045</x:v>
      </x:c>
      <x:c r="AL192" s="57">
        <x:v>1.15</x:v>
      </x:c>
      <x:c r="AM192" s="57">
        <x:v>1.26</x:v>
      </x:c>
      <x:c r="AN192" s="57">
        <x:v>0.000281231444824658</x:v>
      </x:c>
      <x:c r="AO192" s="57">
        <x:v>1.21720541884523</x:v>
      </x:c>
      <x:c r="AP192" s="57">
        <x:v>-0.127205418845225</x:v>
      </x:c>
      <x:c r="AQ192" s="59" t="s">
        <x:v>99</x:v>
      </x:c>
      <x:c r="AR192" s="57">
        <x:v>-0.25</x:v>
      </x:c>
      <x:c r="AS192" s="57">
        <x:v>0.388908303779863</x:v>
      </x:c>
      <x:c r="AT192" s="57">
        <x:v>0.473381294794754</x:v>
      </x:c>
      <x:c r="AU192" s="57">
        <x:v>3</x:v>
      </x:c>
      <x:c r="AV192" s="57">
        <x:v>3.35</x:v>
      </x:c>
      <x:c r="AW192" s="57">
        <x:v>2.38</x:v>
      </x:c>
      <x:c r="AX192" s="59" t="s">
        <x:v>100</x:v>
      </x:c>
      <x:c r="AY192" s="59" t="s">
        <x:v>101</x:v>
      </x:c>
    </x:row>
    <x:row r="193" ht="22" customHeight="1">
      <x:c r="A193" s="49" t="s">
        <x:v>626</x:v>
      </x:c>
      <x:c r="B193" s="49" t="s">
        <x:v>872</x:v>
      </x:c>
      <x:c r="C193" s="49" t="s">
        <x:v>333</x:v>
      </x:c>
      <x:c r="D193" s="49" t="s">
        <x:v>116</x:v>
      </x:c>
      <x:c r="E193" s="49" t="s">
        <x:v>730</x:v>
      </x:c>
      <x:c r="F193" s="49" t="s">
        <x:v>873</x:v>
      </x:c>
      <x:c r="G193" s="60">
        <x:v>0.84</x:v>
      </x:c>
      <x:c r="H193" s="60">
        <x:v>0.5</x:v>
      </x:c>
      <x:c r="I193" s="60">
        <x:v>1.02</x:v>
      </x:c>
      <x:c r="J193" s="49" t="s">
        <x:v>874</x:v>
      </x:c>
      <x:c r="K193" s="49" t="s">
        <x:v>132</x:v>
      </x:c>
      <x:c r="L193" s="49" t="s">
        <x:v>875</x:v>
      </x:c>
      <x:c r="M193" s="61">
        <x:v>0.603</x:v>
      </x:c>
      <x:c r="N193" s="49" t="s">
        <x:v>685</x:v>
      </x:c>
      <x:c r="O193" s="49" t="s">
        <x:v>201</x:v>
      </x:c>
      <x:c r="P193" s="49" t="s">
        <x:v>30</x:v>
      </x:c>
      <x:c r="Q193" s="49" t="s">
        <x:v>11</x:v>
      </x:c>
      <x:c r="R193" s="50">
        <x:v>0.84</x:v>
      </x:c>
      <x:c r="S193" s="50">
        <x:f t="shared" si="12"/>
        <x:v>0.84</x:v>
      </x:c>
      <x:c r="T193" s="49" t="s">
        <x:v>632</x:v>
      </x:c>
      <x:c r="U193" s="49" t="str">
        <x:f t="shared" si="14"/>
        <x:v>黑</x:v>
      </x:c>
      <x:c r="V193" s="50">
        <x:f t="shared" si="15"/>
        <x:v>1.02</x:v>
      </x:c>
      <x:c r="W193" s="50">
        <x:f t="shared" si="13"/>
        <x:v>-1</x:v>
      </x:c>
      <x:c r="X193" s="57">
        <x:v>0.95</x:v>
      </x:c>
      <x:c r="Y193" s="57">
        <x:v>0.75</x:v>
      </x:c>
      <x:c r="Z193" s="57">
        <x:v>0.75</x:v>
      </x:c>
      <x:c r="AA193" s="57">
        <x:v>-0.75</x:v>
      </x:c>
      <x:c r="AB193" s="57">
        <x:v>0.95</x:v>
      </x:c>
      <x:c r="AC193" s="57">
        <x:v>0.84</x:v>
      </x:c>
      <x:c r="AD193" s="57">
        <x:v>1.79</x:v>
      </x:c>
      <x:c r="AE193" s="57">
        <x:v>4.04</x:v>
      </x:c>
      <x:c r="AF193" s="57">
        <x:v>3.41</x:v>
      </x:c>
      <x:c r="AG193" s="58">
        <x:v>0.0994391023171519</x:v>
      </x:c>
      <x:c r="AH193" s="58">
        <x:v>0.0494391023171519</x:v>
      </x:c>
      <x:c r="AI193" s="58">
        <x:v>0.508131115856875</x:v>
      </x:c>
      <x:c r="AJ193" s="58">
        <x:v>0.225137301332625</x:v>
      </x:c>
      <x:c r="AK193" s="58">
        <x:v>0.2667315828105</x:v>
      </x:c>
      <x:c r="AL193" s="57">
        <x:v>1.88</x:v>
      </x:c>
      <x:c r="AM193" s="57">
        <x:v>1.31</x:v>
      </x:c>
      <x:c r="AN193" s="57">
        <x:v>0.000216912576649237</x:v>
      </x:c>
      <x:c r="AO193" s="57">
        <x:v>0.968620792533074</x:v>
      </x:c>
      <x:c r="AP193" s="57">
        <x:v>-0.128620792533074</x:v>
      </x:c>
      <x:c r="AQ193" s="59" t="s">
        <x:v>99</x:v>
      </x:c>
      <x:c r="AR193" s="57">
        <x:v>-0.5</x:v>
      </x:c>
      <x:c r="AS193" s="57">
        <x:v>0.507969845585789</x:v>
      </x:c>
      <x:c r="AT193" s="57">
        <x:v>0.492030154414211</x:v>
      </x:c>
      <x:c r="AU193" s="57">
        <x:v>1.81</x:v>
      </x:c>
      <x:c r="AV193" s="57">
        <x:v>3.96</x:v>
      </x:c>
      <x:c r="AW193" s="57">
        <x:v>3.51</x:v>
      </x:c>
      <x:c r="AX193" s="59" t="s">
        <x:v>100</x:v>
      </x:c>
      <x:c r="AY193" s="59" t="s">
        <x:v>101</x:v>
      </x:c>
    </x:row>
    <x:row r="194" ht="22" customHeight="1">
      <x:c r="A194" s="49" t="s">
        <x:v>626</x:v>
      </x:c>
      <x:c r="B194" s="49" t="s">
        <x:v>872</x:v>
      </x:c>
      <x:c r="C194" s="49" t="s">
        <x:v>89</x:v>
      </x:c>
      <x:c r="D194" s="49" t="s">
        <x:v>116</x:v>
      </x:c>
      <x:c r="E194" s="49" t="s">
        <x:v>622</x:v>
      </x:c>
      <x:c r="F194" s="49" t="s">
        <x:v>876</x:v>
      </x:c>
      <x:c r="G194" s="60">
        <x:v>1.07</x:v>
      </x:c>
      <x:c r="H194" s="60">
        <x:v>0</x:v>
      </x:c>
      <x:c r="I194" s="60">
        <x:v>0.82</x:v>
      </x:c>
      <x:c r="J194" s="49" t="s">
        <x:v>877</x:v>
      </x:c>
      <x:c r="K194" s="49" t="s">
        <x:v>132</x:v>
      </x:c>
      <x:c r="L194" s="49" t="s">
        <x:v>878</x:v>
      </x:c>
      <x:c r="M194" s="61">
        <x:v>0.576</x:v>
      </x:c>
      <x:c r="N194" s="49" t="s">
        <x:v>96</x:v>
      </x:c>
      <x:c r="O194" s="49" t="s">
        <x:v>273</x:v>
      </x:c>
      <x:c r="P194" s="49" t="s">
        <x:v>30</x:v>
      </x:c>
      <x:c r="Q194" s="49" t="s">
        <x:v>17</x:v>
      </x:c>
      <x:c r="R194" s="50">
        <x:v>1.07</x:v>
      </x:c>
      <x:c r="S194" s="50">
        <x:f t="shared" si="12"/>
        <x:v>0</x:v>
      </x:c>
      <x:c r="T194" s="49" t="s">
        <x:v>632</x:v>
      </x:c>
      <x:c r="U194" s="49" t="str">
        <x:f t="shared" si="14"/>
        <x:v>走</x:v>
      </x:c>
      <x:c r="V194" s="50">
        <x:f t="shared" si="15"/>
        <x:v>0.82</x:v>
      </x:c>
      <x:c r="W194" s="50">
        <x:f t="shared" si="13"/>
        <x:v>0</x:v>
      </x:c>
      <x:c r="X194" s="57">
        <x:v>0.82</x:v>
      </x:c>
      <x:c r="Y194" s="57">
        <x:v>-0.25</x:v>
      </x:c>
      <x:c r="Z194" s="57">
        <x:v>1.06</x:v>
      </x:c>
      <x:c r="AA194" s="57">
        <x:v>0.25</x:v>
      </x:c>
      <x:c r="AB194" s="57">
        <x:v>0.82</x:v>
      </x:c>
      <x:c r="AC194" s="57">
        <x:v>1.07</x:v>
      </x:c>
      <x:c r="AD194" s="57">
        <x:v>3.07</x:v>
      </x:c>
      <x:c r="AE194" s="57">
        <x:v>3.09</x:v>
      </x:c>
      <x:c r="AF194" s="57">
        <x:v>2.34</x:v>
      </x:c>
      <x:c r="AG194" s="58">
        <x:v>0.0767079218424844</x:v>
      </x:c>
      <x:c r="AH194" s="58">
        <x:v>0.0267079218424844</x:v>
      </x:c>
      <x:c r="AI194" s="58">
        <x:v>0.302526704238788</x:v>
      </x:c>
      <x:c r="AJ194" s="58">
        <x:v>0.300568602593229</x:v>
      </x:c>
      <x:c r="AK194" s="58">
        <x:v>0.396904693167982</x:v>
      </x:c>
      <x:c r="AL194" s="57">
        <x:v>0.94</x:v>
      </x:c>
      <x:c r="AM194" s="57">
        <x:v>1.12</x:v>
      </x:c>
      <x:c r="AN194" s="57">
        <x:v>0.000800826338945667</x:v>
      </x:c>
      <x:c r="AO194" s="57">
        <x:v>1.30708427949921</x:v>
      </x:c>
      <x:c r="AP194" s="57">
        <x:v>-0.237084279499209</x:v>
      </x:c>
      <x:c r="AQ194" s="59" t="s">
        <x:v>150</x:v>
      </x:c>
      <x:c r="AR194" s="57">
        <x:v>0</x:v>
      </x:c>
      <x:c r="AS194" s="57">
        <x:v>0.302819642034557</x:v>
      </x:c>
      <x:c r="AT194" s="57">
        <x:v>0.395810793626947</x:v>
      </x:c>
      <x:c r="AU194" s="57">
        <x:v>2.89</x:v>
      </x:c>
      <x:c r="AV194" s="57">
        <x:v>3.11</x:v>
      </x:c>
      <x:c r="AW194" s="57">
        <x:v>2.51</x:v>
      </x:c>
      <x:c r="AX194" s="59" t="s">
        <x:v>100</x:v>
      </x:c>
      <x:c r="AY194" s="59" t="s">
        <x:v>101</x:v>
      </x:c>
    </x:row>
    <x:row r="195" ht="22" customHeight="1">
      <x:c r="A195" s="49" t="s">
        <x:v>626</x:v>
      </x:c>
      <x:c r="B195" s="49" t="s">
        <x:v>879</x:v>
      </x:c>
      <x:c r="C195" s="49" t="s">
        <x:v>89</x:v>
      </x:c>
      <x:c r="D195" s="49" t="s">
        <x:v>116</x:v>
      </x:c>
      <x:c r="E195" s="49" t="s">
        <x:v>755</x:v>
      </x:c>
      <x:c r="F195" s="49" t="s">
        <x:v>880</x:v>
      </x:c>
      <x:c r="G195" s="60">
        <x:v>0.85</x:v>
      </x:c>
      <x:c r="H195" s="60">
        <x:v>-0.75</x:v>
      </x:c>
      <x:c r="I195" s="60">
        <x:v>1.03</x:v>
      </x:c>
      <x:c r="J195" s="49" t="s">
        <x:v>881</x:v>
      </x:c>
      <x:c r="K195" s="49" t="s">
        <x:v>132</x:v>
      </x:c>
      <x:c r="L195" s="49" t="s">
        <x:v>882</x:v>
      </x:c>
      <x:c r="M195" s="61">
        <x:v>0.576</x:v>
      </x:c>
      <x:c r="N195" s="49" t="s">
        <x:v>96</x:v>
      </x:c>
      <x:c r="O195" s="49" t="s">
        <x:v>169</x:v>
      </x:c>
      <x:c r="P195" s="49" t="s">
        <x:v>30</x:v>
      </x:c>
      <x:c r="Q195" s="49" t="s">
        <x:v>20</x:v>
      </x:c>
      <x:c r="R195" s="50">
        <x:v>0.85</x:v>
      </x:c>
      <x:c r="S195" s="50">
        <x:f t="shared" si="12"/>
        <x:v>-0.5</x:v>
      </x:c>
      <x:c r="T195" s="49" t="s">
        <x:v>632</x:v>
      </x:c>
      <x:c r="U195" s="49" t="str">
        <x:f t="shared" si="14"/>
        <x:v>半红</x:v>
      </x:c>
      <x:c r="V195" s="50">
        <x:f t="shared" si="15"/>
        <x:v>1.03</x:v>
      </x:c>
      <x:c r="W195" s="50">
        <x:f t="shared" si="13"/>
        <x:v>0.515</x:v>
      </x:c>
      <x:c r="X195" s="57">
        <x:v>0.9</x:v>
      </x:c>
      <x:c r="Y195" s="57">
        <x:v>-1</x:v>
      </x:c>
      <x:c r="Z195" s="57">
        <x:v>0.92</x:v>
      </x:c>
      <x:c r="AA195" s="57">
        <x:v>1</x:v>
      </x:c>
      <x:c r="AB195" s="57">
        <x:v>0.9</x:v>
      </x:c>
      <x:c r="AC195" s="57">
        <x:v>0.85</x:v>
      </x:c>
      <x:c r="AD195" s="57">
        <x:v>5.16</x:v>
      </x:c>
      <x:c r="AE195" s="57">
        <x:v>3.98</x:v>
      </x:c>
      <x:c r="AF195" s="57">
        <x:v>1.54</x:v>
      </x:c>
      <x:c r="AG195" s="58">
        <x:v>0.0944053803700875</x:v>
      </x:c>
      <x:c r="AH195" s="58">
        <x:v>0.0444053803700875</x:v>
      </x:c>
      <x:c r="AI195" s="58">
        <x:v>0.177081046099086</x:v>
      </x:c>
      <x:c r="AJ195" s="58">
        <x:v>0.229582461776704</x:v>
      </x:c>
      <x:c r="AK195" s="58">
        <x:v>0.59333649212421</x:v>
      </x:c>
      <x:c r="AL195" s="57">
        <x:v>0.86</x:v>
      </x:c>
      <x:c r="AM195" s="57">
        <x:v>1.79</x:v>
      </x:c>
      <x:c r="AN195" s="57">
        <x:v>0.000367874036780052</x:v>
      </x:c>
      <x:c r="AO195" s="57">
        <x:v>1.15140757167432</x:v>
      </x:c>
      <x:c r="AP195" s="57">
        <x:v>-0.301407571674323</x:v>
      </x:c>
      <x:c r="AQ195" s="59" t="s">
        <x:v>289</x:v>
      </x:c>
      <x:c r="AR195" s="57">
        <x:v>0.75</x:v>
      </x:c>
      <x:c r="AS195" s="57">
        <x:v>0.406188912878526</x:v>
      </x:c>
      <x:c r="AT195" s="57">
        <x:v>0.467688989818497</x:v>
      </x:c>
      <x:c r="AU195" s="57">
        <x:v>4.33</x:v>
      </x:c>
      <x:c r="AV195" s="57">
        <x:v>3.52</x:v>
      </x:c>
      <x:c r="AW195" s="57">
        <x:v>1.75</x:v>
      </x:c>
      <x:c r="AX195" s="59" t="s">
        <x:v>100</x:v>
      </x:c>
      <x:c r="AY195" s="59" t="s">
        <x:v>101</x:v>
      </x:c>
    </x:row>
    <x:row r="196" ht="22" customHeight="1">
      <x:c r="A196" s="49" t="s">
        <x:v>626</x:v>
      </x:c>
      <x:c r="B196" s="49" t="s">
        <x:v>879</x:v>
      </x:c>
      <x:c r="C196" s="49" t="s">
        <x:v>89</x:v>
      </x:c>
      <x:c r="D196" s="49" t="s">
        <x:v>116</x:v>
      </x:c>
      <x:c r="E196" s="49" t="s">
        <x:v>883</x:v>
      </x:c>
      <x:c r="F196" s="49" t="s">
        <x:v>884</x:v>
      </x:c>
      <x:c r="G196" s="60">
        <x:v>0.93</x:v>
      </x:c>
      <x:c r="H196" s="60">
        <x:v>2.25</x:v>
      </x:c>
      <x:c r="I196" s="60">
        <x:v>0.89</x:v>
      </x:c>
      <x:c r="J196" s="49" t="s">
        <x:v>885</x:v>
      </x:c>
      <x:c r="K196" s="49" t="s">
        <x:v>94</x:v>
      </x:c>
      <x:c r="L196" s="49" t="s">
        <x:v>886</x:v>
      </x:c>
      <x:c r="M196" s="61">
        <x:v>0.528</x:v>
      </x:c>
      <x:c r="N196" s="49" t="s">
        <x:v>96</x:v>
      </x:c>
      <x:c r="O196" s="49" t="s">
        <x:v>201</x:v>
      </x:c>
      <x:c r="P196" s="49" t="s">
        <x:v>30</x:v>
      </x:c>
      <x:c r="Q196" s="49" t="s">
        <x:v>23</x:v>
      </x:c>
      <x:c r="R196" s="50">
        <x:v>0.93</x:v>
      </x:c>
      <x:c r="S196" s="50" t="n">
        <x:f t="shared" ref="S196:S259" si="16">IF(OR(Q196="",Q196="待结算"),"",IF(Q196="红",R196,IF(Q196="半红",R196*0.5,IF(Q196="走",0,IF(Q196="半黑",-0.5,-1)))))</x:f>
        <x:v>-1</x:v>
      </x:c>
      <x:c r="T196" s="49" t="s">
        <x:v>632</x:v>
      </x:c>
      <x:c r="U196" s="49" t="str">
        <x:f t="shared" si="14"/>
        <x:v>红</x:v>
      </x:c>
      <x:c r="V196" s="50">
        <x:f t="shared" si="15"/>
        <x:v>0.89</x:v>
      </x:c>
      <x:c r="W196" s="50" t="n">
        <x:f t="shared" ref="W196:W259" si="17">IF(OR(U196="",U196="待结算"),"",IF(U196="红",V196,IF(U196="半红",V196*0.5,IF(U196="走",0,IF(U196="半黑",-0.5,-1)))))</x:f>
        <x:v>0.89</x:v>
      </x:c>
      <x:c r="X196" s="57">
        <x:v>0.86</x:v>
      </x:c>
      <x:c r="Y196" s="57">
        <x:v>2</x:v>
      </x:c>
      <x:c r="Z196" s="57">
        <x:v>0.9</x:v>
      </x:c>
      <x:c r="AA196" s="57">
        <x:v>-2</x:v>
      </x:c>
      <x:c r="AB196" s="57">
        <x:v>0.86</x:v>
      </x:c>
      <x:c r="AC196" s="57">
        <x:v>0.93</x:v>
      </x:c>
      <x:c r="AD196" s="57">
        <x:v>1.17</x:v>
      </x:c>
      <x:c r="AE196" s="57">
        <x:v>6.62</x:v>
      </x:c>
      <x:c r="AF196" s="57">
        <x:v>12.11</x:v>
      </x:c>
      <x:c r="AG196" s="58">
        <x:v>0.0883346396679614</x:v>
      </x:c>
      <x:c r="AH196" s="58">
        <x:v>0.0383346396679614</x:v>
      </x:c>
      <x:c r="AI196" s="58">
        <x:v>0.785329092310812</x:v>
      </x:c>
      <x:c r="AJ196" s="58">
        <x:v>0.138796833535295</x:v>
      </x:c>
      <x:c r="AK196" s="58">
        <x:v>0.0758740741538935</x:v>
      </x:c>
      <x:c r="AL196" s="57">
        <x:v>2.63</x:v>
      </x:c>
      <x:c r="AM196" s="57">
        <x:v>0.7</x:v>
      </x:c>
      <x:c r="AN196" s="57">
        <x:v>0.00014753844712343</x:v>
      </x:c>
      <x:c r="AO196" s="57">
        <x:v>1.51552990331092</x:v>
      </x:c>
      <x:c r="AP196" s="57">
        <x:v>-0.585529903310915</x:v>
      </x:c>
      <x:c r="AQ196" s="59" t="s">
        <x:v>99</x:v>
      </x:c>
      <x:c r="AR196" s="57">
        <x:v>-2.25</x:v>
      </x:c>
      <x:c r="AS196" s="57">
        <x:v>0.353890621913881</x:v>
      </x:c>
      <x:c r="AT196" s="57">
        <x:v>0.536331820011784</x:v>
      </x:c>
      <x:c r="AU196" s="57">
        <x:v>1.13</x:v>
      </x:c>
      <x:c r="AV196" s="57">
        <x:v>7.69</x:v>
      </x:c>
      <x:c r="AW196" s="57">
        <x:v>15.32</x:v>
      </x:c>
      <x:c r="AX196" s="59" t="s">
        <x:v>100</x:v>
      </x:c>
      <x:c r="AY196" s="59" t="s">
        <x:v>101</x:v>
      </x:c>
    </x:row>
    <x:row r="197" ht="22" customHeight="1">
      <x:c r="A197" s="49" t="s">
        <x:v>626</x:v>
      </x:c>
      <x:c r="B197" s="49" t="s">
        <x:v>879</x:v>
      </x:c>
      <x:c r="C197" s="49" t="s">
        <x:v>244</x:v>
      </x:c>
      <x:c r="D197" s="49" t="s">
        <x:v>90</x:v>
      </x:c>
      <x:c r="E197" s="49" t="s">
        <x:v>759</x:v>
      </x:c>
      <x:c r="F197" s="49" t="s">
        <x:v>887</x:v>
      </x:c>
      <x:c r="G197" s="60">
        <x:v>0.91</x:v>
      </x:c>
      <x:c r="H197" s="60">
        <x:v>-3</x:v>
      </x:c>
      <x:c r="I197" s="60">
        <x:v>0.79</x:v>
      </x:c>
      <x:c r="J197" s="49" t="s">
        <x:v>888</x:v>
      </x:c>
      <x:c r="K197" s="49" t="s">
        <x:v>106</x:v>
      </x:c>
      <x:c r="L197" s="49" t="s">
        <x:v>889</x:v>
      </x:c>
      <x:c r="M197" s="61">
        <x:v>0.584</x:v>
      </x:c>
      <x:c r="N197" s="49" t="s">
        <x:v>96</x:v>
      </x:c>
      <x:c r="O197" s="49" t="s">
        <x:v>708</x:v>
      </x:c>
      <x:c r="P197" s="49" t="s">
        <x:v>30</x:v>
      </x:c>
      <x:c r="Q197" s="49" t="s">
        <x:v>11</x:v>
      </x:c>
      <x:c r="R197" s="50">
        <x:v>0.79</x:v>
      </x:c>
      <x:c r="S197" s="50">
        <x:f t="shared" si="16"/>
        <x:v>0.79</x:v>
      </x:c>
      <x:c r="T197" s="49" t="s">
        <x:v>632</x:v>
      </x:c>
      <x:c r="U197" s="49" t="str">
        <x:f t="shared" si="14"/>
        <x:v>黑</x:v>
      </x:c>
      <x:c r="V197" s="50">
        <x:f t="shared" si="15"/>
        <x:v>0.91</x:v>
      </x:c>
      <x:c r="W197" s="50">
        <x:f t="shared" si="17"/>
        <x:v>-1</x:v>
      </x:c>
      <x:c r="X197" s="57">
        <x:v>0.83</x:v>
      </x:c>
      <x:c r="Y197" s="57">
        <x:v>-3</x:v>
      </x:c>
      <x:c r="Z197" s="57">
        <x:v>0.87</x:v>
      </x:c>
      <x:c r="AA197" s="57">
        <x:v>-3</x:v>
      </x:c>
      <x:c r="AB197" s="57">
        <x:v>0.87</x:v>
      </x:c>
      <x:c r="AC197" s="57">
        <x:v>0.79</x:v>
      </x:c>
      <x:c r="AD197" s="57">
        <x:v>27.69</x:v>
      </x:c>
      <x:c r="AE197" s="57">
        <x:v>13.05</x:v>
      </x:c>
      <x:c r="AF197" s="57">
        <x:v>1.03</x:v>
      </x:c>
      <x:c r="AG197" s="58">
        <x:v>0.0836162595193513</x:v>
      </x:c>
      <x:c r="AH197" s="58">
        <x:v>0.0336162595193513</x:v>
      </x:c>
      <x:c r="AI197" s="58">
        <x:v>0.0333274074691179</x:v>
      </x:c>
      <x:c r="AJ197" s="58">
        <x:v>0.0707153956183813</x:v>
      </x:c>
      <x:c r="AK197" s="58">
        <x:v>0.895957196912501</x:v>
      </x:c>
      <x:c r="AL197" s="57">
        <x:v>0.7</x:v>
      </x:c>
      <x:c r="AM197" s="57">
        <x:v>3.72</x:v>
      </x:c>
      <x:c r="AN197" s="57">
        <x:v>3.48320027338562e-5</x:v>
      </x:c>
      <x:c r="AO197" s="57">
        <x:v>1.09190547728772</x:v>
      </x:c>
      <x:c r="AP197" s="57">
        <x:v>-0.301905477287715</x:v>
      </x:c>
      <x:c r="AQ197" s="59" t="s">
        <x:v>99</x:v>
      </x:c>
      <x:c r="AR197" s="57">
        <x:v>-3</x:v>
      </x:c>
      <x:c r="AS197" s="57">
        <x:v>0.386833342821371</x:v>
      </x:c>
      <x:c r="AT197" s="57">
        <x:v>0.422385445824172</x:v>
      </x:c>
      <x:c r="AU197" s="57">
        <x:v>23.54</x:v>
      </x:c>
      <x:c r="AV197" s="57">
        <x:v>9.96</x:v>
      </x:c>
      <x:c r="AW197" s="57">
        <x:v>1.05</x:v>
      </x:c>
      <x:c r="AX197" s="59" t="s">
        <x:v>100</x:v>
      </x:c>
      <x:c r="AY197" s="59" t="s">
        <x:v>101</x:v>
      </x:c>
    </x:row>
    <x:row r="198" ht="22" customHeight="1">
      <x:c r="A198" s="49" t="s">
        <x:v>626</x:v>
      </x:c>
      <x:c r="B198" s="49" t="s">
        <x:v>879</x:v>
      </x:c>
      <x:c r="C198" s="49" t="s">
        <x:v>89</x:v>
      </x:c>
      <x:c r="D198" s="49" t="s">
        <x:v>116</x:v>
      </x:c>
      <x:c r="E198" s="49" t="s">
        <x:v>587</x:v>
      </x:c>
      <x:c r="F198" s="49" t="s">
        <x:v>890</x:v>
      </x:c>
      <x:c r="G198" s="60">
        <x:v>0.99</x:v>
      </x:c>
      <x:c r="H198" s="60">
        <x:v>1</x:v>
      </x:c>
      <x:c r="I198" s="60">
        <x:v>0.9</x:v>
      </x:c>
      <x:c r="J198" s="49" t="s">
        <x:v>891</x:v>
      </x:c>
      <x:c r="K198" s="49" t="s">
        <x:v>94</x:v>
      </x:c>
      <x:c r="L198" s="49" t="s">
        <x:v>892</x:v>
      </x:c>
      <x:c r="M198" s="61">
        <x:v>0.528</x:v>
      </x:c>
      <x:c r="N198" s="49" t="s">
        <x:v>96</x:v>
      </x:c>
      <x:c r="O198" s="49" t="s">
        <x:v>191</x:v>
      </x:c>
      <x:c r="P198" s="49" t="s">
        <x:v>30</x:v>
      </x:c>
      <x:c r="Q198" s="49" t="s">
        <x:v>23</x:v>
      </x:c>
      <x:c r="R198" s="50">
        <x:v>0.99</x:v>
      </x:c>
      <x:c r="S198" s="50">
        <x:f t="shared" si="16"/>
        <x:v>-1</x:v>
      </x:c>
      <x:c r="T198" s="49" t="s">
        <x:v>632</x:v>
      </x:c>
      <x:c r="U198" s="49" t="str">
        <x:f t="shared" si="14"/>
        <x:v>红</x:v>
      </x:c>
      <x:c r="V198" s="50">
        <x:f t="shared" si="15"/>
        <x:v>0.9</x:v>
      </x:c>
      <x:c r="W198" s="50">
        <x:f t="shared" si="17"/>
        <x:v>0.9</x:v>
      </x:c>
      <x:c r="X198" s="57">
        <x:v>0.98</x:v>
      </x:c>
      <x:c r="Y198" s="57">
        <x:v>0.75</x:v>
      </x:c>
      <x:c r="Z198" s="57">
        <x:v>0.9</x:v>
      </x:c>
      <x:c r="AA198" s="57">
        <x:v>-0.75</x:v>
      </x:c>
      <x:c r="AB198" s="57">
        <x:v>0.98</x:v>
      </x:c>
      <x:c r="AC198" s="57">
        <x:v>0.99</x:v>
      </x:c>
      <x:c r="AD198" s="57">
        <x:v>1.66</x:v>
      </x:c>
      <x:c r="AE198" s="57">
        <x:v>3.79</x:v>
      </x:c>
      <x:c r="AF198" s="57">
        <x:v>4.39</x:v>
      </x:c>
      <x:c r="AG198" s="58">
        <x:v>0.0940523141001026</x:v>
      </x:c>
      <x:c r="AH198" s="58">
        <x:v>0.0440523141001026</x:v>
      </x:c>
      <x:c r="AI198" s="58">
        <x:v>0.550622333859529</x:v>
      </x:c>
      <x:c r="AJ198" s="58">
        <x:v>0.24116967657172</x:v>
      </x:c>
      <x:c r="AK198" s="58">
        <x:v>0.208207989568751</x:v>
      </x:c>
      <x:c r="AL198" s="57">
        <x:v>1.69</x:v>
      </x:c>
      <x:c r="AM198" s="57">
        <x:v>0.94</x:v>
      </x:c>
      <x:c r="AN198" s="57">
        <x:v>0.000417352203979151</x:v>
      </x:c>
      <x:c r="AO198" s="57">
        <x:v>1.4871507175233</x:v>
      </x:c>
      <x:c r="AP198" s="57">
        <x:v>-0.4971507175233</x:v>
      </x:c>
      <x:c r="AQ198" s="59" t="s">
        <x:v>99</x:v>
      </x:c>
      <x:c r="AR198" s="57">
        <x:v>-1</x:v>
      </x:c>
      <x:c r="AS198" s="57">
        <x:v>0.30240965635564</x:v>
      </x:c>
      <x:c r="AT198" s="57">
        <x:v>0.449728737435264</x:v>
      </x:c>
      <x:c r="AU198" s="57">
        <x:v>1.56</x:v>
      </x:c>
      <x:c r="AV198" s="57">
        <x:v>4.09</x:v>
      </x:c>
      <x:c r="AW198" s="57">
        <x:v>5.07</x:v>
      </x:c>
      <x:c r="AX198" s="59" t="s">
        <x:v>100</x:v>
      </x:c>
      <x:c r="AY198" s="59" t="s">
        <x:v>101</x:v>
      </x:c>
    </x:row>
    <x:row r="199" ht="22" customHeight="1">
      <x:c r="A199" s="49" t="s">
        <x:v>626</x:v>
      </x:c>
      <x:c r="B199" s="49" t="s">
        <x:v>893</x:v>
      </x:c>
      <x:c r="C199" s="49" t="s">
        <x:v>333</x:v>
      </x:c>
      <x:c r="D199" s="49" t="s">
        <x:v>116</x:v>
      </x:c>
      <x:c r="E199" s="49" t="s">
        <x:v>894</x:v>
      </x:c>
      <x:c r="F199" s="49" t="s">
        <x:v>895</x:v>
      </x:c>
      <x:c r="G199" s="60">
        <x:v>0.86</x:v>
      </x:c>
      <x:c r="H199" s="60">
        <x:v>0</x:v>
      </x:c>
      <x:c r="I199" s="60">
        <x:v>1.02</x:v>
      </x:c>
      <x:c r="J199" s="49" t="s">
        <x:v>896</x:v>
      </x:c>
      <x:c r="K199" s="49" t="s">
        <x:v>132</x:v>
      </x:c>
      <x:c r="L199" s="49" t="s">
        <x:v>897</x:v>
      </x:c>
      <x:c r="M199" s="61">
        <x:v>0.603</x:v>
      </x:c>
      <x:c r="N199" s="49" t="s">
        <x:v>685</x:v>
      </x:c>
      <x:c r="O199" s="49" t="s">
        <x:v>201</x:v>
      </x:c>
      <x:c r="P199" s="49" t="s">
        <x:v>30</x:v>
      </x:c>
      <x:c r="Q199" s="49" t="s">
        <x:v>11</x:v>
      </x:c>
      <x:c r="R199" s="50">
        <x:v>0.86</x:v>
      </x:c>
      <x:c r="S199" s="50">
        <x:f t="shared" si="16"/>
        <x:v>0.86</x:v>
      </x:c>
      <x:c r="T199" s="49" t="s">
        <x:v>632</x:v>
      </x:c>
      <x:c r="U199" s="49" t="str">
        <x:f t="shared" si="14"/>
        <x:v>黑</x:v>
      </x:c>
      <x:c r="V199" s="50">
        <x:f t="shared" si="15"/>
        <x:v>1.02</x:v>
      </x:c>
      <x:c r="W199" s="50">
        <x:f t="shared" si="17"/>
        <x:v>-1</x:v>
      </x:c>
      <x:c r="X199" s="57">
        <x:v>0.99</x:v>
      </x:c>
      <x:c r="Y199" s="57">
        <x:v>0.25</x:v>
      </x:c>
      <x:c r="Z199" s="57">
        <x:v>0.83</x:v>
      </x:c>
      <x:c r="AA199" s="57">
        <x:v>-0.25</x:v>
      </x:c>
      <x:c r="AB199" s="57">
        <x:v>0.99</x:v>
      </x:c>
      <x:c r="AC199" s="57">
        <x:v>0.86</x:v>
      </x:c>
      <x:c r="AD199" s="57">
        <x:v>2.23</x:v>
      </x:c>
      <x:c r="AE199" s="57">
        <x:v>3.16</x:v>
      </x:c>
      <x:c r="AF199" s="57">
        <x:v>3.18</x:v>
      </x:c>
      <x:c r="AG199" s="58">
        <x:v>0.0793515982811057</x:v>
      </x:c>
      <x:c r="AH199" s="58">
        <x:v>0.0293515982811057</x:v>
      </x:c>
      <x:c r="AI199" s="58">
        <x:v>0.41546285194526</x:v>
      </x:c>
      <x:c r="AJ199" s="58">
        <x:v>0.293190556910737</x:v>
      </x:c>
      <x:c r="AK199" s="58">
        <x:v>0.291346591144003</x:v>
      </x:c>
      <x:c r="AL199" s="57">
        <x:v>1.19</x:v>
      </x:c>
      <x:c r="AM199" s="57">
        <x:v>0.95</x:v>
      </x:c>
      <x:c r="AN199" s="57">
        <x:v>0.000911993456620779</x:v>
      </x:c>
      <x:c r="AO199" s="57">
        <x:v>0.705770174973165</x:v>
      </x:c>
      <x:c r="AP199" s="57">
        <x:v>0.154229825026835</x:v>
      </x:c>
      <x:c r="AQ199" s="59" t="s">
        <x:v>135</x:v>
      </x:c>
      <x:c r="AR199" s="57">
        <x:v>0</x:v>
      </x:c>
      <x:c r="AS199" s="57">
        <x:v>0.414284189991142</x:v>
      </x:c>
      <x:c r="AT199" s="57">
        <x:v>0.292389425258664</x:v>
      </x:c>
      <x:c r="AU199" s="57">
        <x:v>2.37</x:v>
      </x:c>
      <x:c r="AV199" s="57">
        <x:v>3.21</x:v>
      </x:c>
      <x:c r="AW199" s="57">
        <x:v>2.97</x:v>
      </x:c>
      <x:c r="AX199" s="59" t="s">
        <x:v>100</x:v>
      </x:c>
      <x:c r="AY199" s="59" t="s">
        <x:v>101</x:v>
      </x:c>
    </x:row>
    <x:row r="200" ht="22" customHeight="1">
      <x:c r="A200" s="49" t="s">
        <x:v>626</x:v>
      </x:c>
      <x:c r="B200" s="49" t="s">
        <x:v>893</x:v>
      </x:c>
      <x:c r="C200" s="49" t="s">
        <x:v>333</x:v>
      </x:c>
      <x:c r="D200" s="49" t="s">
        <x:v>116</x:v>
      </x:c>
      <x:c r="E200" s="49" t="s">
        <x:v>532</x:v>
      </x:c>
      <x:c r="F200" s="49" t="s">
        <x:v>898</x:v>
      </x:c>
      <x:c r="G200" s="60">
        <x:v>0.94</x:v>
      </x:c>
      <x:c r="H200" s="60">
        <x:v>1</x:v>
      </x:c>
      <x:c r="I200" s="60">
        <x:v>0.95</x:v>
      </x:c>
      <x:c r="J200" s="49" t="s">
        <x:v>899</x:v>
      </x:c>
      <x:c r="K200" s="49" t="s">
        <x:v>132</x:v>
      </x:c>
      <x:c r="L200" s="49" t="s">
        <x:v>900</x:v>
      </x:c>
      <x:c r="M200" s="61">
        <x:v>0.603</x:v>
      </x:c>
      <x:c r="N200" s="49" t="s">
        <x:v>685</x:v>
      </x:c>
      <x:c r="O200" s="49" t="s">
        <x:v>191</x:v>
      </x:c>
      <x:c r="P200" s="49" t="s">
        <x:v>30</x:v>
      </x:c>
      <x:c r="Q200" s="49" t="s">
        <x:v>23</x:v>
      </x:c>
      <x:c r="R200" s="50">
        <x:v>0.94</x:v>
      </x:c>
      <x:c r="S200" s="50">
        <x:f t="shared" si="16"/>
        <x:v>-1</x:v>
      </x:c>
      <x:c r="T200" s="49" t="s">
        <x:v>632</x:v>
      </x:c>
      <x:c r="U200" s="49" t="str">
        <x:f t="shared" si="14"/>
        <x:v>红</x:v>
      </x:c>
      <x:c r="V200" s="50">
        <x:f t="shared" si="15"/>
        <x:v>0.95</x:v>
      </x:c>
      <x:c r="W200" s="50">
        <x:f t="shared" si="17"/>
        <x:v>0.95</x:v>
      </x:c>
      <x:c r="X200" s="57">
        <x:v>1.02</x:v>
      </x:c>
      <x:c r="Y200" s="57">
        <x:v>1.25</x:v>
      </x:c>
      <x:c r="Z200" s="57">
        <x:v>0.86</x:v>
      </x:c>
      <x:c r="AA200" s="57">
        <x:v>-1.25</x:v>
      </x:c>
      <x:c r="AB200" s="57">
        <x:v>1.02</x:v>
      </x:c>
      <x:c r="AC200" s="57">
        <x:v>0.94</x:v>
      </x:c>
      <x:c r="AD200" s="57">
        <x:v>1.46</x:v>
      </x:c>
      <x:c r="AE200" s="57">
        <x:v>4.56</x:v>
      </x:c>
      <x:c r="AF200" s="57">
        <x:v>6.33</x:v>
      </x:c>
      <x:c r="AG200" s="58">
        <x:v>0.0622076355597168</x:v>
      </x:c>
      <x:c r="AH200" s="58">
        <x:v>0.0122076355597168</x:v>
      </x:c>
      <x:c r="AI200" s="58">
        <x:v>0.644818850778077</x:v>
      </x:c>
      <x:c r="AJ200" s="58">
        <x:v>0.206455158363156</x:v>
      </x:c>
      <x:c r="AK200" s="58">
        <x:v>0.148725990858767</x:v>
      </x:c>
      <x:c r="AL200" s="57">
        <x:v>2</x:v>
      </x:c>
      <x:c r="AM200" s="57">
        <x:v>0.84</x:v>
      </x:c>
      <x:c r="AN200" s="57">
        <x:v>0.000283978868771279</x:v>
      </x:c>
      <x:c r="AO200" s="57">
        <x:v>0.893504692154246</x:v>
      </x:c>
      <x:c r="AP200" s="57">
        <x:v>0.0464953078457543</x:v>
      </x:c>
      <x:c r="AQ200" s="59" t="s">
        <x:v>174</x:v>
      </x:c>
      <x:c r="AR200" s="57">
        <x:v>-1</x:v>
      </x:c>
      <x:c r="AS200" s="57">
        <x:v>0.397844450248244</x:v>
      </x:c>
      <x:c r="AT200" s="57">
        <x:v>0.355475883044332</x:v>
      </x:c>
      <x:c r="AU200" s="57">
        <x:v>1.52</x:v>
      </x:c>
      <x:c r="AV200" s="57">
        <x:v>4.43</x:v>
      </x:c>
      <x:c r="AW200" s="57">
        <x:v>5.91</x:v>
      </x:c>
      <x:c r="AX200" s="59" t="s">
        <x:v>100</x:v>
      </x:c>
      <x:c r="AY200" s="59" t="s">
        <x:v>101</x:v>
      </x:c>
    </x:row>
    <x:row r="201" ht="22" customHeight="1">
      <x:c r="A201" s="49" t="s">
        <x:v>626</x:v>
      </x:c>
      <x:c r="B201" s="49" t="s">
        <x:v>901</x:v>
      </x:c>
      <x:c r="C201" s="49" t="s">
        <x:v>244</x:v>
      </x:c>
      <x:c r="D201" s="49" t="s">
        <x:v>90</x:v>
      </x:c>
      <x:c r="E201" s="49" t="s">
        <x:v>759</x:v>
      </x:c>
      <x:c r="F201" s="49" t="s">
        <x:v>902</x:v>
      </x:c>
      <x:c r="G201" s="60">
        <x:v>0.88</x:v>
      </x:c>
      <x:c r="H201" s="60">
        <x:v>-2.25</x:v>
      </x:c>
      <x:c r="I201" s="60">
        <x:v>0.82</x:v>
      </x:c>
      <x:c r="J201" s="49" t="s">
        <x:v>903</x:v>
      </x:c>
      <x:c r="K201" s="49" t="s">
        <x:v>106</x:v>
      </x:c>
      <x:c r="L201" s="49" t="s">
        <x:v>904</x:v>
      </x:c>
      <x:c r="M201" s="61">
        <x:v>0.584</x:v>
      </x:c>
      <x:c r="N201" s="49" t="s">
        <x:v>96</x:v>
      </x:c>
      <x:c r="O201" s="49" t="s">
        <x:v>905</x:v>
      </x:c>
      <x:c r="P201" s="49" t="s">
        <x:v>30</x:v>
      </x:c>
      <x:c r="Q201" s="49" t="s">
        <x:v>11</x:v>
      </x:c>
      <x:c r="R201" s="50">
        <x:v>0.82</x:v>
      </x:c>
      <x:c r="S201" s="50">
        <x:f t="shared" si="16"/>
        <x:v>0.82</x:v>
      </x:c>
      <x:c r="T201" s="49" t="s">
        <x:v>632</x:v>
      </x:c>
      <x:c r="U201" s="49" t="str">
        <x:f t="shared" si="14"/>
        <x:v>黑</x:v>
      </x:c>
      <x:c r="V201" s="50">
        <x:f t="shared" si="15"/>
        <x:v>0.88</x:v>
      </x:c>
      <x:c r="W201" s="50">
        <x:f t="shared" si="17"/>
        <x:v>-1</x:v>
      </x:c>
      <x:c r="X201" s="57">
        <x:v>0.88</x:v>
      </x:c>
      <x:c r="Y201" s="57">
        <x:v>-2.25</x:v>
      </x:c>
      <x:c r="Z201" s="57">
        <x:v>0.82</x:v>
      </x:c>
      <x:c r="AA201" s="57">
        <x:v>-2.25</x:v>
      </x:c>
      <x:c r="AB201" s="57">
        <x:v>0.82</x:v>
      </x:c>
      <x:c r="AC201" s="57">
        <x:v>0.82</x:v>
      </x:c>
      <x:c r="AD201" s="57">
        <x:v>8.58</x:v>
      </x:c>
      <x:c r="AE201" s="57">
        <x:v>6.38</x:v>
      </x:c>
      <x:c r="AF201" s="57">
        <x:v>1.22</x:v>
      </x:c>
      <x:c r="AG201" s="58">
        <x:v>0.0929620596098832</x:v>
      </x:c>
      <x:c r="AH201" s="58">
        <x:v>0.0429620596098832</x:v>
      </x:c>
      <x:c r="AI201" s="58">
        <x:v>0.106636928084876</x:v>
      </x:c>
      <x:c r="AJ201" s="58">
        <x:v>0.143408282596902</x:v>
      </x:c>
      <x:c r="AK201" s="58">
        <x:v>0.749954789318223</x:v>
      </x:c>
      <x:c r="AL201" s="57">
        <x:v>1.01</x:v>
      </x:c>
      <x:c r="AM201" s="57">
        <x:v>2.83</x:v>
      </x:c>
      <x:c r="AN201" s="57">
        <x:v>0.000171310250216551</x:v>
      </x:c>
      <x:c r="AO201" s="57">
        <x:v>1.59999001125598</x:v>
      </x:c>
      <x:c r="AP201" s="57">
        <x:v>-0.779990011255977</x:v>
      </x:c>
      <x:c r="AQ201" s="59" t="s">
        <x:v>99</x:v>
      </x:c>
      <x:c r="AR201" s="57">
        <x:v>-2.25</x:v>
      </x:c>
      <x:c r="AS201" s="57">
        <x:v>0.345447202176342</x:v>
      </x:c>
      <x:c r="AT201" s="57">
        <x:v>0.552712072898471</x:v>
      </x:c>
      <x:c r="AU201" s="57">
        <x:v>13.65</x:v>
      </x:c>
      <x:c r="AV201" s="57">
        <x:v>7.24</x:v>
      </x:c>
      <x:c r="AW201" s="57">
        <x:v>1.13</x:v>
      </x:c>
      <x:c r="AX201" s="59" t="s">
        <x:v>100</x:v>
      </x:c>
      <x:c r="AY201" s="59" t="s">
        <x:v>101</x:v>
      </x:c>
    </x:row>
    <x:row r="202" ht="22" customHeight="1">
      <x:c r="A202" s="49" t="s">
        <x:v>626</x:v>
      </x:c>
      <x:c r="B202" s="49" t="s">
        <x:v>901</x:v>
      </x:c>
      <x:c r="C202" s="49" t="s">
        <x:v>89</x:v>
      </x:c>
      <x:c r="D202" s="49" t="s">
        <x:v>116</x:v>
      </x:c>
      <x:c r="E202" s="49" t="s">
        <x:v>510</x:v>
      </x:c>
      <x:c r="F202" s="49" t="s">
        <x:v>906</x:v>
      </x:c>
      <x:c r="G202" s="60">
        <x:v>1.03</x:v>
      </x:c>
      <x:c r="H202" s="60">
        <x:v>-0.5</x:v>
      </x:c>
      <x:c r="I202" s="60">
        <x:v>0.86</x:v>
      </x:c>
      <x:c r="J202" s="49" t="s">
        <x:v>907</x:v>
      </x:c>
      <x:c r="K202" s="49" t="s">
        <x:v>132</x:v>
      </x:c>
      <x:c r="L202" s="49" t="s">
        <x:v>908</x:v>
      </x:c>
      <x:c r="M202" s="61">
        <x:v>0.576</x:v>
      </x:c>
      <x:c r="N202" s="49" t="s">
        <x:v>96</x:v>
      </x:c>
      <x:c r="O202" s="49" t="s">
        <x:v>191</x:v>
      </x:c>
      <x:c r="P202" s="49" t="s">
        <x:v>30</x:v>
      </x:c>
      <x:c r="Q202" s="49" t="s">
        <x:v>23</x:v>
      </x:c>
      <x:c r="R202" s="50">
        <x:v>1.03</x:v>
      </x:c>
      <x:c r="S202" s="50">
        <x:f t="shared" si="16"/>
        <x:v>-1</x:v>
      </x:c>
      <x:c r="T202" s="49" t="s">
        <x:v>632</x:v>
      </x:c>
      <x:c r="U202" s="49" t="str">
        <x:f t="shared" si="14"/>
        <x:v>红</x:v>
      </x:c>
      <x:c r="V202" s="50">
        <x:f t="shared" si="15"/>
        <x:v>0.86</x:v>
      </x:c>
      <x:c r="W202" s="50">
        <x:f t="shared" si="17"/>
        <x:v>0.86</x:v>
      </x:c>
      <x:c r="X202" s="57">
        <x:v>0.86</x:v>
      </x:c>
      <x:c r="Y202" s="57">
        <x:v>-0.75</x:v>
      </x:c>
      <x:c r="Z202" s="57">
        <x:v>1.02</x:v>
      </x:c>
      <x:c r="AA202" s="57">
        <x:v>0.75</x:v>
      </x:c>
      <x:c r="AB202" s="57">
        <x:v>0.86</x:v>
      </x:c>
      <x:c r="AC202" s="57">
        <x:v>1.03</x:v>
      </x:c>
      <x:c r="AD202" s="57">
        <x:v>3.76</x:v>
      </x:c>
      <x:c r="AE202" s="57">
        <x:v>3.85</x:v>
      </x:c>
      <x:c r="AF202" s="57">
        <x:v>1.8</x:v>
      </x:c>
      <x:c r="AG202" s="58">
        <x:v>0.081253262104326</x:v>
      </x:c>
      <x:c r="AH202" s="58">
        <x:v>0.031253262104326</x:v>
      </x:c>
      <x:c r="AI202" s="58">
        <x:v>0.24597146305104</x:v>
      </x:c>
      <x:c r="AJ202" s="58">
        <x:v>0.240221480797899</x:v>
      </x:c>
      <x:c r="AK202" s="58">
        <x:v>0.513807056151061</x:v>
      </x:c>
      <x:c r="AL202" s="57">
        <x:v>1.1</x:v>
      </x:c>
      <x:c r="AM202" s="57">
        <x:v>1.7</x:v>
      </x:c>
      <x:c r="AN202" s="57">
        <x:v>0.000154736510351792</x:v>
      </x:c>
      <x:c r="AO202" s="57">
        <x:v>1.05772064956743</x:v>
      </x:c>
      <x:c r="AP202" s="57">
        <x:v>-0.0277206495674296</x:v>
      </x:c>
      <x:c r="AQ202" s="59" t="s">
        <x:v>174</x:v>
      </x:c>
      <x:c r="AR202" s="57">
        <x:v>0.5</x:v>
      </x:c>
      <x:c r="AS202" s="57">
        <x:v>0.485974614780786</x:v>
      </x:c>
      <x:c r="AT202" s="57">
        <x:v>0.514025385219214</x:v>
      </x:c>
      <x:c r="AU202" s="57">
        <x:v>3.75</x:v>
      </x:c>
      <x:c r="AV202" s="57">
        <x:v>3.78</x:v>
      </x:c>
      <x:c r="AW202" s="57">
        <x:v>1.84</x:v>
      </x:c>
      <x:c r="AX202" s="59" t="s">
        <x:v>100</x:v>
      </x:c>
      <x:c r="AY202" s="59" t="s">
        <x:v>101</x:v>
      </x:c>
    </x:row>
    <x:row r="203" ht="22" customHeight="1">
      <x:c r="A203" s="49" t="s">
        <x:v>626</x:v>
      </x:c>
      <x:c r="B203" s="49" t="s">
        <x:v>909</x:v>
      </x:c>
      <x:c r="C203" s="49" t="s">
        <x:v>136</x:v>
      </x:c>
      <x:c r="D203" s="49" t="s">
        <x:v>116</x:v>
      </x:c>
      <x:c r="E203" s="49" t="s">
        <x:v>910</x:v>
      </x:c>
      <x:c r="F203" s="49" t="s">
        <x:v>911</x:v>
      </x:c>
      <x:c r="G203" s="60">
        <x:v>0.94</x:v>
      </x:c>
      <x:c r="H203" s="60">
        <x:v>2.5</x:v>
      </x:c>
      <x:c r="I203" s="60">
        <x:v>0.82</x:v>
      </x:c>
      <x:c r="J203" s="49" t="s">
        <x:v>912</x:v>
      </x:c>
      <x:c r="K203" s="49" t="s">
        <x:v>195</x:v>
      </x:c>
      <x:c r="L203" s="49" t="s">
        <x:v>913</x:v>
      </x:c>
      <x:c r="M203" s="61">
        <x:v>0.548</x:v>
      </x:c>
      <x:c r="N203" s="49" t="s">
        <x:v>96</x:v>
      </x:c>
      <x:c r="O203" s="49" t="s">
        <x:v>201</x:v>
      </x:c>
      <x:c r="P203" s="49" t="s">
        <x:v>30</x:v>
      </x:c>
      <x:c r="Q203" s="49" t="s">
        <x:v>23</x:v>
      </x:c>
      <x:c r="R203" s="50">
        <x:v>0.94</x:v>
      </x:c>
      <x:c r="S203" s="50">
        <x:f t="shared" si="16"/>
        <x:v>-1</x:v>
      </x:c>
      <x:c r="T203" s="49" t="s">
        <x:v>632</x:v>
      </x:c>
      <x:c r="U203" s="49" t="str">
        <x:f t="shared" si="14"/>
        <x:v>红</x:v>
      </x:c>
      <x:c r="V203" s="50">
        <x:f t="shared" si="15"/>
        <x:v>0.82</x:v>
      </x:c>
      <x:c r="W203" s="50">
        <x:f t="shared" si="17"/>
        <x:v>0.82</x:v>
      </x:c>
      <x:c r="X203" s="57">
        <x:v>0.97</x:v>
      </x:c>
      <x:c r="Y203" s="57">
        <x:v>2.5</x:v>
      </x:c>
      <x:c r="Z203" s="57">
        <x:v>0.79</x:v>
      </x:c>
      <x:c r="AA203" s="57">
        <x:v>-2.5</x:v>
      </x:c>
      <x:c r="AB203" s="57">
        <x:v>0.97</x:v>
      </x:c>
      <x:c r="AC203" s="57">
        <x:v>0.94</x:v>
      </x:c>
      <x:c r="AD203" s="57">
        <x:v>1.11</x:v>
      </x:c>
      <x:c r="AE203" s="57">
        <x:v>7.1</x:v>
      </x:c>
      <x:c r="AF203" s="57">
        <x:v>15.82</x:v>
      </x:c>
      <x:c r="AG203" s="58">
        <x:v>0.104957096481464</x:v>
      </x:c>
      <x:c r="AH203" s="58">
        <x:v>0.0549570964814639</x:v>
      </x:c>
      <x:c r="AI203" s="58">
        <x:v>0.815326589393975</x:v>
      </x:c>
      <x:c r="AJ203" s="58">
        <x:v>0.127466551299621</x:v>
      </x:c>
      <x:c r="AK203" s="58">
        <x:v>0.057206859306404</x:v>
      </x:c>
      <x:c r="AL203" s="57">
        <x:v>2.65</x:v>
      </x:c>
      <x:c r="AM203" s="57">
        <x:v>0.57</x:v>
      </x:c>
      <x:c r="AN203" s="57">
        <x:v>0.000134037041656186</x:v>
      </x:c>
      <x:c r="AO203" s="57">
        <x:v>1.62533787294771</x:v>
      </x:c>
      <x:c r="AP203" s="57">
        <x:v>-0.685337872947712</x:v>
      </x:c>
      <x:c r="AQ203" s="59" t="s">
        <x:v>99</x:v>
      </x:c>
      <x:c r="AR203" s="57">
        <x:v>-2.5</x:v>
      </x:c>
      <x:c r="AS203" s="57">
        <x:v>0.380903353547102</x:v>
      </x:c>
      <x:c r="AT203" s="57">
        <x:v>0.619096646452898</x:v>
      </x:c>
      <x:c r="AU203" s="57">
        <x:v>1.09</x:v>
      </x:c>
      <x:c r="AV203" s="57">
        <x:v>8.06</x:v>
      </x:c>
      <x:c r="AW203" s="57">
        <x:v>16.45</x:v>
      </x:c>
      <x:c r="AX203" s="59" t="s">
        <x:v>100</x:v>
      </x:c>
      <x:c r="AY203" s="59" t="s">
        <x:v>101</x:v>
      </x:c>
    </x:row>
    <x:row r="204" ht="22" customHeight="1">
      <x:c r="A204" s="49" t="s">
        <x:v>626</x:v>
      </x:c>
      <x:c r="B204" s="49" t="s">
        <x:v>914</x:v>
      </x:c>
      <x:c r="C204" s="49" t="s">
        <x:v>136</x:v>
      </x:c>
      <x:c r="D204" s="49" t="s">
        <x:v>116</x:v>
      </x:c>
      <x:c r="E204" s="49" t="s">
        <x:v>137</x:v>
      </x:c>
      <x:c r="F204" s="49" t="s">
        <x:v>915</x:v>
      </x:c>
      <x:c r="G204" s="60">
        <x:v>0.85</x:v>
      </x:c>
      <x:c r="H204" s="60">
        <x:v>0.25</x:v>
      </x:c>
      <x:c r="I204" s="60">
        <x:v>1.03</x:v>
      </x:c>
      <x:c r="J204" s="49" t="s">
        <x:v>916</x:v>
      </x:c>
      <x:c r="K204" s="49" t="s">
        <x:v>106</x:v>
      </x:c>
      <x:c r="L204" s="49" t="s">
        <x:v>917</x:v>
      </x:c>
      <x:c r="M204" s="61">
        <x:v>0.572</x:v>
      </x:c>
      <x:c r="N204" s="49" t="s">
        <x:v>96</x:v>
      </x:c>
      <x:c r="O204" s="49" t="s">
        <x:v>149</x:v>
      </x:c>
      <x:c r="P204" s="49" t="s">
        <x:v>30</x:v>
      </x:c>
      <x:c r="Q204" s="49" t="s">
        <x:v>20</x:v>
      </x:c>
      <x:c r="R204" s="50">
        <x:v>0.85</x:v>
      </x:c>
      <x:c r="S204" s="50">
        <x:f t="shared" si="16"/>
        <x:v>-0.5</x:v>
      </x:c>
      <x:c r="T204" s="49" t="s">
        <x:v>632</x:v>
      </x:c>
      <x:c r="U204" s="49" t="str">
        <x:f t="shared" si="14"/>
        <x:v>半红</x:v>
      </x:c>
      <x:c r="V204" s="50">
        <x:f t="shared" si="15"/>
        <x:v>1.03</x:v>
      </x:c>
      <x:c r="W204" s="50">
        <x:f t="shared" si="17"/>
        <x:v>0.515</x:v>
      </x:c>
      <x:c r="X204" s="57">
        <x:v>0.78</x:v>
      </x:c>
      <x:c r="Y204" s="57">
        <x:v>0</x:v>
      </x:c>
      <x:c r="Z204" s="57">
        <x:v>1.04</x:v>
      </x:c>
      <x:c r="AA204" s="57">
        <x:v>0</x:v>
      </x:c>
      <x:c r="AB204" s="57">
        <x:v>0.78</x:v>
      </x:c>
      <x:c r="AC204" s="57">
        <x:v>0.85</x:v>
      </x:c>
      <x:c r="AD204" s="57">
        <x:v>2.35</x:v>
      </x:c>
      <x:c r="AE204" s="57">
        <x:v>3.42</x:v>
      </x:c>
      <x:c r="AF204" s="57">
        <x:v>2.68</x:v>
      </x:c>
      <x:c r="AG204" s="58">
        <x:v>0.0910639040705394</x:v>
      </x:c>
      <x:c r="AH204" s="58">
        <x:v>0.0410639040705394</x:v>
      </x:c>
      <x:c r="AI204" s="58">
        <x:v>0.390015574070449</x:v>
      </x:c>
      <x:c r="AJ204" s="58">
        <x:v>0.267993157621507</x:v>
      </x:c>
      <x:c r="AK204" s="58">
        <x:v>0.341991268308043</x:v>
      </x:c>
      <x:c r="AL204" s="57">
        <x:v>1.31</x:v>
      </x:c>
      <x:c r="AM204" s="57">
        <x:v>1.21</x:v>
      </x:c>
      <x:c r="AN204" s="57">
        <x:v>0.000351323000354591</x:v>
      </x:c>
      <x:c r="AO204" s="57">
        <x:v>1.22259110417446</x:v>
      </x:c>
      <x:c r="AP204" s="57">
        <x:v>-0.372591104174463</x:v>
      </x:c>
      <x:c r="AQ204" s="59" t="s">
        <x:v>99</x:v>
      </x:c>
      <x:c r="AR204" s="57">
        <x:v>-0.25</x:v>
      </x:c>
      <x:c r="AS204" s="57">
        <x:v>0.389550492875792</x:v>
      </x:c>
      <x:c r="AT204" s="57">
        <x:v>0.476260967216721</x:v>
      </x:c>
      <x:c r="AU204" s="57">
        <x:v>2.21</x:v>
      </x:c>
      <x:c r="AV204" s="57">
        <x:v>3.36</x:v>
      </x:c>
      <x:c r="AW204" s="57">
        <x:v>3.01</x:v>
      </x:c>
      <x:c r="AX204" s="59" t="s">
        <x:v>100</x:v>
      </x:c>
      <x:c r="AY204" s="59" t="s">
        <x:v>101</x:v>
      </x:c>
    </x:row>
    <x:row r="205" ht="22" customHeight="1">
      <x:c r="A205" s="49" t="s">
        <x:v>626</x:v>
      </x:c>
      <x:c r="B205" s="49" t="s">
        <x:v>918</x:v>
      </x:c>
      <x:c r="C205" s="49" t="s">
        <x:v>136</x:v>
      </x:c>
      <x:c r="D205" s="49" t="s">
        <x:v>116</x:v>
      </x:c>
      <x:c r="E205" s="49" t="s">
        <x:v>137</x:v>
      </x:c>
      <x:c r="F205" s="49" t="s">
        <x:v>919</x:v>
      </x:c>
      <x:c r="G205" s="60">
        <x:v>0.84</x:v>
      </x:c>
      <x:c r="H205" s="60">
        <x:v>0.5</x:v>
      </x:c>
      <x:c r="I205" s="60">
        <x:v>1.04</x:v>
      </x:c>
      <x:c r="J205" s="49" t="s">
        <x:v>920</x:v>
      </x:c>
      <x:c r="K205" s="49" t="s">
        <x:v>106</x:v>
      </x:c>
      <x:c r="L205" s="49" t="s">
        <x:v>921</x:v>
      </x:c>
      <x:c r="M205" s="61">
        <x:v>0.572</x:v>
      </x:c>
      <x:c r="N205" s="49" t="s">
        <x:v>96</x:v>
      </x:c>
      <x:c r="O205" s="49" t="s">
        <x:v>149</x:v>
      </x:c>
      <x:c r="P205" s="49" t="s">
        <x:v>30</x:v>
      </x:c>
      <x:c r="Q205" s="49" t="s">
        <x:v>23</x:v>
      </x:c>
      <x:c r="R205" s="50">
        <x:v>0.84</x:v>
      </x:c>
      <x:c r="S205" s="50">
        <x:f t="shared" si="16"/>
        <x:v>-1</x:v>
      </x:c>
      <x:c r="T205" s="49" t="s">
        <x:v>632</x:v>
      </x:c>
      <x:c r="U205" s="49" t="str">
        <x:f t="shared" si="14"/>
        <x:v>红</x:v>
      </x:c>
      <x:c r="V205" s="50">
        <x:f t="shared" si="15"/>
        <x:v>1.04</x:v>
      </x:c>
      <x:c r="W205" s="50">
        <x:f t="shared" si="17"/>
        <x:v>1.04</x:v>
      </x:c>
      <x:c r="X205" s="57">
        <x:v>0.8</x:v>
      </x:c>
      <x:c r="Y205" s="57">
        <x:v>0.5</x:v>
      </x:c>
      <x:c r="Z205" s="57">
        <x:v>1.02</x:v>
      </x:c>
      <x:c r="AA205" s="57">
        <x:v>-0.5</x:v>
      </x:c>
      <x:c r="AB205" s="57">
        <x:v>0.8</x:v>
      </x:c>
      <x:c r="AC205" s="57">
        <x:v>0.84</x:v>
      </x:c>
      <x:c r="AD205" s="57">
        <x:v>1.8</x:v>
      </x:c>
      <x:c r="AE205" s="57">
        <x:v>3.71</x:v>
      </x:c>
      <x:c r="AF205" s="57">
        <x:v>3.77</x:v>
      </x:c>
      <x:c r="AG205" s="58">
        <x:v>0.0903493239212172</x:v>
      </x:c>
      <x:c r="AH205" s="58">
        <x:v>0.0403493239212172</x:v>
      </x:c>
      <x:c r="AI205" s="58">
        <x:v>0.509520704390052</x:v>
      </x:c>
      <x:c r="AJ205" s="58">
        <x:v>0.247206810755281</x:v>
      </x:c>
      <x:c r="AK205" s="58">
        <x:v>0.243272484854667</x:v>
      </x:c>
      <x:c r="AL205" s="57">
        <x:v>1.62</x:v>
      </x:c>
      <x:c r="AM205" s="57">
        <x:v>1.04</x:v>
      </x:c>
      <x:c r="AN205" s="57">
        <x:v>0.000557338327603229</x:v>
      </x:c>
      <x:c r="AO205" s="57">
        <x:v>0.965550161256406</x:v>
      </x:c>
      <x:c r="AP205" s="57">
        <x:v>-0.125550161256406</x:v>
      </x:c>
      <x:c r="AQ205" s="59" t="s">
        <x:v>99</x:v>
      </x:c>
      <x:c r="AR205" s="57">
        <x:v>-0.5</x:v>
      </x:c>
      <x:c r="AS205" s="57">
        <x:v>0.508763408694076</x:v>
      </x:c>
      <x:c r="AT205" s="57">
        <x:v>0.491236591305924</x:v>
      </x:c>
      <x:c r="AU205" s="57">
        <x:v>1.82</x:v>
      </x:c>
      <x:c r="AV205" s="57">
        <x:v>3.76</x:v>
      </x:c>
      <x:c r="AW205" s="57">
        <x:v>3.77</x:v>
      </x:c>
      <x:c r="AX205" s="59" t="s">
        <x:v>100</x:v>
      </x:c>
      <x:c r="AY205" s="59" t="s">
        <x:v>101</x:v>
      </x:c>
    </x:row>
    <x:row r="206" ht="22" customHeight="1">
      <x:c r="A206" s="49" t="s">
        <x:v>626</x:v>
      </x:c>
      <x:c r="B206" s="49" t="s">
        <x:v>922</x:v>
      </x:c>
      <x:c r="C206" s="49" t="s">
        <x:v>89</x:v>
      </x:c>
      <x:c r="D206" s="49" t="s">
        <x:v>116</x:v>
      </x:c>
      <x:c r="E206" s="49" t="s">
        <x:v>923</x:v>
      </x:c>
      <x:c r="F206" s="49" t="s">
        <x:v>924</x:v>
      </x:c>
      <x:c r="G206" s="60">
        <x:v>0.84</x:v>
      </x:c>
      <x:c r="H206" s="60">
        <x:v>1</x:v>
      </x:c>
      <x:c r="I206" s="60">
        <x:v>1.05</x:v>
      </x:c>
      <x:c r="J206" s="49" t="s">
        <x:v>925</x:v>
      </x:c>
      <x:c r="K206" s="49" t="s">
        <x:v>106</x:v>
      </x:c>
      <x:c r="L206" s="49" t="s">
        <x:v>926</x:v>
      </x:c>
      <x:c r="M206" s="61">
        <x:v>0.574</x:v>
      </x:c>
      <x:c r="N206" s="49" t="s">
        <x:v>96</x:v>
      </x:c>
      <x:c r="O206" s="49" t="s">
        <x:v>273</x:v>
      </x:c>
      <x:c r="P206" s="49" t="s">
        <x:v>30</x:v>
      </x:c>
      <x:c r="Q206" s="49" t="s">
        <x:v>23</x:v>
      </x:c>
      <x:c r="R206" s="50">
        <x:v>0.84</x:v>
      </x:c>
      <x:c r="S206" s="50">
        <x:f t="shared" si="16"/>
        <x:v>-1</x:v>
      </x:c>
      <x:c r="T206" s="49" t="s">
        <x:v>632</x:v>
      </x:c>
      <x:c r="U206" s="49" t="str">
        <x:f t="shared" si="14"/>
        <x:v>红</x:v>
      </x:c>
      <x:c r="V206" s="50">
        <x:f t="shared" si="15"/>
        <x:v>1.05</x:v>
      </x:c>
      <x:c r="W206" s="50">
        <x:f t="shared" si="17"/>
        <x:v>1.05</x:v>
      </x:c>
      <x:c r="X206" s="57">
        <x:v>0.95</x:v>
      </x:c>
      <x:c r="Y206" s="57">
        <x:v>1</x:v>
      </x:c>
      <x:c r="Z206" s="57">
        <x:v>0.87</x:v>
      </x:c>
      <x:c r="AA206" s="57">
        <x:v>-1</x:v>
      </x:c>
      <x:c r="AB206" s="57">
        <x:v>0.95</x:v>
      </x:c>
      <x:c r="AC206" s="57">
        <x:v>0.84</x:v>
      </x:c>
      <x:c r="AD206" s="57">
        <x:v>1.51</x:v>
      </x:c>
      <x:c r="AE206" s="57">
        <x:v>4.46</x:v>
      </x:c>
      <x:c r="AF206" s="57">
        <x:v>5.16</x:v>
      </x:c>
      <x:c r="AG206" s="58">
        <x:v>0.0802653518783134</x:v>
      </x:c>
      <x:c r="AH206" s="58">
        <x:v>0.0302653518783134</x:v>
      </x:c>
      <x:c r="AI206" s="58">
        <x:v>0.613045354530392</x:v>
      </x:c>
      <x:c r="AJ206" s="58">
        <x:v>0.207555714201994</x:v>
      </x:c>
      <x:c r="AK206" s="58">
        <x:v>0.179398931267615</x:v>
      </x:c>
      <x:c r="AL206" s="57">
        <x:v>2.06</x:v>
      </x:c>
      <x:c r="AM206" s="57">
        <x:v>1.02</x:v>
      </x:c>
      <x:c r="AN206" s="57">
        <x:v>0.000543318631223324</x:v>
      </x:c>
      <x:c r="AO206" s="57">
        <x:v>1.02311971144024</x:v>
      </x:c>
      <x:c r="AP206" s="57">
        <x:v>-0.18311971144024</x:v>
      </x:c>
      <x:c r="AQ206" s="59" t="s">
        <x:v>99</x:v>
      </x:c>
      <x:c r="AR206" s="57">
        <x:v>-1</x:v>
      </x:c>
      <x:c r="AS206" s="57">
        <x:v>0.377751571747519</x:v>
      </x:c>
      <x:c r="AT206" s="57">
        <x:v>0.386485079082418</x:v>
      </x:c>
      <x:c r="AU206" s="57">
        <x:v>1.49</x:v>
      </x:c>
      <x:c r="AV206" s="57">
        <x:v>4.58</x:v>
      </x:c>
      <x:c r="AW206" s="57">
        <x:v>5.49</x:v>
      </x:c>
      <x:c r="AX206" s="59" t="s">
        <x:v>100</x:v>
      </x:c>
      <x:c r="AY206" s="59" t="s">
        <x:v>101</x:v>
      </x:c>
    </x:row>
    <x:row r="207" ht="22" customHeight="1">
      <x:c r="A207" s="49" t="s">
        <x:v>626</x:v>
      </x:c>
      <x:c r="B207" s="49" t="s">
        <x:v>922</x:v>
      </x:c>
      <x:c r="C207" s="49" t="s">
        <x:v>333</x:v>
      </x:c>
      <x:c r="D207" s="49" t="s">
        <x:v>116</x:v>
      </x:c>
      <x:c r="E207" s="49" t="s">
        <x:v>927</x:v>
      </x:c>
      <x:c r="F207" s="49" t="s">
        <x:v>928</x:v>
      </x:c>
      <x:c r="G207" s="60">
        <x:v>0.75</x:v>
      </x:c>
      <x:c r="H207" s="60">
        <x:v>0.25</x:v>
      </x:c>
      <x:c r="I207" s="60">
        <x:v>1.01</x:v>
      </x:c>
      <x:c r="J207" s="49" t="s">
        <x:v>929</x:v>
      </x:c>
      <x:c r="K207" s="49" t="s">
        <x:v>106</x:v>
      </x:c>
      <x:c r="L207" s="49" t="s">
        <x:v>930</x:v>
      </x:c>
      <x:c r="M207" s="61">
        <x:v>0.576</x:v>
      </x:c>
      <x:c r="N207" s="49" t="s">
        <x:v>685</x:v>
      </x:c>
      <x:c r="O207" s="49" t="s">
        <x:v>273</x:v>
      </x:c>
      <x:c r="P207" s="49" t="s">
        <x:v>30</x:v>
      </x:c>
      <x:c r="Q207" s="49" t="s">
        <x:v>20</x:v>
      </x:c>
      <x:c r="R207" s="50">
        <x:v>0.75</x:v>
      </x:c>
      <x:c r="S207" s="50">
        <x:f t="shared" si="16"/>
        <x:v>-0.5</x:v>
      </x:c>
      <x:c r="T207" s="49" t="s">
        <x:v>632</x:v>
      </x:c>
      <x:c r="U207" s="49" t="str">
        <x:f t="shared" si="14"/>
        <x:v>半红</x:v>
      </x:c>
      <x:c r="V207" s="50">
        <x:f t="shared" si="15"/>
        <x:v>1.01</x:v>
      </x:c>
      <x:c r="W207" s="50">
        <x:f t="shared" si="17"/>
        <x:v>0.505</x:v>
      </x:c>
      <x:c r="X207" s="57">
        <x:v>0.7</x:v>
      </x:c>
      <x:c r="Y207" s="57">
        <x:v>0</x:v>
      </x:c>
      <x:c r="Z207" s="57">
        <x:v>1</x:v>
      </x:c>
      <x:c r="AA207" s="57">
        <x:v>0</x:v>
      </x:c>
      <x:c r="AB207" s="57">
        <x:v>0.7</x:v>
      </x:c>
      <x:c r="AC207" s="57">
        <x:v>0.75</x:v>
      </x:c>
      <x:c r="AD207" s="57">
        <x:v>2.34</x:v>
      </x:c>
      <x:c r="AE207" s="57">
        <x:v>3.02</x:v>
      </x:c>
      <x:c r="AF207" s="57">
        <x:v>2.88</x:v>
      </x:c>
      <x:c r="AG207" s="58">
        <x:v>0.105698477387219</x:v>
      </x:c>
      <x:c r="AH207" s="58">
        <x:v>0.0556984773872192</x:v>
      </x:c>
      <x:c r="AI207" s="58">
        <x:v>0.386498160294353</x:v>
      </x:c>
      <x:c r="AJ207" s="58">
        <x:v>0.299472084466485</x:v>
      </x:c>
      <x:c r="AK207" s="58">
        <x:v>0.314029755239162</x:v>
      </x:c>
      <x:c r="AL207" s="57">
        <x:v>1.11</x:v>
      </x:c>
      <x:c r="AM207" s="57">
        <x:v>0.97</x:v>
      </x:c>
      <x:c r="AN207" s="57">
        <x:v>0.000596726513972655</x:v>
      </x:c>
      <x:c r="AO207" s="57">
        <x:v>1.20228379126378</x:v>
      </x:c>
      <x:c r="AP207" s="57">
        <x:v>-0.452283791263779</x:v>
      </x:c>
      <x:c r="AQ207" s="59" t="s">
        <x:v>99</x:v>
      </x:c>
      <x:c r="AR207" s="57">
        <x:v>-0.25</x:v>
      </x:c>
      <x:c r="AS207" s="57">
        <x:v>0.385898047077213</x:v>
      </x:c>
      <x:c r="AT207" s="57">
        <x:v>0.463958967081279</x:v>
      </x:c>
      <x:c r="AU207" s="57">
        <x:v>2.18</x:v>
      </x:c>
      <x:c r="AV207" s="57">
        <x:v>3.05</x:v>
      </x:c>
      <x:c r="AW207" s="57">
        <x:v>3.21</x:v>
      </x:c>
      <x:c r="AX207" s="59" t="s">
        <x:v>100</x:v>
      </x:c>
      <x:c r="AY207" s="59" t="s">
        <x:v>101</x:v>
      </x:c>
    </x:row>
    <x:row r="208" ht="22" customHeight="1">
      <x:c r="A208" s="49" t="s">
        <x:v>626</x:v>
      </x:c>
      <x:c r="B208" s="49" t="s">
        <x:v>922</x:v>
      </x:c>
      <x:c r="C208" s="49" t="s">
        <x:v>333</x:v>
      </x:c>
      <x:c r="D208" s="49" t="s">
        <x:v>116</x:v>
      </x:c>
      <x:c r="E208" s="49" t="s">
        <x:v>927</x:v>
      </x:c>
      <x:c r="F208" s="49" t="s">
        <x:v>931</x:v>
      </x:c>
      <x:c r="G208" s="60">
        <x:v>0.82</x:v>
      </x:c>
      <x:c r="H208" s="60">
        <x:v>0.5</x:v>
      </x:c>
      <x:c r="I208" s="60">
        <x:v>0.94</x:v>
      </x:c>
      <x:c r="J208" s="49" t="s">
        <x:v>932</x:v>
      </x:c>
      <x:c r="K208" s="49" t="s">
        <x:v>106</x:v>
      </x:c>
      <x:c r="L208" s="49" t="s">
        <x:v>933</x:v>
      </x:c>
      <x:c r="M208" s="61">
        <x:v>0.576</x:v>
      </x:c>
      <x:c r="N208" s="49" t="s">
        <x:v>685</x:v>
      </x:c>
      <x:c r="O208" s="49" t="s">
        <x:v>934</x:v>
      </x:c>
      <x:c r="P208" s="49" t="s">
        <x:v>30</x:v>
      </x:c>
      <x:c r="Q208" s="49" t="s">
        <x:v>23</x:v>
      </x:c>
      <x:c r="R208" s="50">
        <x:v>0.82</x:v>
      </x:c>
      <x:c r="S208" s="50">
        <x:f t="shared" si="16"/>
        <x:v>-1</x:v>
      </x:c>
      <x:c r="T208" s="49" t="s">
        <x:v>632</x:v>
      </x:c>
      <x:c r="U208" s="49" t="str">
        <x:f t="shared" si="14"/>
        <x:v>红</x:v>
      </x:c>
      <x:c r="V208" s="50">
        <x:f t="shared" si="15"/>
        <x:v>0.94</x:v>
      </x:c>
      <x:c r="W208" s="50">
        <x:f t="shared" si="17"/>
        <x:v>0.94</x:v>
      </x:c>
      <x:c r="X208" s="57">
        <x:v>0.8</x:v>
      </x:c>
      <x:c r="Y208" s="57">
        <x:v>0.5</x:v>
      </x:c>
      <x:c r="Z208" s="57">
        <x:v>0.9</x:v>
      </x:c>
      <x:c r="AA208" s="57">
        <x:v>-0.5</x:v>
      </x:c>
      <x:c r="AB208" s="57">
        <x:v>0.8</x:v>
      </x:c>
      <x:c r="AC208" s="57">
        <x:v>0.82</x:v>
      </x:c>
      <x:c r="AD208" s="57">
        <x:v>1.76</x:v>
      </x:c>
      <x:c r="AE208" s="57">
        <x:v>3.21</x:v>
      </x:c>
      <x:c r="AF208" s="57">
        <x:v>4.44</x:v>
      </x:c>
      <x:c r="AG208" s="58">
        <x:v>0.104933523157822</x:v>
      </x:c>
      <x:c r="AH208" s="58">
        <x:v>0.0549335231578221</x:v>
      </x:c>
      <x:c r="AI208" s="58">
        <x:v>0.514222626315106</x:v>
      </x:c>
      <x:c r="AJ208" s="58">
        <x:v>0.281941377668095</x:v>
      </x:c>
      <x:c r="AK208" s="58">
        <x:v>0.203835996016799</x:v>
      </x:c>
      <x:c r="AL208" s="57">
        <x:v>1.35</x:v>
      </x:c>
      <x:c r="AM208" s="57">
        <x:v>0.74</x:v>
      </x:c>
      <x:c r="AN208" s="57">
        <x:v>0.000902673580024637</x:v>
      </x:c>
      <x:c r="AO208" s="57">
        <x:v>0.948482847835182</x:v>
      </x:c>
      <x:c r="AP208" s="57">
        <x:v>-0.128482847835182</x:v>
      </x:c>
      <x:c r="AQ208" s="59" t="s">
        <x:v>99</x:v>
      </x:c>
      <x:c r="AR208" s="57">
        <x:v>-0.5</x:v>
      </x:c>
      <x:c r="AS208" s="57">
        <x:v>0.513219811563149</x:v>
      </x:c>
      <x:c r="AT208" s="57">
        <x:v>0.486780188436851</x:v>
      </x:c>
      <x:c r="AU208" s="57">
        <x:v>1.77</x:v>
      </x:c>
      <x:c r="AV208" s="57">
        <x:v>3.21</x:v>
      </x:c>
      <x:c r="AW208" s="57">
        <x:v>4.42</x:v>
      </x:c>
      <x:c r="AX208" s="59" t="s">
        <x:v>100</x:v>
      </x:c>
      <x:c r="AY208" s="59" t="s">
        <x:v>101</x:v>
      </x:c>
    </x:row>
    <x:row r="209" ht="22" customHeight="1">
      <x:c r="A209" s="49" t="s">
        <x:v>626</x:v>
      </x:c>
      <x:c r="B209" s="49" t="s">
        <x:v>922</x:v>
      </x:c>
      <x:c r="C209" s="49" t="s">
        <x:v>333</x:v>
      </x:c>
      <x:c r="D209" s="49" t="s">
        <x:v>116</x:v>
      </x:c>
      <x:c r="E209" s="49" t="s">
        <x:v>602</x:v>
      </x:c>
      <x:c r="F209" s="49" t="s">
        <x:v>935</x:v>
      </x:c>
      <x:c r="G209" s="60">
        <x:v>0.84</x:v>
      </x:c>
      <x:c r="H209" s="60">
        <x:v>0.75</x:v>
      </x:c>
      <x:c r="I209" s="60">
        <x:v>1.05</x:v>
      </x:c>
      <x:c r="J209" s="49" t="s">
        <x:v>936</x:v>
      </x:c>
      <x:c r="K209" s="49" t="s">
        <x:v>106</x:v>
      </x:c>
      <x:c r="L209" s="49" t="s">
        <x:v>937</x:v>
      </x:c>
      <x:c r="M209" s="61">
        <x:v>0.576</x:v>
      </x:c>
      <x:c r="N209" s="49" t="s">
        <x:v>685</x:v>
      </x:c>
      <x:c r="O209" s="49" t="s">
        <x:v>178</x:v>
      </x:c>
      <x:c r="P209" s="49" t="s">
        <x:v>30</x:v>
      </x:c>
      <x:c r="Q209" s="49" t="s">
        <x:v>14</x:v>
      </x:c>
      <x:c r="R209" s="50">
        <x:v>0.84</x:v>
      </x:c>
      <x:c r="S209" s="50">
        <x:f t="shared" si="16"/>
        <x:v>0.42</x:v>
      </x:c>
      <x:c r="T209" s="49" t="s">
        <x:v>632</x:v>
      </x:c>
      <x:c r="U209" s="49" t="str">
        <x:f t="shared" si="14"/>
        <x:v>半黑</x:v>
      </x:c>
      <x:c r="V209" s="50">
        <x:f t="shared" si="15"/>
        <x:v>1.05</x:v>
      </x:c>
      <x:c r="W209" s="50">
        <x:f t="shared" si="17"/>
        <x:v>-0.5</x:v>
      </x:c>
      <x:c r="X209" s="57">
        <x:v>1.03</x:v>
      </x:c>
      <x:c r="Y209" s="57">
        <x:v>0.75</x:v>
      </x:c>
      <x:c r="Z209" s="57">
        <x:v>0.85</x:v>
      </x:c>
      <x:c r="AA209" s="57">
        <x:v>-0.75</x:v>
      </x:c>
      <x:c r="AB209" s="57">
        <x:v>1.03</x:v>
      </x:c>
      <x:c r="AC209" s="57">
        <x:v>0.84</x:v>
      </x:c>
      <x:c r="AD209" s="57">
        <x:v>1.71</x:v>
      </x:c>
      <x:c r="AE209" s="57">
        <x:v>3.61</x:v>
      </x:c>
      <x:c r="AF209" s="57">
        <x:v>4.99</x:v>
      </x:c>
      <x:c r="AG209" s="58">
        <x:v>0.0622044334899408</x:v>
      </x:c>
      <x:c r="AH209" s="58">
        <x:v>0.0122044334899408</x:v>
      </x:c>
      <x:c r="AI209" s="58">
        <x:v>0.55054874862087</x:v>
      </x:c>
      <x:c r="AJ209" s="58">
        <x:v>0.260786249346728</x:v>
      </x:c>
      <x:c r="AK209" s="58">
        <x:v>0.188665002032402</x:v>
      </x:c>
      <x:c r="AL209" s="57">
        <x:v>1.51</x:v>
      </x:c>
      <x:c r="AM209" s="57">
        <x:v>0.76</x:v>
      </x:c>
      <x:c r="AN209" s="57">
        <x:v>0.000525860580447127</x:v>
      </x:c>
      <x:c r="AO209" s="57">
        <x:v>1.07070293061504</x:v>
      </x:c>
      <x:c r="AP209" s="57">
        <x:v>-0.230702930615039</x:v>
      </x:c>
      <x:c r="AQ209" s="59" t="s">
        <x:v>99</x:v>
      </x:c>
      <x:c r="AR209" s="57">
        <x:v>-0.75</x:v>
      </x:c>
      <x:c r="AS209" s="57">
        <x:v>0.419091757248149</x:v>
      </x:c>
      <x:c r="AT209" s="57">
        <x:v>0.4487227726822</x:v>
      </x:c>
      <x:c r="AU209" s="57">
        <x:v>1.66</x:v>
      </x:c>
      <x:c r="AV209" s="57">
        <x:v>3.81</x:v>
      </x:c>
      <x:c r="AW209" s="57">
        <x:v>5.32</x:v>
      </x:c>
      <x:c r="AX209" s="59" t="s">
        <x:v>100</x:v>
      </x:c>
      <x:c r="AY209" s="59" t="s">
        <x:v>101</x:v>
      </x:c>
    </x:row>
    <x:row r="210" ht="22" customHeight="1">
      <x:c r="A210" s="49" t="s">
        <x:v>626</x:v>
      </x:c>
      <x:c r="B210" s="49" t="s">
        <x:v>922</x:v>
      </x:c>
      <x:c r="C210" s="49" t="s">
        <x:v>89</x:v>
      </x:c>
      <x:c r="D210" s="49" t="s">
        <x:v>116</x:v>
      </x:c>
      <x:c r="E210" s="49" t="s">
        <x:v>938</x:v>
      </x:c>
      <x:c r="F210" s="49" t="s">
        <x:v>939</x:v>
      </x:c>
      <x:c r="G210" s="60">
        <x:v>1.08</x:v>
      </x:c>
      <x:c r="H210" s="60">
        <x:v>0</x:v>
      </x:c>
      <x:c r="I210" s="60">
        <x:v>0.76</x:v>
      </x:c>
      <x:c r="J210" s="49" t="s">
        <x:v>940</x:v>
      </x:c>
      <x:c r="K210" s="49" t="s">
        <x:v>106</x:v>
      </x:c>
      <x:c r="L210" s="49" t="s">
        <x:v>941</x:v>
      </x:c>
      <x:c r="M210" s="61">
        <x:v>0.574</x:v>
      </x:c>
      <x:c r="N210" s="49" t="s">
        <x:v>96</x:v>
      </x:c>
      <x:c r="O210" s="49" t="s">
        <x:v>169</x:v>
      </x:c>
      <x:c r="P210" s="49" t="s">
        <x:v>30</x:v>
      </x:c>
      <x:c r="Q210" s="49" t="s">
        <x:v>11</x:v>
      </x:c>
      <x:c r="R210" s="50">
        <x:v>0.76</x:v>
      </x:c>
      <x:c r="S210" s="50">
        <x:f t="shared" si="16"/>
        <x:v>0.76</x:v>
      </x:c>
      <x:c r="T210" s="49" t="s">
        <x:v>632</x:v>
      </x:c>
      <x:c r="U210" s="49" t="str">
        <x:f t="shared" si="14"/>
        <x:v>黑</x:v>
      </x:c>
      <x:c r="V210" s="50">
        <x:f t="shared" si="15"/>
        <x:v>1.08</x:v>
      </x:c>
      <x:c r="W210" s="50">
        <x:f t="shared" si="17"/>
        <x:v>-1</x:v>
      </x:c>
      <x:c r="X210" s="57">
        <x:v>0.95</x:v>
      </x:c>
      <x:c r="Y210" s="57">
        <x:v>0</x:v>
      </x:c>
      <x:c r="Z210" s="57">
        <x:v>0.75</x:v>
      </x:c>
      <x:c r="AA210" s="57">
        <x:v>0</x:v>
      </x:c>
      <x:c r="AB210" s="57">
        <x:v>0.75</x:v>
      </x:c>
      <x:c r="AC210" s="57">
        <x:v>0.76</x:v>
      </x:c>
      <x:c r="AD210" s="57">
        <x:v>2.59</x:v>
      </x:c>
      <x:c r="AE210" s="57">
        <x:v>3.21</x:v>
      </x:c>
      <x:c r="AF210" s="57">
        <x:v>2.44</x:v>
      </x:c>
      <x:c r="AG210" s="58">
        <x:v>0.107462931424935</x:v>
      </x:c>
      <x:c r="AH210" s="58">
        <x:v>0.0574629314249354</x:v>
      </x:c>
      <x:c r="AI210" s="58">
        <x:v>0.348635042442101</x:v>
      </x:c>
      <x:c r="AJ210" s="58">
        <x:v>0.281297432998455</x:v>
      </x:c>
      <x:c r="AK210" s="58">
        <x:v>0.370067524559443</x:v>
      </x:c>
      <x:c r="AL210" s="57">
        <x:v>1.15</x:v>
      </x:c>
      <x:c r="AM210" s="57">
        <x:v>1.19</x:v>
      </x:c>
      <x:c r="AN210" s="57">
        <x:v>0.000843694957500265</x:v>
      </x:c>
      <x:c r="AO210" s="57">
        <x:v>0.946908016428722</x:v>
      </x:c>
      <x:c r="AP210" s="57">
        <x:v>-0.186908016428722</x:v>
      </x:c>
      <x:c r="AQ210" s="59" t="s">
        <x:v>150</x:v>
      </x:c>
      <x:c r="AR210" s="57">
        <x:v>0</x:v>
      </x:c>
      <x:c r="AS210" s="57">
        <x:v>0.369442153245436</x:v>
      </x:c>
      <x:c r="AT210" s="57">
        <x:v>0.349827736514791</x:v>
      </x:c>
      <x:c r="AU210" s="57">
        <x:v>2.75</x:v>
      </x:c>
      <x:c r="AV210" s="57">
        <x:v>3.19</x:v>
      </x:c>
      <x:c r="AW210" s="57">
        <x:v>2.35</x:v>
      </x:c>
      <x:c r="AX210" s="59" t="s">
        <x:v>100</x:v>
      </x:c>
      <x:c r="AY210" s="59" t="s">
        <x:v>101</x:v>
      </x:c>
    </x:row>
    <x:row r="211" ht="22" customHeight="1">
      <x:c r="A211" s="49" t="s">
        <x:v>626</x:v>
      </x:c>
      <x:c r="B211" s="49" t="s">
        <x:v>922</x:v>
      </x:c>
      <x:c r="C211" s="49" t="s">
        <x:v>89</x:v>
      </x:c>
      <x:c r="D211" s="49" t="s">
        <x:v>116</x:v>
      </x:c>
      <x:c r="E211" s="49" t="s">
        <x:v>347</x:v>
      </x:c>
      <x:c r="F211" s="49" t="s">
        <x:v>942</x:v>
      </x:c>
      <x:c r="G211" s="60">
        <x:v>1.06</x:v>
      </x:c>
      <x:c r="H211" s="60">
        <x:v>-1</x:v>
      </x:c>
      <x:c r="I211" s="60">
        <x:v>0.82</x:v>
      </x:c>
      <x:c r="J211" s="49" t="s">
        <x:v>943</x:v>
      </x:c>
      <x:c r="K211" s="49" t="s">
        <x:v>132</x:v>
      </x:c>
      <x:c r="L211" s="49" t="s">
        <x:v>944</x:v>
      </x:c>
      <x:c r="M211" s="61">
        <x:v>0.576</x:v>
      </x:c>
      <x:c r="N211" s="49" t="s">
        <x:v>96</x:v>
      </x:c>
      <x:c r="O211" s="49" t="s">
        <x:v>653</x:v>
      </x:c>
      <x:c r="P211" s="49" t="s">
        <x:v>30</x:v>
      </x:c>
      <x:c r="Q211" s="49" t="s">
        <x:v>23</x:v>
      </x:c>
      <x:c r="R211" s="50">
        <x:v>1.06</x:v>
      </x:c>
      <x:c r="S211" s="50">
        <x:f t="shared" si="16"/>
        <x:v>-1</x:v>
      </x:c>
      <x:c r="T211" s="49" t="s">
        <x:v>632</x:v>
      </x:c>
      <x:c r="U211" s="49" t="str">
        <x:f t="shared" si="14"/>
        <x:v>红</x:v>
      </x:c>
      <x:c r="V211" s="50">
        <x:f t="shared" si="15"/>
        <x:v>0.82</x:v>
      </x:c>
      <x:c r="W211" s="50">
        <x:f t="shared" si="17"/>
        <x:v>0.82</x:v>
      </x:c>
      <x:c r="X211" s="57">
        <x:v>0.75</x:v>
      </x:c>
      <x:c r="Y211" s="57">
        <x:v>-1.25</x:v>
      </x:c>
      <x:c r="Z211" s="57">
        <x:v>0.95</x:v>
      </x:c>
      <x:c r="AA211" s="57">
        <x:v>1.25</x:v>
      </x:c>
      <x:c r="AB211" s="57">
        <x:v>0.75</x:v>
      </x:c>
      <x:c r="AC211" s="57">
        <x:v>1.06</x:v>
      </x:c>
      <x:c r="AD211" s="57">
        <x:v>5.72</x:v>
      </x:c>
      <x:c r="AE211" s="57">
        <x:v>4.23</x:v>
      </x:c>
      <x:c r="AF211" s="57">
        <x:v>1.47</x:v>
      </x:c>
      <x:c r="AG211" s="58">
        <x:v>0.091503903054055</x:v>
      </x:c>
      <x:c r="AH211" s="58">
        <x:v>0.041503903054055</x:v>
      </x:c>
      <x:c r="AI211" s="58">
        <x:v>0.160169078952452</x:v>
      </x:c>
      <x:c r="AJ211" s="58">
        <x:v>0.21658797437542</x:v>
      </x:c>
      <x:c r="AK211" s="58">
        <x:v>0.623242946672127</x:v>
      </x:c>
      <x:c r="AL211" s="57">
        <x:v>0.84</x:v>
      </x:c>
      <x:c r="AM211" s="57">
        <x:v>1.9</x:v>
      </x:c>
      <x:c r="AN211" s="57">
        <x:v>0.000249350109398415</x:v>
      </x:c>
      <x:c r="AO211" s="57">
        <x:v>0.990319135302135</x:v>
      </x:c>
      <x:c r="AP211" s="57">
        <x:v>0.0696808646978647</x:v>
      </x:c>
      <x:c r="AQ211" s="59" t="s">
        <x:v>142</x:v>
      </x:c>
      <x:c r="AR211" s="57">
        <x:v>1</x:v>
      </x:c>
      <x:c r="AS211" s="57">
        <x:v>0.376631913340119</x:v>
      </x:c>
      <x:c r="AT211" s="57">
        <x:v>0.372985790746175</x:v>
      </x:c>
      <x:c r="AU211" s="57">
        <x:v>5.76</x:v>
      </x:c>
      <x:c r="AV211" s="57">
        <x:v>4.35</x:v>
      </x:c>
      <x:c r="AW211" s="57">
        <x:v>1.48</x:v>
      </x:c>
      <x:c r="AX211" s="59" t="s">
        <x:v>100</x:v>
      </x:c>
      <x:c r="AY211" s="59" t="s">
        <x:v>101</x:v>
      </x:c>
    </x:row>
    <x:row r="212" ht="22" customHeight="1">
      <x:c r="A212" s="49" t="s">
        <x:v>626</x:v>
      </x:c>
      <x:c r="B212" s="49" t="s">
        <x:v>922</x:v>
      </x:c>
      <x:c r="C212" s="49" t="s">
        <x:v>89</x:v>
      </x:c>
      <x:c r="D212" s="49" t="s">
        <x:v>116</x:v>
      </x:c>
      <x:c r="E212" s="49" t="s">
        <x:v>387</x:v>
      </x:c>
      <x:c r="F212" s="49" t="s">
        <x:v>945</x:v>
      </x:c>
      <x:c r="G212" s="60">
        <x:v>0.93</x:v>
      </x:c>
      <x:c r="H212" s="60">
        <x:v>1.25</x:v>
      </x:c>
      <x:c r="I212" s="60">
        <x:v>0.96</x:v>
      </x:c>
      <x:c r="J212" s="49" t="s">
        <x:v>946</x:v>
      </x:c>
      <x:c r="K212" s="49" t="s">
        <x:v>94</x:v>
      </x:c>
      <x:c r="L212" s="49" t="s">
        <x:v>947</x:v>
      </x:c>
      <x:c r="M212" s="61">
        <x:v>0.528</x:v>
      </x:c>
      <x:c r="N212" s="49" t="s">
        <x:v>96</x:v>
      </x:c>
      <x:c r="O212" s="49" t="s">
        <x:v>134</x:v>
      </x:c>
      <x:c r="P212" s="49" t="s">
        <x:v>30</x:v>
      </x:c>
      <x:c r="Q212" s="49" t="s">
        <x:v>23</x:v>
      </x:c>
      <x:c r="R212" s="50">
        <x:v>0.93</x:v>
      </x:c>
      <x:c r="S212" s="50">
        <x:f t="shared" si="16"/>
        <x:v>-1</x:v>
      </x:c>
      <x:c r="T212" s="49" t="s">
        <x:v>632</x:v>
      </x:c>
      <x:c r="U212" s="49" t="str">
        <x:f t="shared" si="14"/>
        <x:v>红</x:v>
      </x:c>
      <x:c r="V212" s="50">
        <x:f t="shared" si="15"/>
        <x:v>0.96</x:v>
      </x:c>
      <x:c r="W212" s="50">
        <x:f t="shared" si="17"/>
        <x:v>0.96</x:v>
      </x:c>
      <x:c r="X212" s="57">
        <x:v>0.83</x:v>
      </x:c>
      <x:c r="Y212" s="57">
        <x:v>1</x:v>
      </x:c>
      <x:c r="Z212" s="57">
        <x:v>1.05</x:v>
      </x:c>
      <x:c r="AA212" s="57">
        <x:v>-1</x:v>
      </x:c>
      <x:c r="AB212" s="57">
        <x:v>0.83</x:v>
      </x:c>
      <x:c r="AC212" s="57">
        <x:v>0.93</x:v>
      </x:c>
      <x:c r="AD212" s="57">
        <x:v>1.49</x:v>
      </x:c>
      <x:c r="AE212" s="57">
        <x:v>4.68</x:v>
      </x:c>
      <x:c r="AF212" s="57">
        <x:v>5.06</x:v>
      </x:c>
      <x:c r="AG212" s="58">
        <x:v>0.0824446117705528</x:v>
      </x:c>
      <x:c r="AH212" s="58">
        <x:v>0.0324446117705528</x:v>
      </x:c>
      <x:c r="AI212" s="58">
        <x:v>0.620023354820466</x:v>
      </x:c>
      <x:c r="AJ212" s="58">
        <x:v>0.19740059800908</x:v>
      </x:c>
      <x:c r="AK212" s="58">
        <x:v>0.182576047170454</x:v>
      </x:c>
      <x:c r="AL212" s="57">
        <x:v>2.21</x:v>
      </x:c>
      <x:c r="AM212" s="57">
        <x:v>1.12</x:v>
      </x:c>
      <x:c r="AN212" s="57">
        <x:v>0.000477056962688217</x:v>
      </x:c>
      <x:c r="AO212" s="57">
        <x:v>1.25128781404896</x:v>
      </x:c>
      <x:c r="AP212" s="57">
        <x:v>-0.321287814048963</x:v>
      </x:c>
      <x:c r="AQ212" s="59" t="s">
        <x:v>99</x:v>
      </x:c>
      <x:c r="AR212" s="57">
        <x:v>-1.25</x:v>
      </x:c>
      <x:c r="AS212" s="57">
        <x:v>0.393810587784745</x:v>
      </x:c>
      <x:c r="AT212" s="57">
        <x:v>0.492770389538511</x:v>
      </x:c>
      <x:c r="AU212" s="57">
        <x:v>1.46</x:v>
      </x:c>
      <x:c r="AV212" s="57">
        <x:v>4.92</x:v>
      </x:c>
      <x:c r="AW212" s="57">
        <x:v>5.39</x:v>
      </x:c>
      <x:c r="AX212" s="59" t="s">
        <x:v>100</x:v>
      </x:c>
      <x:c r="AY212" s="59" t="s">
        <x:v>101</x:v>
      </x:c>
    </x:row>
    <x:row r="213" ht="22" customHeight="1">
      <x:c r="A213" s="49" t="s">
        <x:v>626</x:v>
      </x:c>
      <x:c r="B213" s="49" t="s">
        <x:v>922</x:v>
      </x:c>
      <x:c r="C213" s="49" t="s">
        <x:v>89</x:v>
      </x:c>
      <x:c r="D213" s="49" t="s">
        <x:v>116</x:v>
      </x:c>
      <x:c r="E213" s="49" t="s">
        <x:v>387</x:v>
      </x:c>
      <x:c r="F213" s="49" t="s">
        <x:v>948</x:v>
      </x:c>
      <x:c r="G213" s="60">
        <x:v>0.96</x:v>
      </x:c>
      <x:c r="H213" s="60">
        <x:v>0.25</x:v>
      </x:c>
      <x:c r="I213" s="60">
        <x:v>0.93</x:v>
      </x:c>
      <x:c r="J213" s="49" t="s">
        <x:v>949</x:v>
      </x:c>
      <x:c r="K213" s="49" t="s">
        <x:v>94</x:v>
      </x:c>
      <x:c r="L213" s="49" t="s">
        <x:v>392</x:v>
      </x:c>
      <x:c r="M213" s="61">
        <x:v>0.528</x:v>
      </x:c>
      <x:c r="N213" s="49" t="s">
        <x:v>96</x:v>
      </x:c>
      <x:c r="O213" s="49" t="s">
        <x:v>197</x:v>
      </x:c>
      <x:c r="P213" s="49" t="s">
        <x:v>30</x:v>
      </x:c>
      <x:c r="Q213" s="49" t="s">
        <x:v>11</x:v>
      </x:c>
      <x:c r="R213" s="50">
        <x:v>0.96</x:v>
      </x:c>
      <x:c r="S213" s="50">
        <x:f t="shared" si="16"/>
        <x:v>0.96</x:v>
      </x:c>
      <x:c r="T213" s="49" t="s">
        <x:v>632</x:v>
      </x:c>
      <x:c r="U213" s="49" t="str">
        <x:f t="shared" si="14"/>
        <x:v>黑</x:v>
      </x:c>
      <x:c r="V213" s="50">
        <x:f t="shared" si="15"/>
        <x:v>0.93</x:v>
      </x:c>
      <x:c r="W213" s="50">
        <x:f t="shared" si="17"/>
        <x:v>-1</x:v>
      </x:c>
      <x:c r="X213" s="57">
        <x:v>0.9</x:v>
      </x:c>
      <x:c r="Y213" s="57">
        <x:v>0</x:v>
      </x:c>
      <x:c r="Z213" s="57">
        <x:v>0.98</x:v>
      </x:c>
      <x:c r="AA213" s="57">
        <x:v>0</x:v>
      </x:c>
      <x:c r="AB213" s="57">
        <x:v>0.9</x:v>
      </x:c>
      <x:c r="AC213" s="57">
        <x:v>0.96</x:v>
      </x:c>
      <x:c r="AD213" s="57">
        <x:v>2.4</x:v>
      </x:c>
      <x:c r="AE213" s="57">
        <x:v>3.63</x:v>
      </x:c>
      <x:c r="AF213" s="57">
        <x:v>2.53</x:v>
      </x:c>
      <x:c r="AG213" s="58">
        <x:v>0.0874056773266259</x:v>
      </x:c>
      <x:c r="AH213" s="58">
        <x:v>0.0374056773266258</x:v>
      </x:c>
      <x:c r="AI213" s="58">
        <x:v>0.383174996557896</x:v>
      </x:c>
      <x:c r="AJ213" s="58">
        <x:v>0.253338840699436</x:v>
      </x:c>
      <x:c r="AK213" s="58">
        <x:v>0.363486162742668</x:v>
      </x:c>
      <x:c r="AL213" s="57">
        <x:v>1.41</x:v>
      </x:c>
      <x:c r="AM213" s="57">
        <x:v>1.37</x:v>
      </x:c>
      <x:c r="AN213" s="57">
        <x:v>0.000688951724660212</x:v>
      </x:c>
      <x:c r="AO213" s="57">
        <x:v>1.28440415443095</x:v>
      </x:c>
      <x:c r="AP213" s="57">
        <x:v>-0.324404154430953</x:v>
      </x:c>
      <x:c r="AQ213" s="59" t="s">
        <x:v>99</x:v>
      </x:c>
      <x:c r="AR213" s="57">
        <x:v>-0.25</x:v>
      </x:c>
      <x:c r="AS213" s="57">
        <x:v>0.382201293328873</x:v>
      </x:c>
      <x:c r="AT213" s="57">
        <x:v>0.490900928980487</x:v>
      </x:c>
      <x:c r="AU213" s="57">
        <x:v>2.23</x:v>
      </x:c>
      <x:c r="AV213" s="57">
        <x:v>3.7</x:v>
      </x:c>
      <x:c r="AW213" s="57">
        <x:v>2.82</x:v>
      </x:c>
      <x:c r="AX213" s="59" t="s">
        <x:v>100</x:v>
      </x:c>
      <x:c r="AY213" s="59" t="s">
        <x:v>101</x:v>
      </x:c>
    </x:row>
    <x:row r="214" ht="22" customHeight="1">
      <x:c r="A214" s="49" t="s">
        <x:v>626</x:v>
      </x:c>
      <x:c r="B214" s="49" t="s">
        <x:v>922</x:v>
      </x:c>
      <x:c r="C214" s="49" t="s">
        <x:v>89</x:v>
      </x:c>
      <x:c r="D214" s="49" t="s">
        <x:v>116</x:v>
      </x:c>
      <x:c r="E214" s="49" t="s">
        <x:v>784</x:v>
      </x:c>
      <x:c r="F214" s="49" t="s">
        <x:v>950</x:v>
      </x:c>
      <x:c r="G214" s="60">
        <x:v>0.72</x:v>
      </x:c>
      <x:c r="H214" s="60">
        <x:v>0.5</x:v>
      </x:c>
      <x:c r="I214" s="60">
        <x:v>0.98</x:v>
      </x:c>
      <x:c r="J214" s="49" t="s">
        <x:v>951</x:v>
      </x:c>
      <x:c r="K214" s="49" t="s">
        <x:v>132</x:v>
      </x:c>
      <x:c r="L214" s="49" t="s">
        <x:v>952</x:v>
      </x:c>
      <x:c r="M214" s="61">
        <x:v>0.576</x:v>
      </x:c>
      <x:c r="N214" s="49" t="s">
        <x:v>96</x:v>
      </x:c>
      <x:c r="O214" s="49" t="s">
        <x:v>149</x:v>
      </x:c>
      <x:c r="P214" s="49" t="s">
        <x:v>30</x:v>
      </x:c>
      <x:c r="Q214" s="49" t="s">
        <x:v>11</x:v>
      </x:c>
      <x:c r="R214" s="50">
        <x:v>0.98</x:v>
      </x:c>
      <x:c r="S214" s="50">
        <x:f t="shared" si="16"/>
        <x:v>0.98</x:v>
      </x:c>
      <x:c r="T214" s="49" t="s">
        <x:v>632</x:v>
      </x:c>
      <x:c r="U214" s="49" t="str">
        <x:f t="shared" si="14"/>
        <x:v>黑</x:v>
      </x:c>
      <x:c r="V214" s="50">
        <x:f t="shared" si="15"/>
        <x:v>0.72</x:v>
      </x:c>
      <x:c r="W214" s="50">
        <x:f t="shared" si="17"/>
        <x:v>-1</x:v>
      </x:c>
      <x:c r="X214" s="57">
        <x:v>0.95</x:v>
      </x:c>
      <x:c r="Y214" s="57">
        <x:v>0.75</x:v>
      </x:c>
      <x:c r="Z214" s="57">
        <x:v>0.75</x:v>
      </x:c>
      <x:c r="AA214" s="57">
        <x:v>0.75</x:v>
      </x:c>
      <x:c r="AB214" s="57">
        <x:v>0.75</x:v>
      </x:c>
      <x:c r="AC214" s="57">
        <x:v>0.98</x:v>
      </x:c>
      <x:c r="AD214" s="57">
        <x:v>1.85</x:v>
      </x:c>
      <x:c r="AE214" s="57">
        <x:v>3.21</x:v>
      </x:c>
      <x:c r="AF214" s="57">
        <x:v>3.97</x:v>
      </x:c>
      <x:c r="AG214" s="58">
        <x:v>0.103956189057062</x:v>
      </x:c>
      <x:c r="AH214" s="58">
        <x:v>0.0539561890570622</x:v>
      </x:c>
      <x:c r="AI214" s="58">
        <x:v>0.489639485605167</x:v>
      </x:c>
      <x:c r="AJ214" s="58">
        <x:v>0.282190980800486</x:v>
      </x:c>
      <x:c r="AK214" s="58">
        <x:v>0.228169533594347</x:v>
      </x:c>
      <x:c r="AL214" s="57">
        <x:v>1.33</x:v>
      </x:c>
      <x:c r="AM214" s="57">
        <x:v>0.81</x:v>
      </x:c>
      <x:c r="AN214" s="57">
        <x:v>0.00051180944595993</x:v>
      </x:c>
      <x:c r="AO214" s="57">
        <x:v>0.957987973245433</x:v>
      </x:c>
      <x:c r="AP214" s="57">
        <x:v>0.0220120267545669</x:v>
      </x:c>
      <x:c r="AQ214" s="59" t="s">
        <x:v>174</x:v>
      </x:c>
      <x:c r="AR214" s="57">
        <x:v>0.5</x:v>
      </x:c>
      <x:c r="AS214" s="57">
        <x:v>0.510728366907416</x:v>
      </x:c>
      <x:c r="AT214" s="57">
        <x:v>0.489271633092585</x:v>
      </x:c>
      <x:c r="AU214" s="57">
        <x:v>1.78</x:v>
      </x:c>
      <x:c r="AV214" s="57">
        <x:v>3.32</x:v>
      </x:c>
      <x:c r="AW214" s="57">
        <x:v>4.13</x:v>
      </x:c>
      <x:c r="AX214" s="59" t="s">
        <x:v>100</x:v>
      </x:c>
      <x:c r="AY214" s="59" t="s">
        <x:v>101</x:v>
      </x:c>
    </x:row>
    <x:row r="215" ht="22" customHeight="1">
      <x:c r="A215" s="49" t="s">
        <x:v>626</x:v>
      </x:c>
      <x:c r="B215" s="49" t="s">
        <x:v>922</x:v>
      </x:c>
      <x:c r="C215" s="49" t="s">
        <x:v>333</x:v>
      </x:c>
      <x:c r="D215" s="49" t="s">
        <x:v>116</x:v>
      </x:c>
      <x:c r="E215" s="49" t="s">
        <x:v>953</x:v>
      </x:c>
      <x:c r="F215" s="49" t="s">
        <x:v>954</x:v>
      </x:c>
      <x:c r="G215" s="60">
        <x:v>0.84</x:v>
      </x:c>
      <x:c r="H215" s="60">
        <x:v>0.5</x:v>
      </x:c>
      <x:c r="I215" s="60">
        <x:v>0.86</x:v>
      </x:c>
      <x:c r="J215" s="49" t="s">
        <x:v>955</x:v>
      </x:c>
      <x:c r="K215" s="49" t="s">
        <x:v>132</x:v>
      </x:c>
      <x:c r="L215" s="49" t="s">
        <x:v>956</x:v>
      </x:c>
      <x:c r="M215" s="61">
        <x:v>0.603</x:v>
      </x:c>
      <x:c r="N215" s="49" t="s">
        <x:v>685</x:v>
      </x:c>
      <x:c r="O215" s="49" t="s">
        <x:v>231</x:v>
      </x:c>
      <x:c r="P215" s="49" t="s">
        <x:v>30</x:v>
      </x:c>
      <x:c r="Q215" s="49" t="s">
        <x:v>11</x:v>
      </x:c>
      <x:c r="R215" s="50">
        <x:v>0.84</x:v>
      </x:c>
      <x:c r="S215" s="50">
        <x:f t="shared" si="16"/>
        <x:v>0.84</x:v>
      </x:c>
      <x:c r="T215" s="49" t="s">
        <x:v>632</x:v>
      </x:c>
      <x:c r="U215" s="49" t="str">
        <x:f t="shared" si="14"/>
        <x:v>黑</x:v>
      </x:c>
      <x:c r="V215" s="50">
        <x:f t="shared" si="15"/>
        <x:v>0.86</x:v>
      </x:c>
      <x:c r="W215" s="50">
        <x:f t="shared" si="17"/>
        <x:v>-1</x:v>
      </x:c>
      <x:c r="X215" s="57">
        <x:v>0.82</x:v>
      </x:c>
      <x:c r="Y215" s="57">
        <x:v>0.75</x:v>
      </x:c>
      <x:c r="Z215" s="57">
        <x:v>0.88</x:v>
      </x:c>
      <x:c r="AA215" s="57">
        <x:v>-0.75</x:v>
      </x:c>
      <x:c r="AB215" s="57">
        <x:v>0.82</x:v>
      </x:c>
      <x:c r="AC215" s="57">
        <x:v>0.84</x:v>
      </x:c>
      <x:c r="AD215" s="57">
        <x:v>1.62</x:v>
      </x:c>
      <x:c r="AE215" s="57">
        <x:v>3.49</x:v>
      </x:c>
      <x:c r="AF215" s="57">
        <x:v>4.95</x:v>
      </x:c>
      <x:c r="AG215" s="58">
        <x:v>0.105837103926884</x:v>
      </x:c>
      <x:c r="AH215" s="58">
        <x:v>0.0558371039268842</x:v>
      </x:c>
      <x:c r="AI215" s="58">
        <x:v>0.558205135661733</x:v>
      </x:c>
      <x:c r="AJ215" s="58">
        <x:v>0.259109547212609</x:v>
      </x:c>
      <x:c r="AK215" s="58">
        <x:v>0.182685317125658</x:v>
      </x:c>
      <x:c r="AL215" s="57">
        <x:v>1.52</x:v>
      </x:c>
      <x:c r="AM215" s="57">
        <x:v>0.74</x:v>
      </x:c>
      <x:c r="AN215" s="57">
        <x:v>0.000817669629957393</x:v>
      </x:c>
      <x:c r="AO215" s="57">
        <x:v>0.788327728068303</x:v>
      </x:c>
      <x:c r="AP215" s="57">
        <x:v>0.051672271931697</x:v>
      </x:c>
      <x:c r="AQ215" s="59" t="s">
        <x:v>165</x:v>
      </x:c>
      <x:c r="AR215" s="57">
        <x:v>-0.5</x:v>
      </x:c>
      <x:c r="AS215" s="57">
        <x:v>0.55918162219638</x:v>
      </x:c>
      <x:c r="AT215" s="57">
        <x:v>0.44081837780362</x:v>
      </x:c>
      <x:c r="AU215" s="57">
        <x:v>1.66</x:v>
      </x:c>
      <x:c r="AV215" s="57">
        <x:v>3.43</x:v>
      </x:c>
      <x:c r="AW215" s="57">
        <x:v>4.76</x:v>
      </x:c>
      <x:c r="AX215" s="59" t="s">
        <x:v>100</x:v>
      </x:c>
      <x:c r="AY215" s="59" t="s">
        <x:v>101</x:v>
      </x:c>
    </x:row>
    <x:row r="216" ht="22" customHeight="1">
      <x:c r="A216" s="49" t="s">
        <x:v>626</x:v>
      </x:c>
      <x:c r="B216" s="49" t="s">
        <x:v>957</x:v>
      </x:c>
      <x:c r="C216" s="49" t="s">
        <x:v>333</x:v>
      </x:c>
      <x:c r="D216" s="49" t="s">
        <x:v>116</x:v>
      </x:c>
      <x:c r="E216" s="49" t="s">
        <x:v>597</x:v>
      </x:c>
      <x:c r="F216" s="49" t="s">
        <x:v>958</x:v>
      </x:c>
      <x:c r="G216" s="60">
        <x:v>0.85</x:v>
      </x:c>
      <x:c r="H216" s="60">
        <x:v>-2.5</x:v>
      </x:c>
      <x:c r="I216" s="60">
        <x:v>1.04</x:v>
      </x:c>
      <x:c r="J216" s="49" t="s">
        <x:v>959</x:v>
      </x:c>
      <x:c r="K216" s="49" t="s">
        <x:v>189</x:v>
      </x:c>
      <x:c r="L216" s="49" t="s">
        <x:v>406</x:v>
      </x:c>
      <x:c r="M216" s="61">
        <x:v>0.519</x:v>
      </x:c>
      <x:c r="N216" s="49" t="s">
        <x:v>685</x:v>
      </x:c>
      <x:c r="O216" s="49" t="s">
        <x:v>149</x:v>
      </x:c>
      <x:c r="P216" s="49" t="s">
        <x:v>30</x:v>
      </x:c>
      <x:c r="Q216" s="49" t="s">
        <x:v>23</x:v>
      </x:c>
      <x:c r="R216" s="50">
        <x:v>1.04</x:v>
      </x:c>
      <x:c r="S216" s="50">
        <x:f t="shared" si="16"/>
        <x:v>-1</x:v>
      </x:c>
      <x:c r="T216" s="49" t="s">
        <x:v>632</x:v>
      </x:c>
      <x:c r="U216" s="49" t="str">
        <x:f t="shared" si="14"/>
        <x:v>红</x:v>
      </x:c>
      <x:c r="V216" s="50">
        <x:f t="shared" si="15"/>
        <x:v>0.85</x:v>
      </x:c>
      <x:c r="W216" s="50">
        <x:f t="shared" si="17"/>
        <x:v>0.85</x:v>
      </x:c>
      <x:c r="X216" s="57">
        <x:v>0.88</x:v>
      </x:c>
      <x:c r="Y216" s="57">
        <x:v>-2.25</x:v>
      </x:c>
      <x:c r="Z216" s="57">
        <x:v>1</x:v>
      </x:c>
      <x:c r="AA216" s="57">
        <x:v>-2.25</x:v>
      </x:c>
      <x:c r="AB216" s="57">
        <x:v>1</x:v>
      </x:c>
      <x:c r="AC216" s="57">
        <x:v>1.04</x:v>
      </x:c>
      <x:c r="AD216" s="57">
        <x:v>10.68</x:v>
      </x:c>
      <x:c r="AE216" s="57">
        <x:v>6.85</x:v>
      </x:c>
      <x:c r="AF216" s="57">
        <x:v>1.23</x:v>
      </x:c>
      <x:c r="AG216" s="58">
        <x:v>0.052626490342653</x:v>
      </x:c>
      <x:c r="AH216" s="58">
        <x:v>0.00262649034265298</x:v>
      </x:c>
      <x:c r="AI216" s="58">
        <x:v>0.0889517408696589</x:v>
      </x:c>
      <x:c r="AJ216" s="58">
        <x:v>0.138686801823059</x:v>
      </x:c>
      <x:c r="AK216" s="58">
        <x:v>0.772361457307282</x:v>
      </x:c>
      <x:c r="AL216" s="57">
        <x:v>0.85</x:v>
      </x:c>
      <x:c r="AM216" s="57">
        <x:v>2.76</x:v>
      </x:c>
      <x:c r="AN216" s="57">
        <x:v>0.000225431574605789</x:v>
      </x:c>
      <x:c r="AO216" s="57">
        <x:v>1.80236986000638</x:v>
      </x:c>
      <x:c r="AP216" s="57">
        <x:v>-0.762369860006381</x:v>
      </x:c>
      <x:c r="AQ216" s="59" t="s">
        <x:v>99</x:v>
      </x:c>
      <x:c r="AR216" s="57">
        <x:v>-2.5</x:v>
      </x:c>
      <x:c r="AS216" s="57">
        <x:v>0.356840834706138</x:v>
      </x:c>
      <x:c r="AT216" s="57">
        <x:v>0.643159165293862</x:v>
      </x:c>
      <x:c r="AU216" s="57">
        <x:v>13.75</x:v>
      </x:c>
      <x:c r="AV216" s="57">
        <x:v>8.63</x:v>
      </x:c>
      <x:c r="AW216" s="57">
        <x:v>1.16</x:v>
      </x:c>
      <x:c r="AX216" s="59" t="s">
        <x:v>100</x:v>
      </x:c>
      <x:c r="AY216" s="59" t="s">
        <x:v>101</x:v>
      </x:c>
    </x:row>
    <x:row r="217" ht="22" customHeight="1">
      <x:c r="A217" s="49" t="s">
        <x:v>626</x:v>
      </x:c>
      <x:c r="B217" s="49" t="s">
        <x:v>957</x:v>
      </x:c>
      <x:c r="C217" s="49" t="s">
        <x:v>333</x:v>
      </x:c>
      <x:c r="D217" s="49" t="s">
        <x:v>116</x:v>
      </x:c>
      <x:c r="E217" s="49" t="s">
        <x:v>865</x:v>
      </x:c>
      <x:c r="F217" s="49" t="s">
        <x:v>960</x:v>
      </x:c>
      <x:c r="G217" s="60">
        <x:v>1.06</x:v>
      </x:c>
      <x:c r="H217" s="60">
        <x:v>0.5</x:v>
      </x:c>
      <x:c r="I217" s="60">
        <x:v>0.83</x:v>
      </x:c>
      <x:c r="J217" s="49" t="s">
        <x:v>961</x:v>
      </x:c>
      <x:c r="K217" s="49" t="s">
        <x:v>189</x:v>
      </x:c>
      <x:c r="L217" s="49" t="s">
        <x:v>962</x:v>
      </x:c>
      <x:c r="M217" s="61">
        <x:v>0.519</x:v>
      </x:c>
      <x:c r="N217" s="49" t="s">
        <x:v>685</x:v>
      </x:c>
      <x:c r="O217" s="49" t="s">
        <x:v>114</x:v>
      </x:c>
      <x:c r="P217" s="49" t="s">
        <x:v>30</x:v>
      </x:c>
      <x:c r="Q217" s="49" t="s">
        <x:v>23</x:v>
      </x:c>
      <x:c r="R217" s="50">
        <x:v>1.06</x:v>
      </x:c>
      <x:c r="S217" s="50">
        <x:f t="shared" si="16"/>
        <x:v>-1</x:v>
      </x:c>
      <x:c r="T217" s="49" t="s">
        <x:v>632</x:v>
      </x:c>
      <x:c r="U217" s="49" t="str">
        <x:f t="shared" si="14"/>
        <x:v>红</x:v>
      </x:c>
      <x:c r="V217" s="50">
        <x:f t="shared" si="15"/>
        <x:v>0.83</x:v>
      </x:c>
      <x:c r="W217" s="50">
        <x:f t="shared" si="17"/>
        <x:v>0.83</x:v>
      </x:c>
      <x:c r="X217" s="57">
        <x:v>0.95</x:v>
      </x:c>
      <x:c r="Y217" s="57">
        <x:v>0.25</x:v>
      </x:c>
      <x:c r="Z217" s="57">
        <x:v>0.87</x:v>
      </x:c>
      <x:c r="AA217" s="57">
        <x:v>-0.25</x:v>
      </x:c>
      <x:c r="AB217" s="57">
        <x:v>0.95</x:v>
      </x:c>
      <x:c r="AC217" s="57">
        <x:v>1.06</x:v>
      </x:c>
      <x:c r="AD217" s="57">
        <x:v>2.09</x:v>
      </x:c>
      <x:c r="AE217" s="57">
        <x:v>3.4</x:v>
      </x:c>
      <x:c r="AF217" s="57">
        <x:v>3.23</x:v>
      </x:c>
      <x:c r="AG217" s="58">
        <x:v>0.082184069800169</x:v>
      </x:c>
      <x:c r="AH217" s="58">
        <x:v>0.032184069800169</x:v>
      </x:c>
      <x:c r="AI217" s="58">
        <x:v>0.442132639791938</x:v>
      </x:c>
      <x:c r="AJ217" s="58">
        <x:v>0.271781534460338</x:v>
      </x:c>
      <x:c r="AK217" s="58">
        <x:v>0.286085825747724</x:v>
      </x:c>
      <x:c r="AL217" s="57">
        <x:v>1.36</x:v>
      </x:c>
      <x:c r="AM217" s="57">
        <x:v>1.04</x:v>
      </x:c>
      <x:c r="AN217" s="57">
        <x:v>0.000686977098833945</x:v>
      </x:c>
      <x:c r="AO217" s="57">
        <x:v>1.26672944087389</x:v>
      </x:c>
      <x:c r="AP217" s="57">
        <x:v>-0.206729440873894</x:v>
      </x:c>
      <x:c r="AQ217" s="59" t="s">
        <x:v>99</x:v>
      </x:c>
      <x:c r="AR217" s="57">
        <x:v>-0.5</x:v>
      </x:c>
      <x:c r="AS217" s="57">
        <x:v>0.441164252763431</x:v>
      </x:c>
      <x:c r="AT217" s="57">
        <x:v>0.558835747236569</x:v>
      </x:c>
      <x:c r="AU217" s="57">
        <x:v>2.03</x:v>
      </x:c>
      <x:c r="AV217" s="57">
        <x:v>3.43</x:v>
      </x:c>
      <x:c r="AW217" s="57">
        <x:v>3.47</x:v>
      </x:c>
      <x:c r="AX217" s="59" t="s">
        <x:v>100</x:v>
      </x:c>
      <x:c r="AY217" s="59" t="s">
        <x:v>101</x:v>
      </x:c>
    </x:row>
    <x:row r="218" ht="22" customHeight="1">
      <x:c r="A218" s="49" t="s">
        <x:v>626</x:v>
      </x:c>
      <x:c r="B218" s="49" t="s">
        <x:v>957</x:v>
      </x:c>
      <x:c r="C218" s="49" t="s">
        <x:v>333</x:v>
      </x:c>
      <x:c r="D218" s="49" t="s">
        <x:v>116</x:v>
      </x:c>
      <x:c r="E218" s="49" t="s">
        <x:v>613</x:v>
      </x:c>
      <x:c r="F218" s="49" t="s">
        <x:v>963</x:v>
      </x:c>
      <x:c r="G218" s="60">
        <x:v>1.04</x:v>
      </x:c>
      <x:c r="H218" s="60">
        <x:v>0.5</x:v>
      </x:c>
      <x:c r="I218" s="60">
        <x:v>0.85</x:v>
      </x:c>
      <x:c r="J218" s="49" t="s">
        <x:v>964</x:v>
      </x:c>
      <x:c r="K218" s="49" t="s">
        <x:v>189</x:v>
      </x:c>
      <x:c r="L218" s="49" t="s">
        <x:v>965</x:v>
      </x:c>
      <x:c r="M218" s="61">
        <x:v>0.519</x:v>
      </x:c>
      <x:c r="N218" s="49" t="s">
        <x:v>685</x:v>
      </x:c>
      <x:c r="O218" s="49" t="s">
        <x:v>178</x:v>
      </x:c>
      <x:c r="P218" s="49" t="s">
        <x:v>30</x:v>
      </x:c>
      <x:c r="Q218" s="49" t="s">
        <x:v>11</x:v>
      </x:c>
      <x:c r="R218" s="50">
        <x:v>1.04</x:v>
      </x:c>
      <x:c r="S218" s="50">
        <x:f t="shared" si="16"/>
        <x:v>1.04</x:v>
      </x:c>
      <x:c r="T218" s="49" t="s">
        <x:v>632</x:v>
      </x:c>
      <x:c r="U218" s="49" t="str">
        <x:f t="shared" si="14"/>
        <x:v>黑</x:v>
      </x:c>
      <x:c r="V218" s="50">
        <x:f t="shared" si="15"/>
        <x:v>0.85</x:v>
      </x:c>
      <x:c r="W218" s="50">
        <x:f t="shared" si="17"/>
        <x:v>-1</x:v>
      </x:c>
      <x:c r="X218" s="57">
        <x:v>0.95</x:v>
      </x:c>
      <x:c r="Y218" s="57">
        <x:v>0.25</x:v>
      </x:c>
      <x:c r="Z218" s="57">
        <x:v>0.93</x:v>
      </x:c>
      <x:c r="AA218" s="57">
        <x:v>-0.25</x:v>
      </x:c>
      <x:c r="AB218" s="57">
        <x:v>0.95</x:v>
      </x:c>
      <x:c r="AC218" s="57">
        <x:v>1.04</x:v>
      </x:c>
      <x:c r="AD218" s="57">
        <x:v>2.09</x:v>
      </x:c>
      <x:c r="AE218" s="57">
        <x:v>3.43</x:v>
      </x:c>
      <x:c r="AF218" s="57">
        <x:v>3.53</x:v>
      </x:c>
      <x:c r="AG218" s="58">
        <x:v>0.0533002080060743</x:v>
      </x:c>
      <x:c r="AH218" s="58">
        <x:v>0.00330020800607427</x:v>
      </x:c>
      <x:c r="AI218" s="58">
        <x:v>0.454256911642774</x:v>
      </x:c>
      <x:c r="AJ218" s="58">
        <x:v>0.276792112342099</x:v>
      </x:c>
      <x:c r="AK218" s="58">
        <x:v>0.268950976015127</x:v>
      </x:c>
      <x:c r="AL218" s="57">
        <x:v>1.34</x:v>
      </x:c>
      <x:c r="AM218" s="57">
        <x:v>0.96</x:v>
      </x:c>
      <x:c r="AN218" s="57">
        <x:v>0.000543904973273513</x:v>
      </x:c>
      <x:c r="AO218" s="57">
        <x:v>1.19936379898201</x:v>
      </x:c>
      <x:c r="AP218" s="57">
        <x:v>-0.159363798982006</x:v>
      </x:c>
      <x:c r="AQ218" s="59" t="s">
        <x:v>99</x:v>
      </x:c>
      <x:c r="AR218" s="57">
        <x:v>-0.5</x:v>
      </x:c>
      <x:c r="AS218" s="57">
        <x:v>0.454676939059767</x:v>
      </x:c>
      <x:c r="AT218" s="57">
        <x:v>0.545323060940233</x:v>
      </x:c>
      <x:c r="AU218" s="57">
        <x:v>2.09</x:v>
      </x:c>
      <x:c r="AV218" s="57">
        <x:v>3.49</x:v>
      </x:c>
      <x:c r="AW218" s="57">
        <x:v>3.51</x:v>
      </x:c>
      <x:c r="AX218" s="59" t="s">
        <x:v>100</x:v>
      </x:c>
      <x:c r="AY218" s="59" t="s">
        <x:v>101</x:v>
      </x:c>
    </x:row>
    <x:row r="219" ht="22" customHeight="1">
      <x:c r="A219" s="49" t="s">
        <x:v>626</x:v>
      </x:c>
      <x:c r="B219" s="49" t="s">
        <x:v>966</x:v>
      </x:c>
      <x:c r="C219" s="49" t="s">
        <x:v>333</x:v>
      </x:c>
      <x:c r="D219" s="49" t="s">
        <x:v>116</x:v>
      </x:c>
      <x:c r="E219" s="49" t="s">
        <x:v>953</x:v>
      </x:c>
      <x:c r="F219" s="49" t="s">
        <x:v>967</x:v>
      </x:c>
      <x:c r="G219" s="60">
        <x:v>0.79</x:v>
      </x:c>
      <x:c r="H219" s="60">
        <x:v>0.5</x:v>
      </x:c>
      <x:c r="I219" s="60">
        <x:v>0.91</x:v>
      </x:c>
      <x:c r="J219" s="49" t="s">
        <x:v>968</x:v>
      </x:c>
      <x:c r="K219" s="49" t="s">
        <x:v>106</x:v>
      </x:c>
      <x:c r="L219" s="49" t="s">
        <x:v>969</x:v>
      </x:c>
      <x:c r="M219" s="61">
        <x:v>0.576</x:v>
      </x:c>
      <x:c r="N219" s="49" t="s">
        <x:v>685</x:v>
      </x:c>
      <x:c r="O219" s="49" t="s">
        <x:v>410</x:v>
      </x:c>
      <x:c r="P219" s="49" t="s">
        <x:v>30</x:v>
      </x:c>
      <x:c r="Q219" s="49" t="s">
        <x:v>11</x:v>
      </x:c>
      <x:c r="R219" s="50">
        <x:v>0.79</x:v>
      </x:c>
      <x:c r="S219" s="50">
        <x:f t="shared" si="16"/>
        <x:v>0.79</x:v>
      </x:c>
      <x:c r="T219" s="49" t="s">
        <x:v>632</x:v>
      </x:c>
      <x:c r="U219" s="49" t="str">
        <x:f t="shared" si="14"/>
        <x:v>黑</x:v>
      </x:c>
      <x:c r="V219" s="50">
        <x:f t="shared" si="15"/>
        <x:v>0.91</x:v>
      </x:c>
      <x:c r="W219" s="50">
        <x:f t="shared" si="17"/>
        <x:v>-1</x:v>
      </x:c>
      <x:c r="X219" s="57">
        <x:v>0.79</x:v>
      </x:c>
      <x:c r="Y219" s="57">
        <x:v>0.5</x:v>
      </x:c>
      <x:c r="Z219" s="57">
        <x:v>0.91</x:v>
      </x:c>
      <x:c r="AA219" s="57">
        <x:v>-0.5</x:v>
      </x:c>
      <x:c r="AB219" s="57">
        <x:v>0.79</x:v>
      </x:c>
      <x:c r="AC219" s="57">
        <x:v>0.79</x:v>
      </x:c>
      <x:c r="AD219" s="57">
        <x:v>1.74</x:v>
      </x:c>
      <x:c r="AE219" s="57">
        <x:v>3.3</x:v>
      </x:c>
      <x:c r="AF219" s="57">
        <x:v>4.42</x:v>
      </x:c>
      <x:c r="AG219" s="58">
        <x:v>0.103987290599867</x:v>
      </x:c>
      <x:c r="AH219" s="58">
        <x:v>0.0539872905998667</x:v>
      </x:c>
      <x:c r="AI219" s="58">
        <x:v>0.520579039787571</x:v>
      </x:c>
      <x:c r="AJ219" s="58">
        <x:v>0.27448713006981</x:v>
      </x:c>
      <x:c r="AK219" s="58">
        <x:v>0.204933830142619</x:v>
      </x:c>
      <x:c r="AL219" s="57">
        <x:v>1.41</x:v>
      </x:c>
      <x:c r="AM219" s="57">
        <x:v>0.77</x:v>
      </x:c>
      <x:c r="AN219" s="57">
        <x:v>0.00102320549794541</x:v>
      </x:c>
      <x:c r="AO219" s="57">
        <x:v>0.91591947832192</x:v>
      </x:c>
      <x:c r="AP219" s="57">
        <x:v>-0.12591947832192</x:v>
      </x:c>
      <x:c r="AQ219" s="59" t="s">
        <x:v>99</x:v>
      </x:c>
      <x:c r="AR219" s="57">
        <x:v>-0.5</x:v>
      </x:c>
      <x:c r="AS219" s="57">
        <x:v>0.521942603180725</x:v>
      </x:c>
      <x:c r="AT219" s="57">
        <x:v>0.478057396819275</x:v>
      </x:c>
      <x:c r="AU219" s="57">
        <x:v>1.81</x:v>
      </x:c>
      <x:c r="AV219" s="57">
        <x:v>3.18</x:v>
      </x:c>
      <x:c r="AW219" s="57">
        <x:v>4.2</x:v>
      </x:c>
      <x:c r="AX219" s="59" t="s">
        <x:v>100</x:v>
      </x:c>
      <x:c r="AY219" s="59" t="s">
        <x:v>101</x:v>
      </x:c>
    </x:row>
    <x:row r="220" ht="22" customHeight="1">
      <x:c r="A220" s="49" t="s">
        <x:v>626</x:v>
      </x:c>
      <x:c r="B220" s="49" t="s">
        <x:v>970</x:v>
      </x:c>
      <x:c r="C220" s="49" t="s">
        <x:v>89</x:v>
      </x:c>
      <x:c r="D220" s="49" t="s">
        <x:v>116</x:v>
      </x:c>
      <x:c r="E220" s="49" t="s">
        <x:v>117</x:v>
      </x:c>
      <x:c r="F220" s="49" t="s">
        <x:v>971</x:v>
      </x:c>
      <x:c r="G220" s="60">
        <x:v>0.79</x:v>
      </x:c>
      <x:c r="H220" s="60">
        <x:v>0.5</x:v>
      </x:c>
      <x:c r="I220" s="60">
        <x:v>1.03</x:v>
      </x:c>
      <x:c r="J220" s="49" t="s">
        <x:v>373</x:v>
      </x:c>
      <x:c r="K220" s="49" t="s">
        <x:v>132</x:v>
      </x:c>
      <x:c r="L220" s="49" t="s">
        <x:v>972</x:v>
      </x:c>
      <x:c r="M220" s="61">
        <x:v>0.576</x:v>
      </x:c>
      <x:c r="N220" s="49" t="s">
        <x:v>96</x:v>
      </x:c>
      <x:c r="O220" s="49" t="s">
        <x:v>201</x:v>
      </x:c>
      <x:c r="P220" s="49" t="s">
        <x:v>30</x:v>
      </x:c>
      <x:c r="Q220" s="49" t="s">
        <x:v>23</x:v>
      </x:c>
      <x:c r="R220" s="50">
        <x:v>1.03</x:v>
      </x:c>
      <x:c r="S220" s="50">
        <x:f t="shared" si="16"/>
        <x:v>-1</x:v>
      </x:c>
      <x:c r="T220" s="49" t="s">
        <x:v>632</x:v>
      </x:c>
      <x:c r="U220" s="49" t="str">
        <x:f t="shared" si="14"/>
        <x:v>红</x:v>
      </x:c>
      <x:c r="V220" s="50">
        <x:f t="shared" si="15"/>
        <x:v>0.79</x:v>
      </x:c>
      <x:c r="W220" s="50">
        <x:f t="shared" si="17"/>
        <x:v>0.79</x:v>
      </x:c>
      <x:c r="X220" s="57">
        <x:v>1.02</x:v>
      </x:c>
      <x:c r="Y220" s="57">
        <x:v>0.75</x:v>
      </x:c>
      <x:c r="Z220" s="57">
        <x:v>0.8</x:v>
      </x:c>
      <x:c r="AA220" s="57">
        <x:v>0.75</x:v>
      </x:c>
      <x:c r="AB220" s="57">
        <x:v>0.8</x:v>
      </x:c>
      <x:c r="AC220" s="57">
        <x:v>1.03</x:v>
      </x:c>
      <x:c r="AD220" s="57">
        <x:v>1.72</x:v>
      </x:c>
      <x:c r="AE220" s="57">
        <x:v>3.59</x:v>
      </x:c>
      <x:c r="AF220" s="57">
        <x:v>4.2</x:v>
      </x:c>
      <x:c r="AG220" s="58">
        <x:v>0.0980421189658736</x:v>
      </x:c>
      <x:c r="AH220" s="58">
        <x:v>0.0480421189658736</x:v>
      </x:c>
      <x:c r="AI220" s="58">
        <x:v>0.529483649848298</x:v>
      </x:c>
      <x:c r="AJ220" s="58">
        <x:v>0.253680188785257</x:v>
      </x:c>
      <x:c r="AK220" s="58">
        <x:v>0.216836161366446</x:v>
      </x:c>
      <x:c r="AL220" s="57">
        <x:v>1.57</x:v>
      </x:c>
      <x:c r="AM220" s="57">
        <x:v>0.9</x:v>
      </x:c>
      <x:c r="AN220" s="57">
        <x:v>0.000871940196623937</x:v>
      </x:c>
      <x:c r="AO220" s="57">
        <x:v>1.13038717288948</x:v>
      </x:c>
      <x:c r="AP220" s="57">
        <x:v>-0.100387172889483</x:v>
      </x:c>
      <x:c r="AQ220" s="59" t="s">
        <x:v>289</x:v>
      </x:c>
      <x:c r="AR220" s="57">
        <x:v>0.5</x:v>
      </x:c>
      <x:c r="AS220" s="57">
        <x:v>0.469398244941403</x:v>
      </x:c>
      <x:c r="AT220" s="57">
        <x:v>0.530601755058597</x:v>
      </x:c>
      <x:c r="AU220" s="57">
        <x:v>1.74</x:v>
      </x:c>
      <x:c r="AV220" s="57">
        <x:v>3.54</x:v>
      </x:c>
      <x:c r="AW220" s="57">
        <x:v>4.25</x:v>
      </x:c>
      <x:c r="AX220" s="59" t="s">
        <x:v>100</x:v>
      </x:c>
      <x:c r="AY220" s="59" t="s">
        <x:v>101</x:v>
      </x:c>
    </x:row>
    <x:row r="221" ht="22" customHeight="1">
      <x:c r="A221" s="49" t="s">
        <x:v>626</x:v>
      </x:c>
      <x:c r="B221" s="49" t="s">
        <x:v>973</x:v>
      </x:c>
      <x:c r="C221" s="49" t="s">
        <x:v>89</x:v>
      </x:c>
      <x:c r="D221" s="49" t="s">
        <x:v>116</x:v>
      </x:c>
      <x:c r="E221" s="49" t="s">
        <x:v>883</x:v>
      </x:c>
      <x:c r="F221" s="49" t="s">
        <x:v>974</x:v>
      </x:c>
      <x:c r="G221" s="60">
        <x:v>0.84</x:v>
      </x:c>
      <x:c r="H221" s="60">
        <x:v>0.5</x:v>
      </x:c>
      <x:c r="I221" s="60">
        <x:v>0.98</x:v>
      </x:c>
      <x:c r="J221" s="49" t="s">
        <x:v>975</x:v>
      </x:c>
      <x:c r="K221" s="49" t="s">
        <x:v>106</x:v>
      </x:c>
      <x:c r="L221" s="49" t="s">
        <x:v>976</x:v>
      </x:c>
      <x:c r="M221" s="61">
        <x:v>0.574</x:v>
      </x:c>
      <x:c r="N221" s="49" t="s">
        <x:v>96</x:v>
      </x:c>
      <x:c r="O221" s="49" t="s">
        <x:v>410</x:v>
      </x:c>
      <x:c r="P221" s="49" t="s">
        <x:v>30</x:v>
      </x:c>
      <x:c r="Q221" s="49" t="s">
        <x:v>11</x:v>
      </x:c>
      <x:c r="R221" s="50">
        <x:v>0.84</x:v>
      </x:c>
      <x:c r="S221" s="50">
        <x:f t="shared" si="16"/>
        <x:v>0.84</x:v>
      </x:c>
      <x:c r="T221" s="49" t="s">
        <x:v>632</x:v>
      </x:c>
      <x:c r="U221" s="49" t="str">
        <x:f t="shared" si="14"/>
        <x:v>黑</x:v>
      </x:c>
      <x:c r="V221" s="50">
        <x:f t="shared" si="15"/>
        <x:v>0.98</x:v>
      </x:c>
      <x:c r="W221" s="50">
        <x:f t="shared" si="17"/>
        <x:v>-1</x:v>
      </x:c>
      <x:c r="X221" s="57">
        <x:v>0.78</x:v>
      </x:c>
      <x:c r="Y221" s="57">
        <x:v>0.5</x:v>
      </x:c>
      <x:c r="Z221" s="57">
        <x:v>0.98</x:v>
      </x:c>
      <x:c r="AA221" s="57">
        <x:v>-0.5</x:v>
      </x:c>
      <x:c r="AB221" s="57">
        <x:v>0.78</x:v>
      </x:c>
      <x:c r="AC221" s="57">
        <x:v>0.84</x:v>
      </x:c>
      <x:c r="AD221" s="57">
        <x:v>1.8</x:v>
      </x:c>
      <x:c r="AE221" s="57">
        <x:v>3.24</x:v>
      </x:c>
      <x:c r="AF221" s="57">
        <x:v>4.39</x:v>
      </x:c>
      <x:c r="AG221" s="58">
        <x:v>0.0919879636660199</x:v>
      </x:c>
      <x:c r="AH221" s="58">
        <x:v>0.0419879636660199</x:v>
      </x:c>
      <x:c r="AI221" s="58">
        <x:v>0.508756116404842</x:v>
      </x:c>
      <x:c r="AJ221" s="58">
        <x:v>0.282642286891579</x:v>
      </x:c>
      <x:c r="AK221" s="58">
        <x:v>0.20860159670358</x:v>
      </x:c>
      <x:c r="AL221" s="57">
        <x:v>1.34</x:v>
      </x:c>
      <x:c r="AM221" s="57">
        <x:v>0.75</x:v>
      </x:c>
      <x:c r="AN221" s="57">
        <x:v>0.00073260728587388</x:v>
      </x:c>
      <x:c r="AO221" s="57">
        <x:v>0.969481667612283</x:v>
      </x:c>
      <x:c r="AP221" s="57">
        <x:v>-0.129481667612283</x:v>
      </x:c>
      <x:c r="AQ221" s="59" t="s">
        <x:v>99</x:v>
      </x:c>
      <x:c r="AR221" s="57">
        <x:v>-0.5</x:v>
      </x:c>
      <x:c r="AS221" s="57">
        <x:v>0.507747808189734</x:v>
      </x:c>
      <x:c r="AT221" s="57">
        <x:v>0.492252191810265</x:v>
      </x:c>
      <x:c r="AU221" s="57">
        <x:v>1.79</x:v>
      </x:c>
      <x:c r="AV221" s="57">
        <x:v>3.28</x:v>
      </x:c>
      <x:c r="AW221" s="57">
        <x:v>4.56</x:v>
      </x:c>
      <x:c r="AX221" s="59" t="s">
        <x:v>100</x:v>
      </x:c>
      <x:c r="AY221" s="59" t="s">
        <x:v>101</x:v>
      </x:c>
    </x:row>
    <x:row r="222" ht="22" customHeight="1">
      <x:c r="A222" s="49" t="s">
        <x:v>626</x:v>
      </x:c>
      <x:c r="B222" s="49" t="s">
        <x:v>977</x:v>
      </x:c>
      <x:c r="C222" s="49" t="s">
        <x:v>244</x:v>
      </x:c>
      <x:c r="D222" s="49" t="s">
        <x:v>90</x:v>
      </x:c>
      <x:c r="E222" s="49" t="s">
        <x:v>759</x:v>
      </x:c>
      <x:c r="F222" s="49" t="s">
        <x:v>978</x:v>
      </x:c>
      <x:c r="G222" s="60">
        <x:v>0.72</x:v>
      </x:c>
      <x:c r="H222" s="60">
        <x:v>-2.75</x:v>
      </x:c>
      <x:c r="I222" s="60">
        <x:v>0.98</x:v>
      </x:c>
      <x:c r="J222" s="49" t="s">
        <x:v>979</x:v>
      </x:c>
      <x:c r="K222" s="49" t="s">
        <x:v>132</x:v>
      </x:c>
      <x:c r="L222" s="49" t="s">
        <x:v>980</x:v>
      </x:c>
      <x:c r="M222" s="61">
        <x:v>0.587</x:v>
      </x:c>
      <x:c r="N222" s="49" t="s">
        <x:v>96</x:v>
      </x:c>
      <x:c r="O222" s="49" t="s">
        <x:v>97</x:v>
      </x:c>
      <x:c r="P222" s="49" t="s">
        <x:v>30</x:v>
      </x:c>
      <x:c r="Q222" s="49" t="s">
        <x:v>14</x:v>
      </x:c>
      <x:c r="R222" s="50">
        <x:v>0.98</x:v>
      </x:c>
      <x:c r="S222" s="50">
        <x:f t="shared" si="16"/>
        <x:v>0.49</x:v>
      </x:c>
      <x:c r="T222" s="49" t="s">
        <x:v>632</x:v>
      </x:c>
      <x:c r="U222" s="49" t="str">
        <x:f t="shared" si="14"/>
        <x:v>半黑</x:v>
      </x:c>
      <x:c r="V222" s="50">
        <x:f t="shared" si="15"/>
        <x:v>0.72</x:v>
      </x:c>
      <x:c r="W222" s="50">
        <x:f t="shared" si="17"/>
        <x:v>-0.5</x:v>
      </x:c>
      <x:c r="X222" s="57">
        <x:v>0.81</x:v>
      </x:c>
      <x:c r="Y222" s="57">
        <x:v>-3</x:v>
      </x:c>
      <x:c r="Z222" s="57">
        <x:v>0.89</x:v>
      </x:c>
      <x:c r="AA222" s="57">
        <x:v>-3</x:v>
      </x:c>
      <x:c r="AB222" s="57">
        <x:v>0.89</x:v>
      </x:c>
      <x:c r="AC222" s="57">
        <x:v>0.98</x:v>
      </x:c>
      <x:c r="AD222" s="57">
        <x:v>17.52</x:v>
      </x:c>
      <x:c r="AE222" s="57">
        <x:v>11.1</x:v>
      </x:c>
      <x:c r="AF222" s="57">
        <x:v>1.07</x:v>
      </x:c>
      <x:c r="AG222" s="58">
        <x:v>0.0817471549132027</x:v>
      </x:c>
      <x:c r="AH222" s="58">
        <x:v>0.0317471549132027</x:v>
      </x:c>
      <x:c r="AI222" s="58">
        <x:v>0.0527642946057538</x:v>
      </x:c>
      <x:c r="AJ222" s="58">
        <x:v>0.0832820217561088</x:v>
      </x:c>
      <x:c r="AK222" s="58">
        <x:v>0.863953683638138</x:v>
      </x:c>
      <x:c r="AL222" s="57">
        <x:v>1</x:v>
      </x:c>
      <x:c r="AM222" s="57">
        <x:v>3.84</x:v>
      </x:c>
      <x:c r="AN222" s="57">
        <x:v>8.34428161014856e-5</x:v>
      </x:c>
      <x:c r="AO222" s="57">
        <x:v>1.00629914599129</x:v>
      </x:c>
      <x:c r="AP222" s="57">
        <x:v>-0.0262991459912871</x:v>
      </x:c>
      <x:c r="AQ222" s="59" t="s">
        <x:v>174</x:v>
      </x:c>
      <x:c r="AR222" s="57">
        <x:v>-2.75</x:v>
      </x:c>
      <x:c r="AS222" s="57">
        <x:v>0.453433443805222</x:v>
      </x:c>
      <x:c r="AT222" s="57">
        <x:v>0.456289687265084</x:v>
      </x:c>
      <x:c r="AU222" s="57">
        <x:v>16.62</x:v>
      </x:c>
      <x:c r="AV222" s="57">
        <x:v>9.2</x:v>
      </x:c>
      <x:c r="AW222" s="57">
        <x:v>1.08</x:v>
      </x:c>
      <x:c r="AX222" s="59" t="s">
        <x:v>100</x:v>
      </x:c>
      <x:c r="AY222" s="59" t="s">
        <x:v>101</x:v>
      </x:c>
    </x:row>
    <x:row r="223" ht="22" customHeight="1">
      <x:c r="A223" s="49" t="s">
        <x:v>626</x:v>
      </x:c>
      <x:c r="B223" s="49" t="s">
        <x:v>981</x:v>
      </x:c>
      <x:c r="C223" s="49" t="s">
        <x:v>333</x:v>
      </x:c>
      <x:c r="D223" s="49" t="s">
        <x:v>116</x:v>
      </x:c>
      <x:c r="E223" s="49" t="s">
        <x:v>602</x:v>
      </x:c>
      <x:c r="F223" s="49" t="s">
        <x:v>982</x:v>
      </x:c>
      <x:c r="G223" s="60">
        <x:v>0.9</x:v>
      </x:c>
      <x:c r="H223" s="60">
        <x:v>0.75</x:v>
      </x:c>
      <x:c r="I223" s="60">
        <x:v>0.99</x:v>
      </x:c>
      <x:c r="J223" s="49" t="s">
        <x:v>983</x:v>
      </x:c>
      <x:c r="K223" s="49" t="s">
        <x:v>94</x:v>
      </x:c>
      <x:c r="L223" s="49" t="s">
        <x:v>984</x:v>
      </x:c>
      <x:c r="M223" s="61">
        <x:v>0.542</x:v>
      </x:c>
      <x:c r="N223" s="49" t="s">
        <x:v>685</x:v>
      </x:c>
      <x:c r="O223" s="49" t="s">
        <x:v>231</x:v>
      </x:c>
      <x:c r="P223" s="49" t="s">
        <x:v>30</x:v>
      </x:c>
      <x:c r="Q223" s="49" t="s">
        <x:v>20</x:v>
      </x:c>
      <x:c r="R223" s="50">
        <x:v>0.99</x:v>
      </x:c>
      <x:c r="S223" s="50">
        <x:f t="shared" si="16"/>
        <x:v>-0.5</x:v>
      </x:c>
      <x:c r="T223" s="49" t="s">
        <x:v>632</x:v>
      </x:c>
      <x:c r="U223" s="49" t="str">
        <x:f t="shared" si="14"/>
        <x:v>半红</x:v>
      </x:c>
      <x:c r="V223" s="50">
        <x:f t="shared" si="15"/>
        <x:v>0.9</x:v>
      </x:c>
      <x:c r="W223" s="50">
        <x:f t="shared" si="17"/>
        <x:v>0.45</x:v>
      </x:c>
      <x:c r="X223" s="57">
        <x:v>0.94</x:v>
      </x:c>
      <x:c r="Y223" s="57">
        <x:v>0.5</x:v>
      </x:c>
      <x:c r="Z223" s="57">
        <x:v>0.94</x:v>
      </x:c>
      <x:c r="AA223" s="57">
        <x:v>0.5</x:v>
      </x:c>
      <x:c r="AB223" s="57">
        <x:v>0.94</x:v>
      </x:c>
      <x:c r="AC223" s="57">
        <x:v>0.99</x:v>
      </x:c>
      <x:c r="AD223" s="57">
        <x:v>1.93</x:v>
      </x:c>
      <x:c r="AE223" s="57">
        <x:v>3.49</x:v>
      </x:c>
      <x:c r="AF223" s="57">
        <x:v>4.02</x:v>
      </x:c>
      <x:c r="AG223" s="58">
        <x:v>0.0534238852207778</x:v>
      </x:c>
      <x:c r="AH223" s="58">
        <x:v>0.00342388522077779</x:v>
      </x:c>
      <x:c r="AI223" s="58">
        <x:v>0.491857762383388</x:v>
      </x:c>
      <x:c r="AJ223" s="58">
        <x:v>0.272001570601702</x:v>
      </x:c>
      <x:c r="AK223" s="58">
        <x:v>0.23614066701491</x:v>
      </x:c>
      <x:c r="AL223" s="57">
        <x:v>1.4</x:v>
      </x:c>
      <x:c r="AM223" s="57">
        <x:v>0.88</x:v>
      </x:c>
      <x:c r="AN223" s="57">
        <x:v>0.000738317244900323</x:v>
      </x:c>
      <x:c r="AO223" s="57">
        <x:v>0.717277637490227</x:v>
      </x:c>
      <x:c r="AP223" s="57">
        <x:v>0.272722362509773</x:v>
      </x:c>
      <x:c r="AQ223" s="59" t="s">
        <x:v>142</x:v>
      </x:c>
      <x:c r="AR223" s="57">
        <x:v>0.75</x:v>
      </x:c>
      <x:c r="AS223" s="57">
        <x:v>0.509090901428366</x:v>
      </x:c>
      <x:c r="AT223" s="57">
        <x:v>0.365159519044308</x:v>
      </x:c>
      <x:c r="AU223" s="57">
        <x:v>1.7</x:v>
      </x:c>
      <x:c r="AV223" s="57">
        <x:v>3.91</x:v>
      </x:c>
      <x:c r="AW223" s="57">
        <x:v>4.8</x:v>
      </x:c>
      <x:c r="AX223" s="59" t="s">
        <x:v>100</x:v>
      </x:c>
      <x:c r="AY223" s="59" t="s">
        <x:v>101</x:v>
      </x:c>
    </x:row>
    <x:row r="224" ht="22" customHeight="1">
      <x:c r="A224" s="49" t="s">
        <x:v>626</x:v>
      </x:c>
      <x:c r="B224" s="49" t="s">
        <x:v>981</x:v>
      </x:c>
      <x:c r="C224" s="49" t="s">
        <x:v>89</x:v>
      </x:c>
      <x:c r="D224" s="49" t="s">
        <x:v>116</x:v>
      </x:c>
      <x:c r="E224" s="49" t="s">
        <x:v>522</x:v>
      </x:c>
      <x:c r="F224" s="49" t="s">
        <x:v>985</x:v>
      </x:c>
      <x:c r="G224" s="60">
        <x:v>0.84</x:v>
      </x:c>
      <x:c r="H224" s="60">
        <x:v>0.25</x:v>
      </x:c>
      <x:c r="I224" s="60">
        <x:v>1.05</x:v>
      </x:c>
      <x:c r="J224" s="49" t="s">
        <x:v>986</x:v>
      </x:c>
      <x:c r="K224" s="49" t="s">
        <x:v>106</x:v>
      </x:c>
      <x:c r="L224" s="49" t="s">
        <x:v>987</x:v>
      </x:c>
      <x:c r="M224" s="61">
        <x:v>0.574</x:v>
      </x:c>
      <x:c r="N224" s="49" t="s">
        <x:v>96</x:v>
      </x:c>
      <x:c r="O224" s="49" t="s">
        <x:v>201</x:v>
      </x:c>
      <x:c r="P224" s="49" t="s">
        <x:v>30</x:v>
      </x:c>
      <x:c r="Q224" s="49" t="s">
        <x:v>11</x:v>
      </x:c>
      <x:c r="R224" s="50">
        <x:v>0.84</x:v>
      </x:c>
      <x:c r="S224" s="50">
        <x:f t="shared" si="16"/>
        <x:v>0.84</x:v>
      </x:c>
      <x:c r="T224" s="49" t="s">
        <x:v>632</x:v>
      </x:c>
      <x:c r="U224" s="49" t="str">
        <x:f t="shared" si="14"/>
        <x:v>黑</x:v>
      </x:c>
      <x:c r="V224" s="50">
        <x:f t="shared" si="15"/>
        <x:v>1.05</x:v>
      </x:c>
      <x:c r="W224" s="50">
        <x:f t="shared" si="17"/>
        <x:v>-1</x:v>
      </x:c>
      <x:c r="X224" s="57">
        <x:v>0.91</x:v>
      </x:c>
      <x:c r="Y224" s="57">
        <x:v>0.25</x:v>
      </x:c>
      <x:c r="Z224" s="57">
        <x:v>0.97</x:v>
      </x:c>
      <x:c r="AA224" s="57">
        <x:v>-0.25</x:v>
      </x:c>
      <x:c r="AB224" s="57">
        <x:v>0.91</x:v>
      </x:c>
      <x:c r="AC224" s="57">
        <x:v>0.84</x:v>
      </x:c>
      <x:c r="AD224" s="57">
        <x:v>2.23</x:v>
      </x:c>
      <x:c r="AE224" s="57">
        <x:v>3.36</x:v>
      </x:c>
      <x:c r="AF224" s="57">
        <x:v>3.03</x:v>
      </x:c>
      <x:c r="AG224" s="58">
        <x:v>0.0760825441929203</x:v>
      </x:c>
      <x:c r="AH224" s="58">
        <x:v>0.0260825441929203</x:v>
      </x:c>
      <x:c r="AI224" s="58">
        <x:v>0.4167249953951</x:v>
      </x:c>
      <x:c r="AJ224" s="58">
        <x:v>0.276576410634248</x:v>
      </x:c>
      <x:c r="AK224" s="58">
        <x:v>0.306698593970651</x:v>
      </x:c>
      <x:c r="AL224" s="57">
        <x:v>1.3</x:v>
      </x:c>
      <x:c r="AM224" s="57">
        <x:v>1.07</x:v>
      </x:c>
      <x:c r="AN224" s="57">
        <x:v>0.000784429643392123</x:v>
      </x:c>
      <x:c r="AO224" s="57">
        <x:v>1.06287946509234</x:v>
      </x:c>
      <x:c r="AP224" s="57">
        <x:v>-0.222879465092345</x:v>
      </x:c>
      <x:c r="AQ224" s="59" t="s">
        <x:v>99</x:v>
      </x:c>
      <x:c r="AR224" s="57">
        <x:v>-0.25</x:v>
      </x:c>
      <x:c r="AS224" s="57">
        <x:v>0.417774664404993</x:v>
      </x:c>
      <x:c r="AT224" s="57">
        <x:v>0.444044111831913</x:v>
      </x:c>
      <x:c r="AU224" s="57">
        <x:v>2.09</x:v>
      </x:c>
      <x:c r="AV224" s="57">
        <x:v>3.48</x:v>
      </x:c>
      <x:c r="AW224" s="57">
        <x:v>3.3</x:v>
      </x:c>
      <x:c r="AX224" s="59" t="s">
        <x:v>100</x:v>
      </x:c>
      <x:c r="AY224" s="59" t="s">
        <x:v>101</x:v>
      </x:c>
    </x:row>
    <x:row r="225" ht="22" customHeight="1">
      <x:c r="A225" s="49" t="s">
        <x:v>626</x:v>
      </x:c>
      <x:c r="B225" s="49" t="s">
        <x:v>988</x:v>
      </x:c>
      <x:c r="C225" s="49" t="s">
        <x:v>333</x:v>
      </x:c>
      <x:c r="D225" s="49" t="s">
        <x:v>116</x:v>
      </x:c>
      <x:c r="E225" s="49" t="s">
        <x:v>927</x:v>
      </x:c>
      <x:c r="F225" s="49" t="s">
        <x:v>989</x:v>
      </x:c>
      <x:c r="G225" s="60">
        <x:v>0.81</x:v>
      </x:c>
      <x:c r="H225" s="60">
        <x:v>0.25</x:v>
      </x:c>
      <x:c r="I225" s="60">
        <x:v>0.95</x:v>
      </x:c>
      <x:c r="J225" s="49" t="s">
        <x:v>990</x:v>
      </x:c>
      <x:c r="K225" s="49" t="s">
        <x:v>132</x:v>
      </x:c>
      <x:c r="L225" s="49" t="s">
        <x:v>183</x:v>
      </x:c>
      <x:c r="M225" s="61">
        <x:v>0.603</x:v>
      </x:c>
      <x:c r="N225" s="49" t="s">
        <x:v>685</x:v>
      </x:c>
      <x:c r="O225" s="49" t="s">
        <x:v>201</x:v>
      </x:c>
      <x:c r="P225" s="49" t="s">
        <x:v>30</x:v>
      </x:c>
      <x:c r="Q225" s="49" t="s">
        <x:v>11</x:v>
      </x:c>
      <x:c r="R225" s="50">
        <x:v>0.81</x:v>
      </x:c>
      <x:c r="S225" s="50">
        <x:f t="shared" si="16"/>
        <x:v>0.81</x:v>
      </x:c>
      <x:c r="T225" s="49" t="s">
        <x:v>632</x:v>
      </x:c>
      <x:c r="U225" s="49" t="str">
        <x:f t="shared" si="14"/>
        <x:v>黑</x:v>
      </x:c>
      <x:c r="V225" s="50">
        <x:f t="shared" si="15"/>
        <x:v>0.95</x:v>
      </x:c>
      <x:c r="W225" s="50">
        <x:f t="shared" si="17"/>
        <x:v>-1</x:v>
      </x:c>
      <x:c r="X225" s="57">
        <x:v>0.8</x:v>
      </x:c>
      <x:c r="Y225" s="57">
        <x:v>0.5</x:v>
      </x:c>
      <x:c r="Z225" s="57">
        <x:v>0.9</x:v>
      </x:c>
      <x:c r="AA225" s="57">
        <x:v>-0.5</x:v>
      </x:c>
      <x:c r="AB225" s="57">
        <x:v>0.8</x:v>
      </x:c>
      <x:c r="AC225" s="57">
        <x:v>0.81</x:v>
      </x:c>
      <x:c r="AD225" s="57">
        <x:v>1.77</x:v>
      </x:c>
      <x:c r="AE225" s="57">
        <x:v>3.3</x:v>
      </x:c>
      <x:c r="AF225" s="57">
        <x:v>4.29</x:v>
      </x:c>
      <x:c r="AG225" s="58">
        <x:v>0.101102287542966</x:v>
      </x:c>
      <x:c r="AH225" s="58">
        <x:v>0.0511022875429655</x:v>
      </x:c>
      <x:c r="AI225" s="58">
        <x:v>0.513096519555077</x:v>
      </x:c>
      <x:c r="AJ225" s="58">
        <x:v>0.275206315034087</x:v>
      </x:c>
      <x:c r="AK225" s="58">
        <x:v>0.211697165410836</x:v>
      </x:c>
      <x:c r="AL225" s="57">
        <x:v>1.4</x:v>
      </x:c>
      <x:c r="AM225" s="57">
        <x:v>0.79</x:v>
      </x:c>
      <x:c r="AN225" s="57">
        <x:v>0.000673650810763867</x:v>
      </x:c>
      <x:c r="AO225" s="57">
        <x:v>0.678685510266783</x:v>
      </x:c>
      <x:c r="AP225" s="57">
        <x:v>0.131314489733217</x:v>
      </x:c>
      <x:c r="AQ225" s="59" t="s">
        <x:v>165</x:v>
      </x:c>
      <x:c r="AR225" s="57">
        <x:v>-0.25</x:v>
      </x:c>
      <x:c r="AS225" s="57">
        <x:v>0.513964133839513</x:v>
      </x:c>
      <x:c r="AT225" s="57">
        <x:v>0.348820010433695</x:v>
      </x:c>
      <x:c r="AU225" s="57">
        <x:v>1.94</x:v>
      </x:c>
      <x:c r="AV225" s="57">
        <x:v>3.19</x:v>
      </x:c>
      <x:c r="AW225" s="57">
        <x:v>3.71</x:v>
      </x:c>
      <x:c r="AX225" s="59" t="s">
        <x:v>100</x:v>
      </x:c>
      <x:c r="AY225" s="59" t="s">
        <x:v>101</x:v>
      </x:c>
    </x:row>
    <x:row r="226" ht="22" customHeight="1">
      <x:c r="A226" s="49" t="s">
        <x:v>626</x:v>
      </x:c>
      <x:c r="B226" s="49" t="s">
        <x:v>988</x:v>
      </x:c>
      <x:c r="C226" s="49" t="s">
        <x:v>333</x:v>
      </x:c>
      <x:c r="D226" s="49" t="s">
        <x:v>116</x:v>
      </x:c>
      <x:c r="E226" s="49" t="s">
        <x:v>865</x:v>
      </x:c>
      <x:c r="F226" s="49" t="s">
        <x:v>991</x:v>
      </x:c>
      <x:c r="G226" s="60">
        <x:v>0.94</x:v>
      </x:c>
      <x:c r="H226" s="60">
        <x:v>-0.5</x:v>
      </x:c>
      <x:c r="I226" s="60">
        <x:v>0.95</x:v>
      </x:c>
      <x:c r="J226" s="49" t="s">
        <x:v>992</x:v>
      </x:c>
      <x:c r="K226" s="49" t="s">
        <x:v>94</x:v>
      </x:c>
      <x:c r="L226" s="49" t="s">
        <x:v>993</x:v>
      </x:c>
      <x:c r="M226" s="61">
        <x:v>0.542</x:v>
      </x:c>
      <x:c r="N226" s="49" t="s">
        <x:v>685</x:v>
      </x:c>
      <x:c r="O226" s="49" t="s">
        <x:v>149</x:v>
      </x:c>
      <x:c r="P226" s="49" t="s">
        <x:v>30</x:v>
      </x:c>
      <x:c r="Q226" s="49" t="s">
        <x:v>11</x:v>
      </x:c>
      <x:c r="R226" s="50">
        <x:v>0.94</x:v>
      </x:c>
      <x:c r="S226" s="50">
        <x:f t="shared" si="16"/>
        <x:v>0.94</x:v>
      </x:c>
      <x:c r="T226" s="49" t="s">
        <x:v>632</x:v>
      </x:c>
      <x:c r="U226" s="49" t="str">
        <x:f t="shared" si="14"/>
        <x:v>黑</x:v>
      </x:c>
      <x:c r="V226" s="50">
        <x:f t="shared" si="15"/>
        <x:v>0.95</x:v>
      </x:c>
      <x:c r="W226" s="50">
        <x:f t="shared" si="17"/>
        <x:v>-1</x:v>
      </x:c>
      <x:c r="X226" s="57">
        <x:v>0.86</x:v>
      </x:c>
      <x:c r="Y226" s="57">
        <x:v>-0.25</x:v>
      </x:c>
      <x:c r="Z226" s="57">
        <x:v>0.96</x:v>
      </x:c>
      <x:c r="AA226" s="57">
        <x:v>0.25</x:v>
      </x:c>
      <x:c r="AB226" s="57">
        <x:v>0.86</x:v>
      </x:c>
      <x:c r="AC226" s="57">
        <x:v>0.94</x:v>
      </x:c>
      <x:c r="AD226" s="57">
        <x:v>3.23</x:v>
      </x:c>
      <x:c r="AE226" s="57">
        <x:v>3.29</x:v>
      </x:c>
      <x:c r="AF226" s="57">
        <x:v>2.12</x:v>
      </x:c>
      <x:c r="AG226" s="58">
        <x:v>0.0852470042085163</x:v>
      </x:c>
      <x:c r="AH226" s="58">
        <x:v>0.0352470042085163</x:v>
      </x:c>
      <x:c r="AI226" s="58">
        <x:v>0.285278394705736</x:v>
      </x:c>
      <x:c r="AJ226" s="58">
        <x:v>0.280075749209582</x:v>
      </x:c>
      <x:c r="AK226" s="58">
        <x:v>0.434645856084682</x:v>
      </x:c>
      <x:c r="AL226" s="57">
        <x:v>1</x:v>
      </x:c>
      <x:c r="AM226" s="57">
        <x:v>1.3</x:v>
      </x:c>
      <x:c r="AN226" s="57">
        <x:v>0.000797838656776469</x:v>
      </x:c>
      <x:c r="AO226" s="57">
        <x:v>0.766785087474155</x:v>
      </x:c>
      <x:c r="AP226" s="57">
        <x:v>0.173214912525845</x:v>
      </x:c>
      <x:c r="AQ226" s="59" t="s">
        <x:v>142</x:v>
      </x:c>
      <x:c r="AR226" s="57">
        <x:v>0.5</x:v>
      </x:c>
      <x:c r="AS226" s="57">
        <x:v>0.565999796517203</x:v>
      </x:c>
      <x:c r="AT226" s="57">
        <x:v>0.434000203482797</x:v>
      </x:c>
      <x:c r="AU226" s="57">
        <x:v>3.65</x:v>
      </x:c>
      <x:c r="AV226" s="57">
        <x:v>3.47</x:v>
      </x:c>
      <x:c r="AW226" s="57">
        <x:v>1.95</x:v>
      </x:c>
      <x:c r="AX226" s="59" t="s">
        <x:v>100</x:v>
      </x:c>
      <x:c r="AY226" s="59" t="s">
        <x:v>101</x:v>
      </x:c>
    </x:row>
    <x:row r="227" ht="22" customHeight="1">
      <x:c r="A227" s="49" t="s">
        <x:v>626</x:v>
      </x:c>
      <x:c r="B227" s="49" t="s">
        <x:v>988</x:v>
      </x:c>
      <x:c r="C227" s="49" t="s">
        <x:v>333</x:v>
      </x:c>
      <x:c r="D227" s="49" t="s">
        <x:v>116</x:v>
      </x:c>
      <x:c r="E227" s="49" t="s">
        <x:v>613</x:v>
      </x:c>
      <x:c r="F227" s="49" t="s">
        <x:v>994</x:v>
      </x:c>
      <x:c r="G227" s="60">
        <x:v>0.81</x:v>
      </x:c>
      <x:c r="H227" s="60">
        <x:v>1</x:v>
      </x:c>
      <x:c r="I227" s="60">
        <x:v>1.08</x:v>
      </x:c>
      <x:c r="J227" s="49" t="s">
        <x:v>995</x:v>
      </x:c>
      <x:c r="K227" s="49" t="s">
        <x:v>106</x:v>
      </x:c>
      <x:c r="L227" s="49" t="s">
        <x:v>996</x:v>
      </x:c>
      <x:c r="M227" s="61">
        <x:v>0.576</x:v>
      </x:c>
      <x:c r="N227" s="49" t="s">
        <x:v>685</x:v>
      </x:c>
      <x:c r="O227" s="49" t="s">
        <x:v>642</x:v>
      </x:c>
      <x:c r="P227" s="49" t="s">
        <x:v>30</x:v>
      </x:c>
      <x:c r="Q227" s="49" t="s">
        <x:v>23</x:v>
      </x:c>
      <x:c r="R227" s="50">
        <x:v>0.81</x:v>
      </x:c>
      <x:c r="S227" s="50">
        <x:f t="shared" si="16"/>
        <x:v>-1</x:v>
      </x:c>
      <x:c r="T227" s="49" t="s">
        <x:v>632</x:v>
      </x:c>
      <x:c r="U227" s="49" t="str">
        <x:f t="shared" si="14"/>
        <x:v>红</x:v>
      </x:c>
      <x:c r="V227" s="50">
        <x:f t="shared" si="15"/>
        <x:v>1.08</x:v>
      </x:c>
      <x:c r="W227" s="50">
        <x:f t="shared" si="17"/>
        <x:v>1.08</x:v>
      </x:c>
      <x:c r="X227" s="57">
        <x:v>1.02</x:v>
      </x:c>
      <x:c r="Y227" s="57">
        <x:v>1</x:v>
      </x:c>
      <x:c r="Z227" s="57">
        <x:v>0.86</x:v>
      </x:c>
      <x:c r="AA227" s="57">
        <x:v>-1</x:v>
      </x:c>
      <x:c r="AB227" s="57">
        <x:v>1.02</x:v>
      </x:c>
      <x:c r="AC227" s="57">
        <x:v>0.81</x:v>
      </x:c>
      <x:c r="AD227" s="57">
        <x:v>1.5</x:v>
      </x:c>
      <x:c r="AE227" s="57">
        <x:v>4.3</x:v>
      </x:c>
      <x:c r="AF227" s="57">
        <x:v>6.14</x:v>
      </x:c>
      <x:c r="AG227" s="58">
        <x:v>0.0620912557129509</x:v>
      </x:c>
      <x:c r="AH227" s="58">
        <x:v>0.0120912557129509</x:v>
      </x:c>
      <x:c r="AI227" s="58">
        <x:v>0.627692453996481</x:v>
      </x:c>
      <x:c r="AJ227" s="58">
        <x:v>0.218962483952261</x:v>
      </x:c>
      <x:c r="AK227" s="58">
        <x:v>0.153345062051258</x:v>
      </x:c>
      <x:c r="AL227" s="57">
        <x:v>1.86</x:v>
      </x:c>
      <x:c r="AM227" s="57">
        <x:v>0.79</x:v>
      </x:c>
      <x:c r="AN227" s="57">
        <x:v>0.000367317853944385</x:v>
      </x:c>
      <x:c r="AO227" s="57">
        <x:v>1.00048777881717</x:v>
      </x:c>
      <x:c r="AP227" s="57">
        <x:v>-0.190487778817168</x:v>
      </x:c>
      <x:c r="AQ227" s="59" t="s">
        <x:v>99</x:v>
      </x:c>
      <x:c r="AR227" s="57">
        <x:v>-1</x:v>
      </x:c>
      <x:c r="AS227" s="57">
        <x:v>0.372547897171594</x:v>
      </x:c>
      <x:c r="AT227" s="57">
        <x:v>0.372729618144215</x:v>
      </x:c>
      <x:c r="AU227" s="57">
        <x:v>1.5</x:v>
      </x:c>
      <x:c r="AV227" s="57">
        <x:v>4.48</x:v>
      </x:c>
      <x:c r="AW227" s="57">
        <x:v>6.14</x:v>
      </x:c>
      <x:c r="AX227" s="59" t="s">
        <x:v>100</x:v>
      </x:c>
      <x:c r="AY227" s="59" t="s">
        <x:v>101</x:v>
      </x:c>
    </x:row>
    <x:row r="228" ht="22" customHeight="1">
      <x:c r="A228" s="49" t="s">
        <x:v>626</x:v>
      </x:c>
      <x:c r="B228" s="49" t="s">
        <x:v>997</x:v>
      </x:c>
      <x:c r="C228" s="49" t="s">
        <x:v>89</x:v>
      </x:c>
      <x:c r="D228" s="49" t="s">
        <x:v>116</x:v>
      </x:c>
      <x:c r="E228" s="49" t="s">
        <x:v>622</x:v>
      </x:c>
      <x:c r="F228" s="49" t="s">
        <x:v>998</x:v>
      </x:c>
      <x:c r="G228" s="60">
        <x:v>0.99</x:v>
      </x:c>
      <x:c r="H228" s="60">
        <x:v>2.25</x:v>
      </x:c>
      <x:c r="I228" s="60">
        <x:v>0.9</x:v>
      </x:c>
      <x:c r="J228" s="49" t="s">
        <x:v>999</x:v>
      </x:c>
      <x:c r="K228" s="49" t="s">
        <x:v>94</x:v>
      </x:c>
      <x:c r="L228" s="49" t="s">
        <x:v>1000</x:v>
      </x:c>
      <x:c r="M228" s="61">
        <x:v>0.528</x:v>
      </x:c>
      <x:c r="N228" s="49" t="s">
        <x:v>96</x:v>
      </x:c>
      <x:c r="O228" s="49" t="s">
        <x:v>161</x:v>
      </x:c>
      <x:c r="P228" s="49" t="s">
        <x:v>30</x:v>
      </x:c>
      <x:c r="Q228" s="49" t="s">
        <x:v>20</x:v>
      </x:c>
      <x:c r="R228" s="50">
        <x:v>0.99</x:v>
      </x:c>
      <x:c r="S228" s="50">
        <x:f t="shared" si="16"/>
        <x:v>-0.5</x:v>
      </x:c>
      <x:c r="T228" s="49" t="s">
        <x:v>632</x:v>
      </x:c>
      <x:c r="U228" s="49" t="str">
        <x:f t="shared" si="14"/>
        <x:v>半红</x:v>
      </x:c>
      <x:c r="V228" s="50">
        <x:f t="shared" si="15"/>
        <x:v>0.9</x:v>
      </x:c>
      <x:c r="W228" s="50">
        <x:f t="shared" si="17"/>
        <x:v>0.45</x:v>
      </x:c>
      <x:c r="X228" s="57">
        <x:v>0.97</x:v>
      </x:c>
      <x:c r="Y228" s="57">
        <x:v>2</x:v>
      </x:c>
      <x:c r="Z228" s="57">
        <x:v>0.85</x:v>
      </x:c>
      <x:c r="AA228" s="57">
        <x:v>-2</x:v>
      </x:c>
      <x:c r="AB228" s="57">
        <x:v>0.97</x:v>
      </x:c>
      <x:c r="AC228" s="57">
        <x:v>0.99</x:v>
      </x:c>
      <x:c r="AD228" s="57">
        <x:v>1.18</x:v>
      </x:c>
      <x:c r="AE228" s="57">
        <x:v>6.72</x:v>
      </x:c>
      <x:c r="AF228" s="57">
        <x:v>12.72</x:v>
      </x:c>
      <x:c r="AG228" s="58">
        <x:v>0.0748835031294259</x:v>
      </x:c>
      <x:c r="AH228" s="58">
        <x:v>0.0248835031294259</x:v>
      </x:c>
      <x:c r="AI228" s="58">
        <x:v>0.788418116615752</x:v>
      </x:c>
      <x:c r="AJ228" s="58">
        <x:v>0.138442466905742</x:v>
      </x:c>
      <x:c r="AK228" s="58">
        <x:v>0.0731394164785053</x:v>
      </x:c>
      <x:c r="AL228" s="57">
        <x:v>2.62</x:v>
      </x:c>
      <x:c r="AM228" s="57">
        <x:v>0.68</x:v>
      </x:c>
      <x:c r="AN228" s="57">
        <x:v>0.000259528515966463</x:v>
      </x:c>
      <x:c r="AO228" s="57">
        <x:v>1.50561604272648</x:v>
      </x:c>
      <x:c r="AP228" s="57">
        <x:v>-0.515616042726478</x:v>
      </x:c>
      <x:c r="AQ228" s="59" t="s">
        <x:v>99</x:v>
      </x:c>
      <x:c r="AR228" s="57">
        <x:v>-2.25</x:v>
      </x:c>
      <x:c r="AS228" s="57">
        <x:v>0.355071335931428</x:v>
      </x:c>
      <x:c r="AT228" s="57">
        <x:v>0.53460109969068</x:v>
      </x:c>
      <x:c r="AU228" s="57">
        <x:v>1.16</x:v>
      </x:c>
      <x:c r="AV228" s="57">
        <x:v>7.57</x:v>
      </x:c>
      <x:c r="AW228" s="57">
        <x:v>14.33</x:v>
      </x:c>
      <x:c r="AX228" s="59" t="s">
        <x:v>100</x:v>
      </x:c>
      <x:c r="AY228" s="59" t="s">
        <x:v>101</x:v>
      </x:c>
    </x:row>
    <x:row r="229" ht="22" customHeight="1">
      <x:c r="A229" s="49" t="s">
        <x:v>1001</x:v>
      </x:c>
      <x:c r="B229" s="49" t="s">
        <x:v>1002</x:v>
      </x:c>
      <x:c r="C229" s="49" t="s">
        <x:v>447</x:v>
      </x:c>
      <x:c r="D229" s="49" t="s">
        <x:v>116</x:v>
      </x:c>
      <x:c r="E229" s="49" t="s">
        <x:v>448</x:v>
      </x:c>
      <x:c r="F229" s="49" t="s">
        <x:v>1003</x:v>
      </x:c>
      <x:c r="G229" s="60">
        <x:v>0.84</x:v>
      </x:c>
      <x:c r="H229" s="60">
        <x:v>0.5</x:v>
      </x:c>
      <x:c r="I229" s="60">
        <x:v>0.98</x:v>
      </x:c>
      <x:c r="J229" s="49" t="s">
        <x:v>975</x:v>
      </x:c>
      <x:c r="K229" s="49" t="s">
        <x:v>106</x:v>
      </x:c>
      <x:c r="L229" s="49" t="s">
        <x:v>1004</x:v>
      </x:c>
      <x:c r="M229" s="61">
        <x:v>0.579</x:v>
      </x:c>
      <x:c r="N229" s="49" t="s">
        <x:v>96</x:v>
      </x:c>
      <x:c r="O229" s="49" t="s">
        <x:v>169</x:v>
      </x:c>
      <x:c r="P229" s="49" t="s">
        <x:v>30</x:v>
      </x:c>
      <x:c r="Q229" s="49" t="s">
        <x:v>11</x:v>
      </x:c>
      <x:c r="R229" s="50">
        <x:v>0.98</x:v>
      </x:c>
      <x:c r="S229" s="50">
        <x:f t="shared" si="16"/>
        <x:v>0.98</x:v>
      </x:c>
      <x:c r="T229" s="49" t="s">
        <x:v>98</x:v>
      </x:c>
      <x:c r="U229" s="49" t="str">
        <x:f t="shared" si="14"/>
        <x:v>黑</x:v>
      </x:c>
      <x:c r="V229" s="50">
        <x:f t="shared" si="15"/>
        <x:v>0.84</x:v>
      </x:c>
      <x:c r="W229" s="50">
        <x:f t="shared" si="17"/>
        <x:v>-1</x:v>
      </x:c>
      <x:c r="X229" s="57">
        <x:v>0.99</x:v>
      </x:c>
      <x:c r="Y229" s="57">
        <x:v>0.25</x:v>
      </x:c>
      <x:c r="Z229" s="57">
        <x:v>0.83</x:v>
      </x:c>
      <x:c r="AA229" s="57">
        <x:v>0.25</x:v>
      </x:c>
      <x:c r="AB229" s="57">
        <x:v>0.83</x:v>
      </x:c>
      <x:c r="AC229" s="57">
        <x:v>0.98</x:v>
      </x:c>
      <x:c r="AD229" s="57">
        <x:v>2.1</x:v>
      </x:c>
      <x:c r="AE229" s="57">
        <x:v>3.36</x:v>
      </x:c>
      <x:c r="AF229" s="57">
        <x:v>3.05</x:v>
      </x:c>
      <x:c r="AG229" s="58">
        <x:v>0.10167837626854</x:v>
      </x:c>
      <x:c r="AH229" s="58">
        <x:v>0.05167837626854</x:v>
      </x:c>
      <x:c r="AI229" s="58">
        <x:v>0.432240921169176</x:v>
      </x:c>
      <x:c r="AJ229" s="58">
        <x:v>0.270150575730735</x:v>
      </x:c>
      <x:c r="AK229" s="58">
        <x:v>0.297608503100089</x:v>
      </x:c>
      <x:c r="AL229" s="57">
        <x:v>1.36</x:v>
      </x:c>
      <x:c r="AM229" s="57">
        <x:v>1.08</x:v>
      </x:c>
      <x:c r="AN229" s="57">
        <x:v>0.000339610489930977</x:v>
      </x:c>
      <x:c r="AO229" s="57">
        <x:v>0.760235165413716</x:v>
      </x:c>
      <x:c r="AP229" s="57">
        <x:v>0.219764834586283</x:v>
      </x:c>
      <x:c r="AQ229" s="59" t="s">
        <x:v>142</x:v>
      </x:c>
      <x:c r="AR229" s="57">
        <x:v>0.5</x:v>
      </x:c>
      <x:c r="AS229" s="57">
        <x:v>0.568105909737899</x:v>
      </x:c>
      <x:c r="AT229" s="57">
        <x:v>0.431894090262101</x:v>
      </x:c>
      <x:c r="AU229" s="57">
        <x:v>1.85</x:v>
      </x:c>
      <x:c r="AV229" s="57">
        <x:v>3.75</x:v>
      </x:c>
      <x:c r="AW229" s="57">
        <x:v>3.4</x:v>
      </x:c>
      <x:c r="AX229" s="59" t="s">
        <x:v>100</x:v>
      </x:c>
      <x:c r="AY229" s="59" t="s">
        <x:v>101</x:v>
      </x:c>
    </x:row>
    <x:row r="230" ht="22" customHeight="1">
      <x:c r="A230" s="49" t="s">
        <x:v>1001</x:v>
      </x:c>
      <x:c r="B230" s="49" t="s">
        <x:v>1005</x:v>
      </x:c>
      <x:c r="C230" s="49" t="s">
        <x:v>447</x:v>
      </x:c>
      <x:c r="D230" s="49" t="s">
        <x:v>116</x:v>
      </x:c>
      <x:c r="E230" s="49" t="s">
        <x:v>1006</x:v>
      </x:c>
      <x:c r="F230" s="49" t="s">
        <x:v>1007</x:v>
      </x:c>
      <x:c r="G230" s="60">
        <x:v>0.86</x:v>
      </x:c>
      <x:c r="H230" s="60">
        <x:v>0</x:v>
      </x:c>
      <x:c r="I230" s="60">
        <x:v>1.03</x:v>
      </x:c>
      <x:c r="J230" s="49" t="s">
        <x:v>1008</x:v>
      </x:c>
      <x:c r="K230" s="49" t="s">
        <x:v>132</x:v>
      </x:c>
      <x:c r="L230" s="49" t="s">
        <x:v>1009</x:v>
      </x:c>
      <x:c r="M230" s="61">
        <x:v>0.587</x:v>
      </x:c>
      <x:c r="N230" s="49" t="s">
        <x:v>96</x:v>
      </x:c>
      <x:c r="O230" s="49" t="s">
        <x:v>1010</x:v>
      </x:c>
      <x:c r="P230" s="49" t="s">
        <x:v>30</x:v>
      </x:c>
      <x:c r="Q230" s="49" t="s">
        <x:v>11</x:v>
      </x:c>
      <x:c r="R230" s="50">
        <x:v>0.86</x:v>
      </x:c>
      <x:c r="S230" s="50">
        <x:f t="shared" si="16"/>
        <x:v>0.86</x:v>
      </x:c>
      <x:c r="T230" s="49" t="s">
        <x:v>98</x:v>
      </x:c>
      <x:c r="U230" s="49" t="str">
        <x:f t="shared" si="14"/>
        <x:v>黑</x:v>
      </x:c>
      <x:c r="V230" s="50">
        <x:f t="shared" si="15"/>
        <x:v>1.03</x:v>
      </x:c>
      <x:c r="W230" s="50">
        <x:f t="shared" si="17"/>
        <x:v>-1</x:v>
      </x:c>
      <x:c r="X230" s="57">
        <x:v>0.94</x:v>
      </x:c>
      <x:c r="Y230" s="57">
        <x:v>0.25</x:v>
      </x:c>
      <x:c r="Z230" s="57">
        <x:v>0.94</x:v>
      </x:c>
      <x:c r="AA230" s="57">
        <x:v>-0.25</x:v>
      </x:c>
      <x:c r="AB230" s="57">
        <x:v>0.94</x:v>
      </x:c>
      <x:c r="AC230" s="57">
        <x:v>0.86</x:v>
      </x:c>
      <x:c r="AD230" s="57">
        <x:v>2</x:v>
      </x:c>
      <x:c r="AE230" s="57">
        <x:v>3.73</x:v>
      </x:c>
      <x:c r="AF230" s="57">
        <x:v>3.22</x:v>
      </x:c>
      <x:c r="AG230" s="58">
        <x:v>0.0786555209564883</x:v>
      </x:c>
      <x:c r="AH230" s="58">
        <x:v>0.0286555209564883</x:v>
      </x:c>
      <x:c r="AI230" s="58">
        <x:v>0.46354001837086</x:v>
      </x:c>
      <x:c r="AJ230" s="58">
        <x:v>0.248546926740407</x:v>
      </x:c>
      <x:c r="AK230" s="58">
        <x:v>0.287913054888733</x:v>
      </x:c>
      <x:c r="AL230" s="57">
        <x:v>1.58</x:v>
      </x:c>
      <x:c r="AM230" s="57">
        <x:v>1.19</x:v>
      </x:c>
      <x:c r="AN230" s="57">
        <x:v>0.000475678606355162</x:v>
      </x:c>
      <x:c r="AO230" s="57">
        <x:v>0.619234819964573</x:v>
      </x:c>
      <x:c r="AP230" s="57">
        <x:v>0.240765180035427</x:v>
      </x:c>
      <x:c r="AQ230" s="59" t="s">
        <x:v>135</x:v>
      </x:c>
      <x:c r="AR230" s="57">
        <x:v>0</x:v>
      </x:c>
      <x:c r="AS230" s="57">
        <x:v>0.463863616502828</x:v>
      </x:c>
      <x:c r="AT230" s="57">
        <x:v>0.287240503053245</x:v>
      </x:c>
      <x:c r="AU230" s="57">
        <x:v>2.34</x:v>
      </x:c>
      <x:c r="AV230" s="57">
        <x:v>3.66</x:v>
      </x:c>
      <x:c r="AW230" s="57">
        <x:v>2.71</x:v>
      </x:c>
      <x:c r="AX230" s="59" t="s">
        <x:v>100</x:v>
      </x:c>
      <x:c r="AY230" s="59" t="s">
        <x:v>101</x:v>
      </x:c>
    </x:row>
    <x:row r="231" ht="22" customHeight="1">
      <x:c r="A231" s="49" t="s">
        <x:v>1001</x:v>
      </x:c>
      <x:c r="B231" s="49" t="s">
        <x:v>1011</x:v>
      </x:c>
      <x:c r="C231" s="49" t="s">
        <x:v>239</x:v>
      </x:c>
      <x:c r="D231" s="49" t="s">
        <x:v>116</x:v>
      </x:c>
      <x:c r="E231" s="49" t="s">
        <x:v>240</x:v>
      </x:c>
      <x:c r="F231" s="49" t="s">
        <x:v>1012</x:v>
      </x:c>
      <x:c r="G231" s="60">
        <x:v>1.07</x:v>
      </x:c>
      <x:c r="H231" s="60">
        <x:v>-0.25</x:v>
      </x:c>
      <x:c r="I231" s="60">
        <x:v>0.82</x:v>
      </x:c>
      <x:c r="J231" s="49" t="s">
        <x:v>1013</x:v>
      </x:c>
      <x:c r="K231" s="49" t="s">
        <x:v>106</x:v>
      </x:c>
      <x:c r="L231" s="49" t="s">
        <x:v>1014</x:v>
      </x:c>
      <x:c r="M231" s="61">
        <x:v>0.572</x:v>
      </x:c>
      <x:c r="N231" s="49" t="s">
        <x:v>96</x:v>
      </x:c>
      <x:c r="O231" s="49" t="s">
        <x:v>161</x:v>
      </x:c>
      <x:c r="P231" s="49" t="s">
        <x:v>30</x:v>
      </x:c>
      <x:c r="Q231" s="49" t="s">
        <x:v>23</x:v>
      </x:c>
      <x:c r="R231" s="50">
        <x:v>0.84</x:v>
      </x:c>
      <x:c r="S231" s="50">
        <x:f t="shared" si="16"/>
        <x:v>-1</x:v>
      </x:c>
      <x:c r="T231" s="49" t="s">
        <x:v>98</x:v>
      </x:c>
      <x:c r="U231" s="49" t="str">
        <x:f t="shared" si="14"/>
        <x:v>红</x:v>
      </x:c>
      <x:c r="V231" s="50">
        <x:f t="shared" si="15"/>
        <x:v>1.07</x:v>
      </x:c>
      <x:c r="W231" s="50">
        <x:f t="shared" si="17"/>
        <x:v>1.07</x:v>
      </x:c>
      <x:c r="X231" s="57">
        <x:v>0.94</x:v>
      </x:c>
      <x:c r="Y231" s="57">
        <x:v>-0.25</x:v>
      </x:c>
      <x:c r="Z231" s="57">
        <x:v>0.94</x:v>
      </x:c>
      <x:c r="AA231" s="57">
        <x:v>-0.25</x:v>
      </x:c>
      <x:c r="AB231" s="57">
        <x:v>0.94</x:v>
      </x:c>
      <x:c r="AC231" s="57">
        <x:v>0.84</x:v>
      </x:c>
      <x:c r="AD231" s="57"/>
      <x:c r="AE231" s="57"/>
      <x:c r="AF231" s="57"/>
      <x:c r="AG231" s="58"/>
      <x:c r="AH231" s="58"/>
      <x:c r="AI231" s="58"/>
      <x:c r="AJ231" s="58"/>
      <x:c r="AK231" s="58"/>
      <x:c r="AL231" s="57"/>
      <x:c r="AM231" s="57"/>
      <x:c r="AN231" s="57"/>
      <x:c r="AO231" s="57"/>
      <x:c r="AP231" s="57"/>
      <x:c r="AQ231" s="59"/>
      <x:c r="AR231" s="57"/>
      <x:c r="AS231" s="57"/>
      <x:c r="AT231" s="57"/>
      <x:c r="AU231" s="57"/>
      <x:c r="AV231" s="57"/>
      <x:c r="AW231" s="57"/>
      <x:c r="AX231" s="59" t="s">
        <x:v>100</x:v>
      </x:c>
      <x:c r="AY231" s="59" t="s">
        <x:v>1015</x:v>
      </x:c>
    </x:row>
    <x:row r="232" ht="22" customHeight="1">
      <x:c r="A232" s="49" t="s">
        <x:v>1001</x:v>
      </x:c>
      <x:c r="B232" s="49" t="s">
        <x:v>1011</x:v>
      </x:c>
      <x:c r="C232" s="49" t="s">
        <x:v>239</x:v>
      </x:c>
      <x:c r="D232" s="49" t="s">
        <x:v>116</x:v>
      </x:c>
      <x:c r="E232" s="49" t="s">
        <x:v>240</x:v>
      </x:c>
      <x:c r="F232" s="49" t="s">
        <x:v>1016</x:v>
      </x:c>
      <x:c r="G232" s="60">
        <x:v>0.83</x:v>
      </x:c>
      <x:c r="H232" s="60">
        <x:v>0.5</x:v>
      </x:c>
      <x:c r="I232" s="60">
        <x:v>1.06</x:v>
      </x:c>
      <x:c r="J232" s="49" t="s">
        <x:v>1017</x:v>
      </x:c>
      <x:c r="K232" s="49" t="s">
        <x:v>132</x:v>
      </x:c>
      <x:c r="L232" s="49" t="s">
        <x:v>1018</x:v>
      </x:c>
      <x:c r="M232" s="61">
        <x:v>0.597</x:v>
      </x:c>
      <x:c r="N232" s="49" t="s">
        <x:v>96</x:v>
      </x:c>
      <x:c r="O232" s="49" t="s">
        <x:v>191</x:v>
      </x:c>
      <x:c r="P232" s="49" t="s">
        <x:v>30</x:v>
      </x:c>
      <x:c r="Q232" s="49" t="s">
        <x:v>23</x:v>
      </x:c>
      <x:c r="R232" s="50">
        <x:v>0.88</x:v>
      </x:c>
      <x:c r="S232" s="50">
        <x:f t="shared" si="16"/>
        <x:v>-1</x:v>
      </x:c>
      <x:c r="T232" s="49" t="s">
        <x:v>98</x:v>
      </x:c>
      <x:c r="U232" s="49" t="str">
        <x:f t="shared" si="14"/>
        <x:v>红</x:v>
      </x:c>
      <x:c r="V232" s="50">
        <x:f t="shared" si="15"/>
        <x:v>1.06</x:v>
      </x:c>
      <x:c r="W232" s="50">
        <x:f t="shared" si="17"/>
        <x:v>1.06</x:v>
      </x:c>
      <x:c r="X232" s="57">
        <x:v>1</x:v>
      </x:c>
      <x:c r="Y232" s="57">
        <x:v>0.75</x:v>
      </x:c>
      <x:c r="Z232" s="57">
        <x:v>0.88</x:v>
      </x:c>
      <x:c r="AA232" s="57">
        <x:v>-0.75</x:v>
      </x:c>
      <x:c r="AB232" s="57">
        <x:v>1</x:v>
      </x:c>
      <x:c r="AC232" s="57">
        <x:v>0.88</x:v>
      </x:c>
      <x:c r="AD232" s="57"/>
      <x:c r="AE232" s="57"/>
      <x:c r="AF232" s="57"/>
      <x:c r="AG232" s="58"/>
      <x:c r="AH232" s="58"/>
      <x:c r="AI232" s="58"/>
      <x:c r="AJ232" s="58"/>
      <x:c r="AK232" s="58"/>
      <x:c r="AL232" s="57"/>
      <x:c r="AM232" s="57"/>
      <x:c r="AN232" s="57"/>
      <x:c r="AO232" s="57"/>
      <x:c r="AP232" s="57"/>
      <x:c r="AQ232" s="59"/>
      <x:c r="AR232" s="57"/>
      <x:c r="AS232" s="57"/>
      <x:c r="AT232" s="57"/>
      <x:c r="AU232" s="57"/>
      <x:c r="AV232" s="57"/>
      <x:c r="AW232" s="57"/>
      <x:c r="AX232" s="59" t="s">
        <x:v>100</x:v>
      </x:c>
      <x:c r="AY232" s="59" t="s">
        <x:v>1015</x:v>
      </x:c>
    </x:row>
    <x:row r="233" ht="22" customHeight="1">
      <x:c r="A233" s="49" t="s">
        <x:v>1001</x:v>
      </x:c>
      <x:c r="B233" s="49" t="s">
        <x:v>1019</x:v>
      </x:c>
      <x:c r="C233" s="49" t="s">
        <x:v>239</x:v>
      </x:c>
      <x:c r="D233" s="49" t="s">
        <x:v>116</x:v>
      </x:c>
      <x:c r="E233" s="49" t="s">
        <x:v>656</x:v>
      </x:c>
      <x:c r="F233" s="49" t="s">
        <x:v>1020</x:v>
      </x:c>
      <x:c r="G233" s="60">
        <x:v>0.86</x:v>
      </x:c>
      <x:c r="H233" s="60">
        <x:v>0</x:v>
      </x:c>
      <x:c r="I233" s="60">
        <x:v>1.03</x:v>
      </x:c>
      <x:c r="J233" s="49" t="s">
        <x:v>1008</x:v>
      </x:c>
      <x:c r="K233" s="49" t="s">
        <x:v>132</x:v>
      </x:c>
      <x:c r="L233" s="49" t="s">
        <x:v>1021</x:v>
      </x:c>
      <x:c r="M233" s="61">
        <x:v>0.597</x:v>
      </x:c>
      <x:c r="N233" s="49" t="s">
        <x:v>96</x:v>
      </x:c>
      <x:c r="O233" s="49" t="s">
        <x:v>191</x:v>
      </x:c>
      <x:c r="P233" s="49" t="s">
        <x:v>30</x:v>
      </x:c>
      <x:c r="Q233" s="49" t="s">
        <x:v>23</x:v>
      </x:c>
      <x:c r="R233" s="50">
        <x:v>0.83</x:v>
      </x:c>
      <x:c r="S233" s="50">
        <x:f t="shared" si="16"/>
        <x:v>-1</x:v>
      </x:c>
      <x:c r="T233" s="49" t="s">
        <x:v>98</x:v>
      </x:c>
      <x:c r="U233" s="49" t="str">
        <x:f t="shared" si="14"/>
        <x:v>红</x:v>
      </x:c>
      <x:c r="V233" s="50">
        <x:f t="shared" si="15"/>
        <x:v>1.03</x:v>
      </x:c>
      <x:c r="W233" s="50">
        <x:f t="shared" si="17"/>
        <x:v>1.03</x:v>
      </x:c>
      <x:c r="X233" s="57">
        <x:v>1.06</x:v>
      </x:c>
      <x:c r="Y233" s="57">
        <x:v>0.25</x:v>
      </x:c>
      <x:c r="Z233" s="57">
        <x:v>0.82</x:v>
      </x:c>
      <x:c r="AA233" s="57">
        <x:v>-0.25</x:v>
      </x:c>
      <x:c r="AB233" s="57">
        <x:v>1.06</x:v>
      </x:c>
      <x:c r="AC233" s="57">
        <x:v>0.83</x:v>
      </x:c>
      <x:c r="AD233" s="57"/>
      <x:c r="AE233" s="57"/>
      <x:c r="AF233" s="57"/>
      <x:c r="AG233" s="58"/>
      <x:c r="AH233" s="58"/>
      <x:c r="AI233" s="58"/>
      <x:c r="AJ233" s="58"/>
      <x:c r="AK233" s="58"/>
      <x:c r="AL233" s="57"/>
      <x:c r="AM233" s="57"/>
      <x:c r="AN233" s="57"/>
      <x:c r="AO233" s="57"/>
      <x:c r="AP233" s="57"/>
      <x:c r="AQ233" s="59"/>
      <x:c r="AR233" s="57"/>
      <x:c r="AS233" s="57"/>
      <x:c r="AT233" s="57"/>
      <x:c r="AU233" s="57"/>
      <x:c r="AV233" s="57"/>
      <x:c r="AW233" s="57"/>
      <x:c r="AX233" s="59" t="s">
        <x:v>100</x:v>
      </x:c>
      <x:c r="AY233" s="59" t="s">
        <x:v>1015</x:v>
      </x:c>
    </x:row>
    <x:row r="234" ht="22" customHeight="1">
      <x:c r="A234" s="49" t="s">
        <x:v>1001</x:v>
      </x:c>
      <x:c r="B234" s="49" t="s">
        <x:v>1019</x:v>
      </x:c>
      <x:c r="C234" s="49" t="s">
        <x:v>333</x:v>
      </x:c>
      <x:c r="D234" s="49" t="s">
        <x:v>116</x:v>
      </x:c>
      <x:c r="E234" s="49" t="s">
        <x:v>953</x:v>
      </x:c>
      <x:c r="F234" s="49" t="s">
        <x:v>1022</x:v>
      </x:c>
      <x:c r="G234" s="60">
        <x:v>0.75</x:v>
      </x:c>
      <x:c r="H234" s="60">
        <x:v>0</x:v>
      </x:c>
      <x:c r="I234" s="60">
        <x:v>0.95</x:v>
      </x:c>
      <x:c r="J234" s="49" t="s">
        <x:v>1023</x:v>
      </x:c>
      <x:c r="K234" s="49" t="s">
        <x:v>106</x:v>
      </x:c>
      <x:c r="L234" s="49" t="s">
        <x:v>1024</x:v>
      </x:c>
      <x:c r="M234" s="61">
        <x:v>0.578</x:v>
      </x:c>
      <x:c r="N234" s="49" t="s">
        <x:v>685</x:v>
      </x:c>
      <x:c r="O234" s="49" t="s">
        <x:v>126</x:v>
      </x:c>
      <x:c r="P234" s="49" t="s">
        <x:v>30</x:v>
      </x:c>
      <x:c r="Q234" s="49" t="s">
        <x:v>17</x:v>
      </x:c>
      <x:c r="R234" s="50">
        <x:v>0.81</x:v>
      </x:c>
      <x:c r="S234" s="50">
        <x:f t="shared" si="16"/>
        <x:v>0</x:v>
      </x:c>
      <x:c r="T234" s="49" t="s">
        <x:v>98</x:v>
      </x:c>
      <x:c r="U234" s="49" t="str">
        <x:f t="shared" si="14"/>
        <x:v>走</x:v>
      </x:c>
      <x:c r="V234" s="50">
        <x:f t="shared" si="15"/>
        <x:v>0.95</x:v>
      </x:c>
      <x:c r="W234" s="50">
        <x:f t="shared" si="17"/>
        <x:v>0</x:v>
      </x:c>
      <x:c r="X234" s="57">
        <x:v>0.71</x:v>
      </x:c>
      <x:c r="Y234" s="57">
        <x:v>0</x:v>
      </x:c>
      <x:c r="Z234" s="57">
        <x:v>0.99</x:v>
      </x:c>
      <x:c r="AA234" s="57">
        <x:v>0</x:v>
      </x:c>
      <x:c r="AB234" s="57">
        <x:v>0.71</x:v>
      </x:c>
      <x:c r="AC234" s="57">
        <x:v>0.81</x:v>
      </x:c>
      <x:c r="AD234" s="57"/>
      <x:c r="AE234" s="57"/>
      <x:c r="AF234" s="57"/>
      <x:c r="AG234" s="58"/>
      <x:c r="AH234" s="58"/>
      <x:c r="AI234" s="58"/>
      <x:c r="AJ234" s="58"/>
      <x:c r="AK234" s="58"/>
      <x:c r="AL234" s="57"/>
      <x:c r="AM234" s="57"/>
      <x:c r="AN234" s="57"/>
      <x:c r="AO234" s="57"/>
      <x:c r="AP234" s="57"/>
      <x:c r="AQ234" s="59"/>
      <x:c r="AR234" s="57"/>
      <x:c r="AS234" s="57"/>
      <x:c r="AT234" s="57"/>
      <x:c r="AU234" s="57"/>
      <x:c r="AV234" s="57"/>
      <x:c r="AW234" s="57"/>
      <x:c r="AX234" s="59" t="s">
        <x:v>100</x:v>
      </x:c>
      <x:c r="AY234" s="59" t="s">
        <x:v>1015</x:v>
      </x:c>
    </x:row>
    <x:row r="235" ht="22" customHeight="1">
      <x:c r="A235" s="49" t="s">
        <x:v>1001</x:v>
      </x:c>
      <x:c r="B235" s="49" t="s">
        <x:v>1025</x:v>
      </x:c>
      <x:c r="C235" s="49" t="s">
        <x:v>239</x:v>
      </x:c>
      <x:c r="D235" s="49" t="s">
        <x:v>116</x:v>
      </x:c>
      <x:c r="E235" s="49" t="s">
        <x:v>240</x:v>
      </x:c>
      <x:c r="F235" s="49" t="s">
        <x:v>1026</x:v>
      </x:c>
      <x:c r="G235" s="60">
        <x:v>1.07</x:v>
      </x:c>
      <x:c r="H235" s="60">
        <x:v>1</x:v>
      </x:c>
      <x:c r="I235" s="60">
        <x:v>0.82</x:v>
      </x:c>
      <x:c r="J235" s="49" t="s">
        <x:v>1027</x:v>
      </x:c>
      <x:c r="K235" s="49" t="s">
        <x:v>189</x:v>
      </x:c>
      <x:c r="L235" s="49" t="s">
        <x:v>1028</x:v>
      </x:c>
      <x:c r="M235" s="61">
        <x:v>0.574</x:v>
      </x:c>
      <x:c r="N235" s="49" t="s">
        <x:v>96</x:v>
      </x:c>
      <x:c r="O235" s="49" t="s">
        <x:v>161</x:v>
      </x:c>
      <x:c r="P235" s="49" t="s">
        <x:v>30</x:v>
      </x:c>
      <x:c r="Q235" s="49" t="s">
        <x:v>11</x:v>
      </x:c>
      <x:c r="R235" s="50">
        <x:v>0.82</x:v>
      </x:c>
      <x:c r="S235" s="50">
        <x:f t="shared" si="16"/>
        <x:v>0.82</x:v>
      </x:c>
      <x:c r="T235" s="49" t="s">
        <x:v>98</x:v>
      </x:c>
      <x:c r="U235" s="49" t="str">
        <x:f t="shared" si="14"/>
        <x:v>黑</x:v>
      </x:c>
      <x:c r="V235" s="50">
        <x:f t="shared" si="15"/>
        <x:v>0.82</x:v>
      </x:c>
      <x:c r="W235" s="50">
        <x:f t="shared" si="17"/>
        <x:v>-1</x:v>
      </x:c>
      <x:c r="X235" s="57">
        <x:v>0.89</x:v>
      </x:c>
      <x:c r="Y235" s="57">
        <x:v>0.75</x:v>
      </x:c>
      <x:c r="Z235" s="57">
        <x:v>0.99</x:v>
      </x:c>
      <x:c r="AA235" s="57">
        <x:v>-0.75</x:v>
      </x:c>
      <x:c r="AB235" s="57">
        <x:v>0.89</x:v>
      </x:c>
      <x:c r="AC235" s="57">
        <x:v>0.82</x:v>
      </x:c>
      <x:c r="AD235" s="57"/>
      <x:c r="AE235" s="57"/>
      <x:c r="AF235" s="57"/>
      <x:c r="AG235" s="58"/>
      <x:c r="AH235" s="58"/>
      <x:c r="AI235" s="58"/>
      <x:c r="AJ235" s="58"/>
      <x:c r="AK235" s="58"/>
      <x:c r="AL235" s="57"/>
      <x:c r="AM235" s="57"/>
      <x:c r="AN235" s="57"/>
      <x:c r="AO235" s="57"/>
      <x:c r="AP235" s="57"/>
      <x:c r="AQ235" s="59"/>
      <x:c r="AR235" s="57"/>
      <x:c r="AS235" s="57"/>
      <x:c r="AT235" s="57"/>
      <x:c r="AU235" s="57"/>
      <x:c r="AV235" s="57"/>
      <x:c r="AW235" s="57"/>
      <x:c r="AX235" s="59" t="s">
        <x:v>100</x:v>
      </x:c>
      <x:c r="AY235" s="59" t="s">
        <x:v>1015</x:v>
      </x:c>
    </x:row>
    <x:row r="236" ht="22" customHeight="1">
      <x:c r="A236" s="49" t="s">
        <x:v>1001</x:v>
      </x:c>
      <x:c r="B236" s="49" t="s">
        <x:v>1029</x:v>
      </x:c>
      <x:c r="C236" s="49" t="s">
        <x:v>333</x:v>
      </x:c>
      <x:c r="D236" s="49" t="s">
        <x:v>116</x:v>
      </x:c>
      <x:c r="E236" s="49" t="s">
        <x:v>927</x:v>
      </x:c>
      <x:c r="F236" s="49" t="s">
        <x:v>1030</x:v>
      </x:c>
      <x:c r="G236" s="60">
        <x:v>1.11</x:v>
      </x:c>
      <x:c r="H236" s="60">
        <x:v>0.5</x:v>
      </x:c>
      <x:c r="I236" s="60">
        <x:v>0.6</x:v>
      </x:c>
      <x:c r="J236" s="49" t="s">
        <x:v>1031</x:v>
      </x:c>
      <x:c r="K236" s="49" t="s">
        <x:v>556</x:v>
      </x:c>
      <x:c r="L236" s="49" t="s">
        <x:v>1032</x:v>
      </x:c>
      <x:c r="M236" s="61">
        <x:v>0.578</x:v>
      </x:c>
      <x:c r="N236" s="49" t="s">
        <x:v>685</x:v>
      </x:c>
      <x:c r="O236" s="49" t="s">
        <x:v>126</x:v>
      </x:c>
      <x:c r="P236" s="49" t="s">
        <x:v>30</x:v>
      </x:c>
      <x:c r="Q236" s="49" t="s">
        <x:v>23</x:v>
      </x:c>
      <x:c r="R236" s="50">
        <x:v>0.83</x:v>
      </x:c>
      <x:c r="S236" s="50">
        <x:f t="shared" si="16"/>
        <x:v>-1</x:v>
      </x:c>
      <x:c r="T236" s="49" t="s">
        <x:v>98</x:v>
      </x:c>
      <x:c r="U236" s="49" t="str">
        <x:f t="shared" si="14"/>
        <x:v>红</x:v>
      </x:c>
      <x:c r="V236" s="50">
        <x:f t="shared" si="15"/>
        <x:v>0.6</x:v>
      </x:c>
      <x:c r="W236" s="50">
        <x:f t="shared" si="17"/>
        <x:v>0.6</x:v>
      </x:c>
      <x:c r="X236" s="57">
        <x:v>0.75</x:v>
      </x:c>
      <x:c r="Y236" s="57">
        <x:v>0.5</x:v>
      </x:c>
      <x:c r="Z236" s="57">
        <x:v>0.95</x:v>
      </x:c>
      <x:c r="AA236" s="57">
        <x:v>-0.5</x:v>
      </x:c>
      <x:c r="AB236" s="57">
        <x:v>0.75</x:v>
      </x:c>
      <x:c r="AC236" s="57">
        <x:v>0.83</x:v>
      </x:c>
      <x:c r="AD236" s="57"/>
      <x:c r="AE236" s="57"/>
      <x:c r="AF236" s="57"/>
      <x:c r="AG236" s="58"/>
      <x:c r="AH236" s="58"/>
      <x:c r="AI236" s="58"/>
      <x:c r="AJ236" s="58"/>
      <x:c r="AK236" s="58"/>
      <x:c r="AL236" s="57"/>
      <x:c r="AM236" s="57"/>
      <x:c r="AN236" s="57"/>
      <x:c r="AO236" s="57"/>
      <x:c r="AP236" s="57"/>
      <x:c r="AQ236" s="59"/>
      <x:c r="AR236" s="57"/>
      <x:c r="AS236" s="57"/>
      <x:c r="AT236" s="57"/>
      <x:c r="AU236" s="57"/>
      <x:c r="AV236" s="57"/>
      <x:c r="AW236" s="57"/>
      <x:c r="AX236" s="59" t="s">
        <x:v>100</x:v>
      </x:c>
      <x:c r="AY236" s="59" t="s">
        <x:v>1015</x:v>
      </x:c>
    </x:row>
    <x:row r="237" ht="22" customHeight="1">
      <x:c r="A237" s="49" t="s">
        <x:v>1001</x:v>
      </x:c>
      <x:c r="B237" s="49" t="s">
        <x:v>1029</x:v>
      </x:c>
      <x:c r="C237" s="49" t="s">
        <x:v>333</x:v>
      </x:c>
      <x:c r="D237" s="49" t="s">
        <x:v>116</x:v>
      </x:c>
      <x:c r="E237" s="49" t="s">
        <x:v>894</x:v>
      </x:c>
      <x:c r="F237" s="49" t="s">
        <x:v>1033</x:v>
      </x:c>
      <x:c r="G237" s="60">
        <x:v>1.28</x:v>
      </x:c>
      <x:c r="H237" s="60">
        <x:v>0</x:v>
      </x:c>
      <x:c r="I237" s="60">
        <x:v>0.66</x:v>
      </x:c>
      <x:c r="J237" s="49" t="s">
        <x:v>1034</x:v>
      </x:c>
      <x:c r="K237" s="49" t="s">
        <x:v>106</x:v>
      </x:c>
      <x:c r="L237" s="49" t="s">
        <x:v>1035</x:v>
      </x:c>
      <x:c r="M237" s="61">
        <x:v>0.578</x:v>
      </x:c>
      <x:c r="N237" s="49" t="s">
        <x:v>685</x:v>
      </x:c>
      <x:c r="O237" s="49" t="s">
        <x:v>653</x:v>
      </x:c>
      <x:c r="P237" s="49" t="s">
        <x:v>30</x:v>
      </x:c>
      <x:c r="Q237" s="49" t="s">
        <x:v>11</x:v>
      </x:c>
      <x:c r="R237" s="50">
        <x:v>0.82</x:v>
      </x:c>
      <x:c r="S237" s="50">
        <x:f t="shared" si="16"/>
        <x:v>0.82</x:v>
      </x:c>
      <x:c r="T237" s="49" t="s">
        <x:v>98</x:v>
      </x:c>
      <x:c r="U237" s="49" t="str">
        <x:f t="shared" si="14"/>
        <x:v>黑</x:v>
      </x:c>
      <x:c r="V237" s="50">
        <x:f t="shared" si="15"/>
        <x:v>1.28</x:v>
      </x:c>
      <x:c r="W237" s="50">
        <x:f t="shared" si="17"/>
        <x:v>-1</x:v>
      </x:c>
      <x:c r="X237" s="57">
        <x:v>1</x:v>
      </x:c>
      <x:c r="Y237" s="57">
        <x:v>0</x:v>
      </x:c>
      <x:c r="Z237" s="57">
        <x:v>0.82</x:v>
      </x:c>
      <x:c r="AA237" s="57">
        <x:v>0</x:v>
      </x:c>
      <x:c r="AB237" s="57">
        <x:v>0.82</x:v>
      </x:c>
      <x:c r="AC237" s="57">
        <x:v>0.82</x:v>
      </x:c>
      <x:c r="AD237" s="57"/>
      <x:c r="AE237" s="57"/>
      <x:c r="AF237" s="57"/>
      <x:c r="AG237" s="58"/>
      <x:c r="AH237" s="58"/>
      <x:c r="AI237" s="58"/>
      <x:c r="AJ237" s="58"/>
      <x:c r="AK237" s="58"/>
      <x:c r="AL237" s="57"/>
      <x:c r="AM237" s="57"/>
      <x:c r="AN237" s="57"/>
      <x:c r="AO237" s="57"/>
      <x:c r="AP237" s="57"/>
      <x:c r="AQ237" s="59"/>
      <x:c r="AR237" s="57"/>
      <x:c r="AS237" s="57"/>
      <x:c r="AT237" s="57"/>
      <x:c r="AU237" s="57"/>
      <x:c r="AV237" s="57"/>
      <x:c r="AW237" s="57"/>
      <x:c r="AX237" s="59" t="s">
        <x:v>100</x:v>
      </x:c>
      <x:c r="AY237" s="59" t="s">
        <x:v>1015</x:v>
      </x:c>
    </x:row>
    <x:row r="238" ht="22" customHeight="1">
      <x:c r="A238" s="49" t="s">
        <x:v>1001</x:v>
      </x:c>
      <x:c r="B238" s="49" t="s">
        <x:v>1029</x:v>
      </x:c>
      <x:c r="C238" s="49" t="s">
        <x:v>333</x:v>
      </x:c>
      <x:c r="D238" s="49" t="s">
        <x:v>116</x:v>
      </x:c>
      <x:c r="E238" s="49" t="s">
        <x:v>894</x:v>
      </x:c>
      <x:c r="F238" s="49" t="s">
        <x:v>1036</x:v>
      </x:c>
      <x:c r="G238" s="60">
        <x:v>0.86</x:v>
      </x:c>
      <x:c r="H238" s="60">
        <x:v>0.25</x:v>
      </x:c>
      <x:c r="I238" s="60">
        <x:v>1.02</x:v>
      </x:c>
      <x:c r="J238" s="49" t="s">
        <x:v>1037</x:v>
      </x:c>
      <x:c r="K238" s="49" t="s">
        <x:v>276</x:v>
      </x:c>
      <x:c r="L238" s="49" t="s">
        <x:v>1038</x:v>
      </x:c>
      <x:c r="M238" s="61">
        <x:v>0.578</x:v>
      </x:c>
      <x:c r="N238" s="49" t="s">
        <x:v>685</x:v>
      </x:c>
      <x:c r="O238" s="49" t="s">
        <x:v>273</x:v>
      </x:c>
      <x:c r="P238" s="49" t="s">
        <x:v>30</x:v>
      </x:c>
      <x:c r="Q238" s="49" t="s">
        <x:v>20</x:v>
      </x:c>
      <x:c r="R238" s="50">
        <x:v>0.83</x:v>
      </x:c>
      <x:c r="S238" s="50">
        <x:f t="shared" si="16"/>
        <x:v>-0.5</x:v>
      </x:c>
      <x:c r="T238" s="49" t="s">
        <x:v>98</x:v>
      </x:c>
      <x:c r="U238" s="49" t="str">
        <x:f t="shared" si="14"/>
        <x:v>半红</x:v>
      </x:c>
      <x:c r="V238" s="50">
        <x:f t="shared" si="15"/>
        <x:v>1.02</x:v>
      </x:c>
      <x:c r="W238" s="50">
        <x:f t="shared" si="17"/>
        <x:v>0.51</x:v>
      </x:c>
      <x:c r="X238" s="57">
        <x:v>0.83</x:v>
      </x:c>
      <x:c r="Y238" s="57">
        <x:v>0.25</x:v>
      </x:c>
      <x:c r="Z238" s="57">
        <x:v>0.99</x:v>
      </x:c>
      <x:c r="AA238" s="57">
        <x:v>-0.25</x:v>
      </x:c>
      <x:c r="AB238" s="57">
        <x:v>0.83</x:v>
      </x:c>
      <x:c r="AC238" s="57">
        <x:v>0.83</x:v>
      </x:c>
      <x:c r="AD238" s="57"/>
      <x:c r="AE238" s="57"/>
      <x:c r="AF238" s="57"/>
      <x:c r="AG238" s="58"/>
      <x:c r="AH238" s="58"/>
      <x:c r="AI238" s="58"/>
      <x:c r="AJ238" s="58"/>
      <x:c r="AK238" s="58"/>
      <x:c r="AL238" s="57"/>
      <x:c r="AM238" s="57"/>
      <x:c r="AN238" s="57"/>
      <x:c r="AO238" s="57"/>
      <x:c r="AP238" s="57"/>
      <x:c r="AQ238" s="59"/>
      <x:c r="AR238" s="57"/>
      <x:c r="AS238" s="57"/>
      <x:c r="AT238" s="57"/>
      <x:c r="AU238" s="57"/>
      <x:c r="AV238" s="57"/>
      <x:c r="AW238" s="57"/>
      <x:c r="AX238" s="59" t="s">
        <x:v>100</x:v>
      </x:c>
      <x:c r="AY238" s="59" t="s">
        <x:v>1015</x:v>
      </x:c>
    </x:row>
    <x:row r="239" ht="22" customHeight="1">
      <x:c r="A239" s="49" t="s">
        <x:v>1001</x:v>
      </x:c>
      <x:c r="B239" s="49" t="s">
        <x:v>1029</x:v>
      </x:c>
      <x:c r="C239" s="49" t="s">
        <x:v>333</x:v>
      </x:c>
      <x:c r="D239" s="49" t="s">
        <x:v>116</x:v>
      </x:c>
      <x:c r="E239" s="49" t="s">
        <x:v>602</x:v>
      </x:c>
      <x:c r="F239" s="49" t="s">
        <x:v>1039</x:v>
      </x:c>
      <x:c r="G239" s="60">
        <x:v>0.9</x:v>
      </x:c>
      <x:c r="H239" s="60">
        <x:v>0</x:v>
      </x:c>
      <x:c r="I239" s="60">
        <x:v>0.99</x:v>
      </x:c>
      <x:c r="J239" s="49" t="s">
        <x:v>1040</x:v>
      </x:c>
      <x:c r="K239" s="49" t="s">
        <x:v>132</x:v>
      </x:c>
      <x:c r="L239" s="49" t="s">
        <x:v>113</x:v>
      </x:c>
      <x:c r="M239" s="61">
        <x:v>0.597</x:v>
      </x:c>
      <x:c r="N239" s="49" t="s">
        <x:v>685</x:v>
      </x:c>
      <x:c r="O239" s="49" t="s">
        <x:v>126</x:v>
      </x:c>
      <x:c r="P239" s="49" t="s">
        <x:v>30</x:v>
      </x:c>
      <x:c r="Q239" s="49" t="s">
        <x:v>17</x:v>
      </x:c>
      <x:c r="R239" s="50">
        <x:v>0.77</x:v>
      </x:c>
      <x:c r="S239" s="50">
        <x:f t="shared" si="16"/>
        <x:v>0</x:v>
      </x:c>
      <x:c r="T239" s="49" t="s">
        <x:v>98</x:v>
      </x:c>
      <x:c r="U239" s="49" t="str">
        <x:f t="shared" ref="U239:U302" si="18">IF(Q239="","",IF(Q239="待结算","待结算",IF(Q239="红","黑",IF(Q239="半红","半黑",IF(Q239="走","走",IF(Q239="半黑","半红","红"))))))</x:f>
        <x:v>走</x:v>
      </x:c>
      <x:c r="V239" s="50" t="n">
        <x:f t="shared" ref="V239:V302" si="19">IF(OR(Q239="",Q239="待结算"),"",IF(L239=LEFT(F239,FIND(" vs ",F239)-1),I239,G239))</x:f>
        <x:v>0.99</x:v>
      </x:c>
      <x:c r="W239" s="50">
        <x:f t="shared" si="17"/>
        <x:v>0</x:v>
      </x:c>
      <x:c r="X239" s="57">
        <x:v>1.05</x:v>
      </x:c>
      <x:c r="Y239" s="57">
        <x:v>0.5</x:v>
      </x:c>
      <x:c r="Z239" s="57">
        <x:v>0.83</x:v>
      </x:c>
      <x:c r="AA239" s="57">
        <x:v>-0.5</x:v>
      </x:c>
      <x:c r="AB239" s="57">
        <x:v>1.05</x:v>
      </x:c>
      <x:c r="AC239" s="57">
        <x:v>0.77</x:v>
      </x:c>
      <x:c r="AD239" s="57"/>
      <x:c r="AE239" s="57"/>
      <x:c r="AF239" s="57"/>
      <x:c r="AG239" s="58"/>
      <x:c r="AH239" s="58"/>
      <x:c r="AI239" s="58"/>
      <x:c r="AJ239" s="58"/>
      <x:c r="AK239" s="58"/>
      <x:c r="AL239" s="57"/>
      <x:c r="AM239" s="57"/>
      <x:c r="AN239" s="57"/>
      <x:c r="AO239" s="57"/>
      <x:c r="AP239" s="57"/>
      <x:c r="AQ239" s="59"/>
      <x:c r="AR239" s="57"/>
      <x:c r="AS239" s="57"/>
      <x:c r="AT239" s="57"/>
      <x:c r="AU239" s="57"/>
      <x:c r="AV239" s="57"/>
      <x:c r="AW239" s="57"/>
      <x:c r="AX239" s="59" t="s">
        <x:v>100</x:v>
      </x:c>
      <x:c r="AY239" s="59" t="s">
        <x:v>1015</x:v>
      </x:c>
    </x:row>
    <x:row r="240" ht="22" customHeight="1">
      <x:c r="A240" s="49" t="s">
        <x:v>1001</x:v>
      </x:c>
      <x:c r="B240" s="49" t="s">
        <x:v>1029</x:v>
      </x:c>
      <x:c r="C240" s="49" t="s">
        <x:v>333</x:v>
      </x:c>
      <x:c r="D240" s="49" t="s">
        <x:v>116</x:v>
      </x:c>
      <x:c r="E240" s="49" t="s">
        <x:v>609</x:v>
      </x:c>
      <x:c r="F240" s="49" t="s">
        <x:v>1041</x:v>
      </x:c>
      <x:c r="G240" s="60">
        <x:v>1.06</x:v>
      </x:c>
      <x:c r="H240" s="60">
        <x:v>-0.25</x:v>
      </x:c>
      <x:c r="I240" s="60">
        <x:v>0.83</x:v>
      </x:c>
      <x:c r="J240" s="49" t="s">
        <x:v>842</x:v>
      </x:c>
      <x:c r="K240" s="49" t="s">
        <x:v>106</x:v>
      </x:c>
      <x:c r="L240" s="49" t="s">
        <x:v>1042</x:v>
      </x:c>
      <x:c r="M240" s="61">
        <x:v>0.578</x:v>
      </x:c>
      <x:c r="N240" s="49" t="s">
        <x:v>685</x:v>
      </x:c>
      <x:c r="O240" s="49" t="s">
        <x:v>273</x:v>
      </x:c>
      <x:c r="P240" s="49" t="s">
        <x:v>30</x:v>
      </x:c>
      <x:c r="Q240" s="49" t="s">
        <x:v>20</x:v>
      </x:c>
      <x:c r="R240" s="50">
        <x:v>0.82</x:v>
      </x:c>
      <x:c r="S240" s="50">
        <x:f t="shared" si="16"/>
        <x:v>-0.5</x:v>
      </x:c>
      <x:c r="T240" s="49" t="s">
        <x:v>98</x:v>
      </x:c>
      <x:c r="U240" s="49" t="str">
        <x:f t="shared" si="18"/>
        <x:v>半红</x:v>
      </x:c>
      <x:c r="V240" s="50">
        <x:f t="shared" si="19"/>
        <x:v>1.06</x:v>
      </x:c>
      <x:c r="W240" s="50">
        <x:f t="shared" si="17"/>
        <x:v>0.53</x:v>
      </x:c>
      <x:c r="X240" s="57">
        <x:v>0.9</x:v>
      </x:c>
      <x:c r="Y240" s="57">
        <x:v>-0.25</x:v>
      </x:c>
      <x:c r="Z240" s="57">
        <x:v>0.98</x:v>
      </x:c>
      <x:c r="AA240" s="57">
        <x:v>-0.25</x:v>
      </x:c>
      <x:c r="AB240" s="57">
        <x:v>0.98</x:v>
      </x:c>
      <x:c r="AC240" s="57">
        <x:v>0.82</x:v>
      </x:c>
      <x:c r="AD240" s="57">
        <x:v>3</x:v>
      </x:c>
      <x:c r="AE240" s="57">
        <x:v>3.42</x:v>
      </x:c>
      <x:c r="AF240" s="57">
        <x:v>2.29</x:v>
      </x:c>
      <x:c r="AG240" s="58">
        <x:v>0.0624122168594705</x:v>
      </x:c>
      <x:c r="AH240" s="58">
        <x:v>0.0124122168594705</x:v>
      </x:c>
      <x:c r="AI240" s="58">
        <x:v>0.313751412157777</x:v>
      </x:c>
      <x:c r="AJ240" s="58">
        <x:v>0.275220536980506</x:v>
      </x:c>
      <x:c r="AK240" s="58">
        <x:v>0.411028050861717</x:v>
      </x:c>
      <x:c r="AL240" s="57">
        <x:v>1.1</x:v>
      </x:c>
      <x:c r="AM240" s="57">
        <x:v>1.3</x:v>
      </x:c>
      <x:c r="AN240" s="57">
        <x:v>0.000292822253841187</x:v>
      </x:c>
      <x:c r="AO240" s="57">
        <x:v>1.09877953906416</x:v>
      </x:c>
      <x:c r="AP240" s="57">
        <x:v>-0.27877953906416</x:v>
      </x:c>
      <x:c r="AQ240" s="59" t="s">
        <x:v>99</x:v>
      </x:c>
      <x:c r="AR240" s="57">
        <x:v>-0.25</x:v>
      </x:c>
      <x:c r="AS240" s="57">
        <x:v>0.410979671241542</x:v>
      </x:c>
      <x:c r="AT240" s="57">
        <x:v>0.451576053731521</x:v>
      </x:c>
      <x:c r="AU240" s="57">
        <x:v>3.4</x:v>
      </x:c>
      <x:c r="AV240" s="57">
        <x:v>3.63</x:v>
      </x:c>
      <x:c r="AW240" s="57">
        <x:v>2.08</x:v>
      </x:c>
      <x:c r="AX240" s="59" t="s">
        <x:v>100</x:v>
      </x:c>
      <x:c r="AY240" s="59" t="s">
        <x:v>101</x:v>
      </x:c>
    </x:row>
    <x:row r="241" ht="22" customHeight="1">
      <x:c r="A241" s="49" t="s">
        <x:v>1001</x:v>
      </x:c>
      <x:c r="B241" s="49" t="s">
        <x:v>1043</x:v>
      </x:c>
      <x:c r="C241" s="49" t="s">
        <x:v>333</x:v>
      </x:c>
      <x:c r="D241" s="49" t="s">
        <x:v>116</x:v>
      </x:c>
      <x:c r="E241" s="49" t="s">
        <x:v>597</x:v>
      </x:c>
      <x:c r="F241" s="49" t="s">
        <x:v>1044</x:v>
      </x:c>
      <x:c r="G241" s="60">
        <x:v>1.09</x:v>
      </x:c>
      <x:c r="H241" s="60">
        <x:v>0</x:v>
      </x:c>
      <x:c r="I241" s="60">
        <x:v>0.8</x:v>
      </x:c>
      <x:c r="J241" s="49" t="s">
        <x:v>529</x:v>
      </x:c>
      <x:c r="K241" s="49" t="s">
        <x:v>132</x:v>
      </x:c>
      <x:c r="L241" s="49" t="s">
        <x:v>1045</x:v>
      </x:c>
      <x:c r="M241" s="61">
        <x:v>0.603</x:v>
      </x:c>
      <x:c r="N241" s="49" t="s">
        <x:v>685</x:v>
      </x:c>
      <x:c r="O241" s="49" t="s">
        <x:v>367</x:v>
      </x:c>
      <x:c r="P241" s="49" t="s">
        <x:v>30</x:v>
      </x:c>
      <x:c r="Q241" s="49" t="s">
        <x:v>11</x:v>
      </x:c>
      <x:c r="R241" s="50">
        <x:v>0.8</x:v>
      </x:c>
      <x:c r="S241" s="50">
        <x:f t="shared" si="16"/>
        <x:v>0.8</x:v>
      </x:c>
      <x:c r="T241" s="49" t="s">
        <x:v>98</x:v>
      </x:c>
      <x:c r="U241" s="49" t="str">
        <x:f t="shared" si="18"/>
        <x:v>黑</x:v>
      </x:c>
      <x:c r="V241" s="50">
        <x:f t="shared" si="19"/>
        <x:v>1.09</x:v>
      </x:c>
      <x:c r="W241" s="50">
        <x:f t="shared" si="17"/>
        <x:v>-1</x:v>
      </x:c>
      <x:c r="X241" s="57">
        <x:v>0.82</x:v>
      </x:c>
      <x:c r="Y241" s="57">
        <x:v>-0.25</x:v>
      </x:c>
      <x:c r="Z241" s="57">
        <x:v>1.06</x:v>
      </x:c>
      <x:c r="AA241" s="57">
        <x:v>-0.25</x:v>
      </x:c>
      <x:c r="AB241" s="57">
        <x:v>1.06</x:v>
      </x:c>
      <x:c r="AC241" s="57">
        <x:v>0.8</x:v>
      </x:c>
      <x:c r="AD241" s="57">
        <x:v>2.64</x:v>
      </x:c>
      <x:c r="AE241" s="57">
        <x:v>3.52</x:v>
      </x:c>
      <x:c r="AF241" s="57">
        <x:v>2.49</x:v>
      </x:c>
      <x:c r="AG241" s="58">
        <x:v>0.064485213581599</x:v>
      </x:c>
      <x:c r="AH241" s="58">
        <x:v>0.014485213581599</x:v>
      </x:c>
      <x:c r="AI241" s="58">
        <x:v>0.355841371918542</x:v>
      </x:c>
      <x:c r="AJ241" s="58">
        <x:v>0.266881028938907</x:v>
      </x:c>
      <x:c r="AK241" s="58">
        <x:v>0.377277599142551</x:v>
      </x:c>
      <x:c r="AL241" s="57">
        <x:v>1.25</x:v>
      </x:c>
      <x:c r="AM241" s="57">
        <x:v>1.3</x:v>
      </x:c>
      <x:c r="AN241" s="57">
        <x:v>0.000894355886201346</x:v>
      </x:c>
      <x:c r="AO241" s="57">
        <x:v>0.937566061324646</x:v>
      </x:c>
      <x:c r="AP241" s="57">
        <x:v>-0.137566061324646</x:v>
      </x:c>
      <x:c r="AQ241" s="59" t="s">
        <x:v>150</x:v>
      </x:c>
      <x:c r="AR241" s="57">
        <x:v>0</x:v>
      </x:c>
      <x:c r="AS241" s="57">
        <x:v>0.378398993803112</x:v>
      </x:c>
      <x:c r="AT241" s="57">
        <x:v>0.354774054229193</x:v>
      </x:c>
      <x:c r="AU241" s="57">
        <x:v>2.85</x:v>
      </x:c>
      <x:c r="AV241" s="57">
        <x:v>3.4</x:v>
      </x:c>
      <x:c r="AW241" s="57">
        <x:v>2.44</x:v>
      </x:c>
      <x:c r="AX241" s="59" t="s">
        <x:v>100</x:v>
      </x:c>
      <x:c r="AY241" s="59" t="s">
        <x:v>101</x:v>
      </x:c>
    </x:row>
    <x:row r="242" ht="22" customHeight="1">
      <x:c r="A242" s="49" t="s">
        <x:v>1001</x:v>
      </x:c>
      <x:c r="B242" s="49" t="s">
        <x:v>1046</x:v>
      </x:c>
      <x:c r="C242" s="49" t="s">
        <x:v>128</x:v>
      </x:c>
      <x:c r="D242" s="49" t="s">
        <x:v>116</x:v>
      </x:c>
      <x:c r="E242" s="49" t="s">
        <x:v>212</x:v>
      </x:c>
      <x:c r="F242" s="49" t="s">
        <x:v>1047</x:v>
      </x:c>
      <x:c r="G242" s="60">
        <x:v>0.92</x:v>
      </x:c>
      <x:c r="H242" s="60">
        <x:v>0</x:v>
      </x:c>
      <x:c r="I242" s="60">
        <x:v>0.97</x:v>
      </x:c>
      <x:c r="J242" s="49" t="s">
        <x:v>630</x:v>
      </x:c>
      <x:c r="K242" s="49" t="s">
        <x:v>132</x:v>
      </x:c>
      <x:c r="L242" s="49" t="s">
        <x:v>1048</x:v>
      </x:c>
      <x:c r="M242" s="61">
        <x:v>0.601</x:v>
      </x:c>
      <x:c r="N242" s="49" t="s">
        <x:v>96</x:v>
      </x:c>
      <x:c r="O242" s="49" t="s">
        <x:v>169</x:v>
      </x:c>
      <x:c r="P242" s="49" t="s">
        <x:v>30</x:v>
      </x:c>
      <x:c r="Q242" s="49" t="s">
        <x:v>23</x:v>
      </x:c>
      <x:c r="R242" s="50">
        <x:v>0.78</x:v>
      </x:c>
      <x:c r="S242" s="50">
        <x:f t="shared" si="16"/>
        <x:v>-1</x:v>
      </x:c>
      <x:c r="T242" s="49" t="s">
        <x:v>98</x:v>
      </x:c>
      <x:c r="U242" s="49" t="str">
        <x:f t="shared" si="18"/>
        <x:v>红</x:v>
      </x:c>
      <x:c r="V242" s="50">
        <x:f t="shared" si="19"/>
        <x:v>0.97</x:v>
      </x:c>
      <x:c r="W242" s="50">
        <x:f t="shared" si="17"/>
        <x:v>0.97</x:v>
      </x:c>
      <x:c r="X242" s="57">
        <x:v>0.98</x:v>
      </x:c>
      <x:c r="Y242" s="57">
        <x:v>0.25</x:v>
      </x:c>
      <x:c r="Z242" s="57">
        <x:v>0.9</x:v>
      </x:c>
      <x:c r="AA242" s="57">
        <x:v>-0.25</x:v>
      </x:c>
      <x:c r="AB242" s="57">
        <x:v>0.98</x:v>
      </x:c>
      <x:c r="AC242" s="57">
        <x:v>0.78</x:v>
      </x:c>
      <x:c r="AD242" s="57"/>
      <x:c r="AE242" s="57"/>
      <x:c r="AF242" s="57"/>
      <x:c r="AG242" s="58"/>
      <x:c r="AH242" s="58"/>
      <x:c r="AI242" s="58"/>
      <x:c r="AJ242" s="58"/>
      <x:c r="AK242" s="58"/>
      <x:c r="AL242" s="57"/>
      <x:c r="AM242" s="57"/>
      <x:c r="AN242" s="57"/>
      <x:c r="AO242" s="57"/>
      <x:c r="AP242" s="57"/>
      <x:c r="AQ242" s="59"/>
      <x:c r="AR242" s="57"/>
      <x:c r="AS242" s="57"/>
      <x:c r="AT242" s="57"/>
      <x:c r="AU242" s="57"/>
      <x:c r="AV242" s="57"/>
      <x:c r="AW242" s="57"/>
      <x:c r="AX242" s="59" t="s">
        <x:v>100</x:v>
      </x:c>
      <x:c r="AY242" s="59" t="s">
        <x:v>1015</x:v>
      </x:c>
    </x:row>
    <x:row r="243" ht="22" customHeight="1">
      <x:c r="A243" s="49" t="s">
        <x:v>1001</x:v>
      </x:c>
      <x:c r="B243" s="49" t="s">
        <x:v>1049</x:v>
      </x:c>
      <x:c r="C243" s="49" t="s">
        <x:v>333</x:v>
      </x:c>
      <x:c r="D243" s="49" t="s">
        <x:v>116</x:v>
      </x:c>
      <x:c r="E243" s="49" t="s">
        <x:v>613</x:v>
      </x:c>
      <x:c r="F243" s="49" t="s">
        <x:v>1050</x:v>
      </x:c>
      <x:c r="G243" s="60">
        <x:v>0.98</x:v>
      </x:c>
      <x:c r="H243" s="60">
        <x:v>-1.75</x:v>
      </x:c>
      <x:c r="I243" s="60">
        <x:v>0.91</x:v>
      </x:c>
      <x:c r="J243" s="49" t="s">
        <x:v>1051</x:v>
      </x:c>
      <x:c r="K243" s="49" t="s">
        <x:v>94</x:v>
      </x:c>
      <x:c r="L243" s="49" t="s">
        <x:v>1052</x:v>
      </x:c>
      <x:c r="M243" s="61">
        <x:v>0.542</x:v>
      </x:c>
      <x:c r="N243" s="49" t="s">
        <x:v>685</x:v>
      </x:c>
      <x:c r="O243" s="49" t="s">
        <x:v>367</x:v>
      </x:c>
      <x:c r="P243" s="49" t="s">
        <x:v>30</x:v>
      </x:c>
      <x:c r="Q243" s="49" t="s">
        <x:v>23</x:v>
      </x:c>
      <x:c r="R243" s="50">
        <x:v>0.97</x:v>
      </x:c>
      <x:c r="S243" s="50">
        <x:f t="shared" si="16"/>
        <x:v>-1</x:v>
      </x:c>
      <x:c r="T243" s="49" t="s">
        <x:v>98</x:v>
      </x:c>
      <x:c r="U243" s="49" t="str">
        <x:f t="shared" si="18"/>
        <x:v>红</x:v>
      </x:c>
      <x:c r="V243" s="50">
        <x:f t="shared" si="19"/>
        <x:v>0.91</x:v>
      </x:c>
      <x:c r="W243" s="50">
        <x:f t="shared" si="17"/>
        <x:v>0.91</x:v>
      </x:c>
      <x:c r="X243" s="57">
        <x:v>0.98</x:v>
      </x:c>
      <x:c r="Y243" s="57">
        <x:v>-1.25</x:v>
      </x:c>
      <x:c r="Z243" s="57">
        <x:v>0.9</x:v>
      </x:c>
      <x:c r="AA243" s="57">
        <x:v>1.25</x:v>
      </x:c>
      <x:c r="AB243" s="57">
        <x:v>0.98</x:v>
      </x:c>
      <x:c r="AC243" s="57">
        <x:v>0.97</x:v>
      </x:c>
      <x:c r="AD243" s="57">
        <x:v>6.95</x:v>
      </x:c>
      <x:c r="AE243" s="57">
        <x:v>5.08</x:v>
      </x:c>
      <x:c r="AF243" s="57">
        <x:v>1.41</x:v>
      </x:c>
      <x:c r="AG243" s="58">
        <x:v>0.0499551439431467</x:v>
      </x:c>
      <x:c r="AH243" s="58">
        <x:v>-4.48560568532957e-5</x:v>
      </x:c>
      <x:c r="AI243" s="58">
        <x:v>0.137039084875536</x:v>
      </x:c>
      <x:c r="AJ243" s="58">
        <x:v>0.187484574780508</x:v>
      </x:c>
      <x:c r="AK243" s="58">
        <x:v>0.675476340343956</x:v>
      </x:c>
      <x:c r="AL243" s="57">
        <x:v>0.89</x:v>
      </x:c>
      <x:c r="AM243" s="57">
        <x:v>2.22</x:v>
      </x:c>
      <x:c r="AN243" s="57">
        <x:v>0.000283400298964903</x:v>
      </x:c>
      <x:c r="AO243" s="57">
        <x:v>0.607031109979467</x:v>
      </x:c>
      <x:c r="AP243" s="57">
        <x:v>0.362968890020534</x:v>
      </x:c>
      <x:c r="AQ243" s="59" t="s">
        <x:v>142</x:v>
      </x:c>
      <x:c r="AR243" s="57">
        <x:v>1.75</x:v>
      </x:c>
      <x:c r="AS243" s="57">
        <x:v>0.559190569757145</x:v>
      </x:c>
      <x:c r="AT243" s="57">
        <x:v>0.33944607224973</x:v>
      </x:c>
      <x:c r="AU243" s="57">
        <x:v>9.75</x:v>
      </x:c>
      <x:c r="AV243" s="57">
        <x:v>6.17</x:v>
      </x:c>
      <x:c r="AW243" s="57">
        <x:v>1.27</x:v>
      </x:c>
      <x:c r="AX243" s="59" t="s">
        <x:v>100</x:v>
      </x:c>
      <x:c r="AY243" s="59" t="s">
        <x:v>101</x:v>
      </x:c>
    </x:row>
    <x:row r="244" ht="22" customHeight="1">
      <x:c r="A244" s="49" t="s">
        <x:v>1001</x:v>
      </x:c>
      <x:c r="B244" s="49" t="s">
        <x:v>1053</x:v>
      </x:c>
      <x:c r="C244" s="49" t="s">
        <x:v>128</x:v>
      </x:c>
      <x:c r="D244" s="49" t="s">
        <x:v>116</x:v>
      </x:c>
      <x:c r="E244" s="49" t="s">
        <x:v>437</x:v>
      </x:c>
      <x:c r="F244" s="49" t="s">
        <x:v>1054</x:v>
      </x:c>
      <x:c r="G244" s="60">
        <x:v>0.85</x:v>
      </x:c>
      <x:c r="H244" s="60">
        <x:v>0</x:v>
      </x:c>
      <x:c r="I244" s="60">
        <x:v>1.04</x:v>
      </x:c>
      <x:c r="J244" s="49" t="s">
        <x:v>658</x:v>
      </x:c>
      <x:c r="K244" s="49" t="s">
        <x:v>132</x:v>
      </x:c>
      <x:c r="L244" s="49" t="s">
        <x:v>1055</x:v>
      </x:c>
      <x:c r="M244" s="61">
        <x:v>0.601</x:v>
      </x:c>
      <x:c r="N244" s="49" t="s">
        <x:v>96</x:v>
      </x:c>
      <x:c r="O244" s="49" t="s">
        <x:v>231</x:v>
      </x:c>
      <x:c r="P244" s="49" t="s">
        <x:v>30</x:v>
      </x:c>
      <x:c r="Q244" s="49" t="s">
        <x:v>11</x:v>
      </x:c>
      <x:c r="R244" s="50">
        <x:v>0.85</x:v>
      </x:c>
      <x:c r="S244" s="50">
        <x:f t="shared" si="16"/>
        <x:v>0.85</x:v>
      </x:c>
      <x:c r="T244" s="49" t="s">
        <x:v>98</x:v>
      </x:c>
      <x:c r="U244" s="49" t="str">
        <x:f t="shared" si="18"/>
        <x:v>黑</x:v>
      </x:c>
      <x:c r="V244" s="50">
        <x:f t="shared" si="19"/>
        <x:v>1.04</x:v>
      </x:c>
      <x:c r="W244" s="50">
        <x:f t="shared" si="17"/>
        <x:v>-1</x:v>
      </x:c>
      <x:c r="X244" s="57">
        <x:v>0.99</x:v>
      </x:c>
      <x:c r="Y244" s="57">
        <x:v>0.25</x:v>
      </x:c>
      <x:c r="Z244" s="57">
        <x:v>0.83</x:v>
      </x:c>
      <x:c r="AA244" s="57">
        <x:v>-0.25</x:v>
      </x:c>
      <x:c r="AB244" s="57">
        <x:v>0.99</x:v>
      </x:c>
      <x:c r="AC244" s="57">
        <x:v>0.85</x:v>
      </x:c>
      <x:c r="AD244" s="57">
        <x:v>2.32</x:v>
      </x:c>
      <x:c r="AE244" s="57">
        <x:v>3.22</x:v>
      </x:c>
      <x:c r="AF244" s="57">
        <x:v>2.84</x:v>
      </x:c>
      <x:c r="AG244" s="58">
        <x:v>0.0937061650261388</x:v>
      </x:c>
      <x:c r="AH244" s="58">
        <x:v>0.0437061650261388</x:v>
      </x:c>
      <x:c r="AI244" s="58">
        <x:v>0.394104464747457</x:v>
      </x:c>
      <x:c r="AJ244" s="58">
        <x:v>0.283951042923634</x:v>
      </x:c>
      <x:c r="AK244" s="58">
        <x:v>0.321944492328909</x:v>
      </x:c>
      <x:c r="AL244" s="57">
        <x:v>1.22</x:v>
      </x:c>
      <x:c r="AM244" s="57">
        <x:v>1.07</x:v>
      </x:c>
      <x:c r="AN244" s="57">
        <x:v>0.000907080831811204</x:v>
      </x:c>
      <x:c r="AO244" s="57">
        <x:v>0.812426271028646</x:v>
      </x:c>
      <x:c r="AP244" s="57">
        <x:v>0.037573728971354</x:v>
      </x:c>
      <x:c r="AQ244" s="59" t="s">
        <x:v>174</x:v>
      </x:c>
      <x:c r="AR244" s="57">
        <x:v>0</x:v>
      </x:c>
      <x:c r="AS244" s="57">
        <x:v>0.395383508611684</x:v>
      </x:c>
      <x:c r="AT244" s="57">
        <x:v>0.321219949527613</x:v>
      </x:c>
      <x:c r="AU244" s="57">
        <x:v>2.44</x:v>
      </x:c>
      <x:c r="AV244" s="57">
        <x:v>3.28</x:v>
      </x:c>
      <x:c r="AW244" s="57">
        <x:v>2.67</x:v>
      </x:c>
      <x:c r="AX244" s="59" t="s">
        <x:v>100</x:v>
      </x:c>
      <x:c r="AY244" s="59" t="s">
        <x:v>101</x:v>
      </x:c>
    </x:row>
    <x:row r="245" ht="22" customHeight="1">
      <x:c r="A245" s="49" t="s">
        <x:v>1001</x:v>
      </x:c>
      <x:c r="B245" s="49" t="s">
        <x:v>1056</x:v>
      </x:c>
      <x:c r="C245" s="49" t="s">
        <x:v>128</x:v>
      </x:c>
      <x:c r="D245" s="49" t="s">
        <x:v>116</x:v>
      </x:c>
      <x:c r="E245" s="49" t="s">
        <x:v>1057</x:v>
      </x:c>
      <x:c r="F245" s="49" t="s">
        <x:v>1058</x:v>
      </x:c>
      <x:c r="G245" s="60">
        <x:v>0.77</x:v>
      </x:c>
      <x:c r="H245" s="60">
        <x:v>0.25</x:v>
      </x:c>
      <x:c r="I245" s="60">
        <x:v>0.93</x:v>
      </x:c>
      <x:c r="J245" s="49" t="s">
        <x:v>204</x:v>
      </x:c>
      <x:c r="K245" s="49" t="s">
        <x:v>132</x:v>
      </x:c>
      <x:c r="L245" s="49" t="s">
        <x:v>1059</x:v>
      </x:c>
      <x:c r="M245" s="61">
        <x:v>0.577</x:v>
      </x:c>
      <x:c r="N245" s="49" t="s">
        <x:v>96</x:v>
      </x:c>
      <x:c r="O245" s="49" t="s">
        <x:v>201</x:v>
      </x:c>
      <x:c r="P245" s="49" t="s">
        <x:v>30</x:v>
      </x:c>
      <x:c r="Q245" s="49" t="s">
        <x:v>11</x:v>
      </x:c>
      <x:c r="R245" s="50">
        <x:v>0.84</x:v>
      </x:c>
      <x:c r="S245" s="50">
        <x:f t="shared" si="16"/>
        <x:v>0.84</x:v>
      </x:c>
      <x:c r="T245" s="49" t="s">
        <x:v>98</x:v>
      </x:c>
      <x:c r="U245" s="49" t="str">
        <x:f t="shared" si="18"/>
        <x:v>黑</x:v>
      </x:c>
      <x:c r="V245" s="50">
        <x:f t="shared" si="19"/>
        <x:v>0.93</x:v>
      </x:c>
      <x:c r="W245" s="50">
        <x:f t="shared" si="17"/>
        <x:v>-1</x:v>
      </x:c>
      <x:c r="X245" s="57">
        <x:v>0.77</x:v>
      </x:c>
      <x:c r="Y245" s="57">
        <x:v>0.5</x:v>
      </x:c>
      <x:c r="Z245" s="57">
        <x:v>0.93</x:v>
      </x:c>
      <x:c r="AA245" s="57">
        <x:v>-0.5</x:v>
      </x:c>
      <x:c r="AB245" s="57">
        <x:v>0.77</x:v>
      </x:c>
      <x:c r="AC245" s="57">
        <x:v>0.84</x:v>
      </x:c>
      <x:c r="AD245" s="57"/>
      <x:c r="AE245" s="57"/>
      <x:c r="AF245" s="57"/>
      <x:c r="AG245" s="58"/>
      <x:c r="AH245" s="58"/>
      <x:c r="AI245" s="58"/>
      <x:c r="AJ245" s="58"/>
      <x:c r="AK245" s="58"/>
      <x:c r="AL245" s="57"/>
      <x:c r="AM245" s="57"/>
      <x:c r="AN245" s="57"/>
      <x:c r="AO245" s="57"/>
      <x:c r="AP245" s="57"/>
      <x:c r="AQ245" s="59"/>
      <x:c r="AR245" s="57"/>
      <x:c r="AS245" s="57"/>
      <x:c r="AT245" s="57"/>
      <x:c r="AU245" s="57"/>
      <x:c r="AV245" s="57"/>
      <x:c r="AW245" s="57"/>
      <x:c r="AX245" s="59" t="s">
        <x:v>100</x:v>
      </x:c>
      <x:c r="AY245" s="59" t="s">
        <x:v>1015</x:v>
      </x:c>
    </x:row>
    <x:row r="246" ht="22" customHeight="1">
      <x:c r="A246" s="49" t="s">
        <x:v>1001</x:v>
      </x:c>
      <x:c r="B246" s="49" t="s">
        <x:v>1060</x:v>
      </x:c>
      <x:c r="C246" s="49" t="s">
        <x:v>333</x:v>
      </x:c>
      <x:c r="D246" s="49" t="s">
        <x:v>116</x:v>
      </x:c>
      <x:c r="E246" s="49" t="s">
        <x:v>953</x:v>
      </x:c>
      <x:c r="F246" s="49" t="s">
        <x:v>1061</x:v>
      </x:c>
      <x:c r="G246" s="60">
        <x:v>0.76</x:v>
      </x:c>
      <x:c r="H246" s="60">
        <x:v>0.25</x:v>
      </x:c>
      <x:c r="I246" s="60">
        <x:v>0.94</x:v>
      </x:c>
      <x:c r="J246" s="49" t="s">
        <x:v>1062</x:v>
      </x:c>
      <x:c r="K246" s="49" t="s">
        <x:v>106</x:v>
      </x:c>
      <x:c r="L246" s="49" t="s">
        <x:v>1063</x:v>
      </x:c>
      <x:c r="M246" s="61">
        <x:v>0.576</x:v>
      </x:c>
      <x:c r="N246" s="49" t="s">
        <x:v>685</x:v>
      </x:c>
      <x:c r="O246" s="49" t="s">
        <x:v>231</x:v>
      </x:c>
      <x:c r="P246" s="49" t="s">
        <x:v>30</x:v>
      </x:c>
      <x:c r="Q246" s="49" t="s">
        <x:v>11</x:v>
      </x:c>
      <x:c r="R246" s="50">
        <x:v>0.82</x:v>
      </x:c>
      <x:c r="S246" s="50">
        <x:f t="shared" si="16"/>
        <x:v>0.82</x:v>
      </x:c>
      <x:c r="T246" s="49" t="s">
        <x:v>98</x:v>
      </x:c>
      <x:c r="U246" s="49" t="str">
        <x:f t="shared" si="18"/>
        <x:v>黑</x:v>
      </x:c>
      <x:c r="V246" s="50">
        <x:f t="shared" si="19"/>
        <x:v>0.94</x:v>
      </x:c>
      <x:c r="W246" s="50">
        <x:f t="shared" si="17"/>
        <x:v>-1</x:v>
      </x:c>
      <x:c r="X246" s="57">
        <x:v>0.76</x:v>
      </x:c>
      <x:c r="Y246" s="57">
        <x:v>0.25</x:v>
      </x:c>
      <x:c r="Z246" s="57">
        <x:v>0.94</x:v>
      </x:c>
      <x:c r="AA246" s="57">
        <x:v>-0.25</x:v>
      </x:c>
      <x:c r="AB246" s="57">
        <x:v>0.76</x:v>
      </x:c>
      <x:c r="AC246" s="57">
        <x:v>0.82</x:v>
      </x:c>
      <x:c r="AD246" s="57"/>
      <x:c r="AE246" s="57"/>
      <x:c r="AF246" s="57"/>
      <x:c r="AG246" s="58"/>
      <x:c r="AH246" s="58"/>
      <x:c r="AI246" s="58"/>
      <x:c r="AJ246" s="58"/>
      <x:c r="AK246" s="58"/>
      <x:c r="AL246" s="57"/>
      <x:c r="AM246" s="57"/>
      <x:c r="AN246" s="57"/>
      <x:c r="AO246" s="57"/>
      <x:c r="AP246" s="57"/>
      <x:c r="AQ246" s="59"/>
      <x:c r="AR246" s="57"/>
      <x:c r="AS246" s="57"/>
      <x:c r="AT246" s="57"/>
      <x:c r="AU246" s="57"/>
      <x:c r="AV246" s="57"/>
      <x:c r="AW246" s="57"/>
      <x:c r="AX246" s="59" t="s">
        <x:v>100</x:v>
      </x:c>
      <x:c r="AY246" s="59" t="s">
        <x:v>1015</x:v>
      </x:c>
    </x:row>
    <x:row r="247" ht="22" customHeight="1">
      <x:c r="A247" s="49" t="s">
        <x:v>1001</x:v>
      </x:c>
      <x:c r="B247" s="49" t="s">
        <x:v>1060</x:v>
      </x:c>
      <x:c r="C247" s="49" t="s">
        <x:v>333</x:v>
      </x:c>
      <x:c r="D247" s="49" t="s">
        <x:v>116</x:v>
      </x:c>
      <x:c r="E247" s="49" t="s">
        <x:v>953</x:v>
      </x:c>
      <x:c r="F247" s="49" t="s">
        <x:v>1064</x:v>
      </x:c>
      <x:c r="G247" s="60">
        <x:v>0.73</x:v>
      </x:c>
      <x:c r="H247" s="60">
        <x:v>0.25</x:v>
      </x:c>
      <x:c r="I247" s="60">
        <x:v>0.97</x:v>
      </x:c>
      <x:c r="J247" s="49" t="s">
        <x:v>1065</x:v>
      </x:c>
      <x:c r="K247" s="49" t="s">
        <x:v>106</x:v>
      </x:c>
      <x:c r="L247" s="49" t="s">
        <x:v>1066</x:v>
      </x:c>
      <x:c r="M247" s="61">
        <x:v>0.578</x:v>
      </x:c>
      <x:c r="N247" s="49" t="s">
        <x:v>685</x:v>
      </x:c>
      <x:c r="O247" s="49" t="s">
        <x:v>201</x:v>
      </x:c>
      <x:c r="P247" s="49" t="s">
        <x:v>30</x:v>
      </x:c>
      <x:c r="Q247" s="49" t="s">
        <x:v>11</x:v>
      </x:c>
      <x:c r="R247" s="50">
        <x:v>0.83</x:v>
      </x:c>
      <x:c r="S247" s="50">
        <x:f t="shared" si="16"/>
        <x:v>0.83</x:v>
      </x:c>
      <x:c r="T247" s="49" t="s">
        <x:v>98</x:v>
      </x:c>
      <x:c r="U247" s="49" t="str">
        <x:f t="shared" si="18"/>
        <x:v>黑</x:v>
      </x:c>
      <x:c r="V247" s="50">
        <x:f t="shared" si="19"/>
        <x:v>0.97</x:v>
      </x:c>
      <x:c r="W247" s="50">
        <x:f t="shared" si="17"/>
        <x:v>-1</x:v>
      </x:c>
      <x:c r="X247" s="57">
        <x:v>0.84</x:v>
      </x:c>
      <x:c r="Y247" s="57">
        <x:v>0.25</x:v>
      </x:c>
      <x:c r="Z247" s="57">
        <x:v>0.86</x:v>
      </x:c>
      <x:c r="AA247" s="57">
        <x:v>-0.25</x:v>
      </x:c>
      <x:c r="AB247" s="57">
        <x:v>0.84</x:v>
      </x:c>
      <x:c r="AC247" s="57">
        <x:v>0.83</x:v>
      </x:c>
      <x:c r="AD247" s="57"/>
      <x:c r="AE247" s="57"/>
      <x:c r="AF247" s="57"/>
      <x:c r="AG247" s="58"/>
      <x:c r="AH247" s="58"/>
      <x:c r="AI247" s="58"/>
      <x:c r="AJ247" s="58"/>
      <x:c r="AK247" s="58"/>
      <x:c r="AL247" s="57"/>
      <x:c r="AM247" s="57"/>
      <x:c r="AN247" s="57"/>
      <x:c r="AO247" s="57"/>
      <x:c r="AP247" s="57"/>
      <x:c r="AQ247" s="59"/>
      <x:c r="AR247" s="57"/>
      <x:c r="AS247" s="57"/>
      <x:c r="AT247" s="57"/>
      <x:c r="AU247" s="57"/>
      <x:c r="AV247" s="57"/>
      <x:c r="AW247" s="57"/>
      <x:c r="AX247" s="59" t="s">
        <x:v>100</x:v>
      </x:c>
      <x:c r="AY247" s="59" t="s">
        <x:v>1015</x:v>
      </x:c>
    </x:row>
    <x:row r="248" ht="22" customHeight="1">
      <x:c r="A248" s="49" t="s">
        <x:v>1001</x:v>
      </x:c>
      <x:c r="B248" s="49" t="s">
        <x:v>1067</x:v>
      </x:c>
      <x:c r="C248" s="49" t="s">
        <x:v>128</x:v>
      </x:c>
      <x:c r="D248" s="49" t="s">
        <x:v>116</x:v>
      </x:c>
      <x:c r="E248" s="49" t="s">
        <x:v>1068</x:v>
      </x:c>
      <x:c r="F248" s="49" t="s">
        <x:v>1069</x:v>
      </x:c>
      <x:c r="G248" s="60">
        <x:v>0.82</x:v>
      </x:c>
      <x:c r="H248" s="60">
        <x:v>0.75</x:v>
      </x:c>
      <x:c r="I248" s="60">
        <x:v>1.07</x:v>
      </x:c>
      <x:c r="J248" s="49" t="s">
        <x:v>503</x:v>
      </x:c>
      <x:c r="K248" s="49" t="s">
        <x:v>106</x:v>
      </x:c>
      <x:c r="L248" s="49" t="s">
        <x:v>1070</x:v>
      </x:c>
      <x:c r="M248" s="61">
        <x:v>0.567</x:v>
      </x:c>
      <x:c r="N248" s="49" t="s">
        <x:v>96</x:v>
      </x:c>
      <x:c r="O248" s="49" t="s">
        <x:v>126</x:v>
      </x:c>
      <x:c r="P248" s="49" t="s">
        <x:v>30</x:v>
      </x:c>
      <x:c r="Q248" s="49" t="s">
        <x:v>11</x:v>
      </x:c>
      <x:c r="R248" s="50">
        <x:v>1.04</x:v>
      </x:c>
      <x:c r="S248" s="50">
        <x:f t="shared" si="16"/>
        <x:v>1.04</x:v>
      </x:c>
      <x:c r="T248" s="49" t="s">
        <x:v>98</x:v>
      </x:c>
      <x:c r="U248" s="49" t="str">
        <x:f t="shared" si="18"/>
        <x:v>黑</x:v>
      </x:c>
      <x:c r="V248" s="50">
        <x:f t="shared" si="19"/>
        <x:v>0.82</x:v>
      </x:c>
      <x:c r="W248" s="50">
        <x:f t="shared" si="17"/>
        <x:v>-1</x:v>
      </x:c>
      <x:c r="X248" s="57">
        <x:v>0.85</x:v>
      </x:c>
      <x:c r="Y248" s="57">
        <x:v>0.75</x:v>
      </x:c>
      <x:c r="Z248" s="57">
        <x:v>1.03</x:v>
      </x:c>
      <x:c r="AA248" s="57">
        <x:v>0.75</x:v>
      </x:c>
      <x:c r="AB248" s="57">
        <x:v>1.03</x:v>
      </x:c>
      <x:c r="AC248" s="57">
        <x:v>1.04</x:v>
      </x:c>
      <x:c r="AD248" s="57"/>
      <x:c r="AE248" s="57"/>
      <x:c r="AF248" s="57"/>
      <x:c r="AG248" s="58"/>
      <x:c r="AH248" s="58"/>
      <x:c r="AI248" s="58"/>
      <x:c r="AJ248" s="58"/>
      <x:c r="AK248" s="58"/>
      <x:c r="AL248" s="57"/>
      <x:c r="AM248" s="57"/>
      <x:c r="AN248" s="57"/>
      <x:c r="AO248" s="57"/>
      <x:c r="AP248" s="57"/>
      <x:c r="AQ248" s="59"/>
      <x:c r="AR248" s="57"/>
      <x:c r="AS248" s="57"/>
      <x:c r="AT248" s="57"/>
      <x:c r="AU248" s="57"/>
      <x:c r="AV248" s="57"/>
      <x:c r="AW248" s="57"/>
      <x:c r="AX248" s="59" t="s">
        <x:v>100</x:v>
      </x:c>
      <x:c r="AY248" s="59" t="s">
        <x:v>1015</x:v>
      </x:c>
    </x:row>
    <x:row r="249" ht="22" customHeight="1">
      <x:c r="A249" s="49" t="s">
        <x:v>1001</x:v>
      </x:c>
      <x:c r="B249" s="49" t="s">
        <x:v>1071</x:v>
      </x:c>
      <x:c r="C249" s="49" t="s">
        <x:v>136</x:v>
      </x:c>
      <x:c r="D249" s="49" t="s">
        <x:v>116</x:v>
      </x:c>
      <x:c r="E249" s="49" t="s">
        <x:v>910</x:v>
      </x:c>
      <x:c r="F249" s="49" t="s">
        <x:v>1072</x:v>
      </x:c>
      <x:c r="G249" s="60">
        <x:v>0.96</x:v>
      </x:c>
      <x:c r="H249" s="60">
        <x:v>-0.75</x:v>
      </x:c>
      <x:c r="I249" s="60">
        <x:v>0.8</x:v>
      </x:c>
      <x:c r="J249" s="49" t="s">
        <x:v>1073</x:v>
      </x:c>
      <x:c r="K249" s="49" t="s">
        <x:v>106</x:v>
      </x:c>
      <x:c r="L249" s="49" t="s">
        <x:v>1074</x:v>
      </x:c>
      <x:c r="M249" s="61">
        <x:v>0.574</x:v>
      </x:c>
      <x:c r="N249" s="49" t="s">
        <x:v>96</x:v>
      </x:c>
      <x:c r="O249" s="49" t="s">
        <x:v>642</x:v>
      </x:c>
      <x:c r="P249" s="49" t="s">
        <x:v>30</x:v>
      </x:c>
      <x:c r="Q249" s="49" t="s">
        <x:v>14</x:v>
      </x:c>
      <x:c r="R249" s="50">
        <x:v>0.84</x:v>
      </x:c>
      <x:c r="S249" s="50">
        <x:f t="shared" si="16"/>
        <x:v>0.42</x:v>
      </x:c>
      <x:c r="T249" s="49" t="s">
        <x:v>98</x:v>
      </x:c>
      <x:c r="U249" s="49" t="str">
        <x:f t="shared" si="18"/>
        <x:v>半黑</x:v>
      </x:c>
      <x:c r="V249" s="50">
        <x:f t="shared" si="19"/>
        <x:v>0.96</x:v>
      </x:c>
      <x:c r="W249" s="50">
        <x:f t="shared" si="17"/>
        <x:v>-0.5</x:v>
      </x:c>
      <x:c r="X249" s="57">
        <x:v>0.86</x:v>
      </x:c>
      <x:c r="Y249" s="57">
        <x:v>-0.75</x:v>
      </x:c>
      <x:c r="Z249" s="57">
        <x:v>0.9</x:v>
      </x:c>
      <x:c r="AA249" s="57">
        <x:v>-0.75</x:v>
      </x:c>
      <x:c r="AB249" s="57">
        <x:v>0.9</x:v>
      </x:c>
      <x:c r="AC249" s="57">
        <x:v>0.84</x:v>
      </x:c>
      <x:c r="AD249" s="57"/>
      <x:c r="AE249" s="57"/>
      <x:c r="AF249" s="57"/>
      <x:c r="AG249" s="58"/>
      <x:c r="AH249" s="58"/>
      <x:c r="AI249" s="58"/>
      <x:c r="AJ249" s="58"/>
      <x:c r="AK249" s="58"/>
      <x:c r="AL249" s="57"/>
      <x:c r="AM249" s="57"/>
      <x:c r="AN249" s="57"/>
      <x:c r="AO249" s="57"/>
      <x:c r="AP249" s="57"/>
      <x:c r="AQ249" s="59"/>
      <x:c r="AR249" s="57"/>
      <x:c r="AS249" s="57"/>
      <x:c r="AT249" s="57"/>
      <x:c r="AU249" s="57"/>
      <x:c r="AV249" s="57"/>
      <x:c r="AW249" s="57"/>
      <x:c r="AX249" s="59" t="s">
        <x:v>100</x:v>
      </x:c>
      <x:c r="AY249" s="59" t="s">
        <x:v>1015</x:v>
      </x:c>
    </x:row>
    <x:row r="250" ht="22" customHeight="1">
      <x:c r="A250" s="49" t="s">
        <x:v>1001</x:v>
      </x:c>
      <x:c r="B250" s="49" t="s">
        <x:v>1075</x:v>
      </x:c>
      <x:c r="C250" s="49" t="s">
        <x:v>128</x:v>
      </x:c>
      <x:c r="D250" s="49" t="s">
        <x:v>116</x:v>
      </x:c>
      <x:c r="E250" s="49" t="s">
        <x:v>1057</x:v>
      </x:c>
      <x:c r="F250" s="49" t="s">
        <x:v>1076</x:v>
      </x:c>
      <x:c r="G250" s="60">
        <x:v>0.86</x:v>
      </x:c>
      <x:c r="H250" s="60">
        <x:v>0</x:v>
      </x:c>
      <x:c r="I250" s="60">
        <x:v>0.84</x:v>
      </x:c>
      <x:c r="J250" s="49" t="s">
        <x:v>309</x:v>
      </x:c>
      <x:c r="K250" s="49" t="s">
        <x:v>106</x:v>
      </x:c>
      <x:c r="L250" s="49" t="s">
        <x:v>1077</x:v>
      </x:c>
      <x:c r="M250" s="61">
        <x:v>0.577</x:v>
      </x:c>
      <x:c r="N250" s="49" t="s">
        <x:v>96</x:v>
      </x:c>
      <x:c r="O250" s="49" t="s">
        <x:v>161</x:v>
      </x:c>
      <x:c r="P250" s="49" t="s">
        <x:v>30</x:v>
      </x:c>
      <x:c r="Q250" s="49" t="s">
        <x:v>23</x:v>
      </x:c>
      <x:c r="R250" s="50">
        <x:v>0.83</x:v>
      </x:c>
      <x:c r="S250" s="50">
        <x:f t="shared" si="16"/>
        <x:v>-1</x:v>
      </x:c>
      <x:c r="T250" s="49" t="s">
        <x:v>98</x:v>
      </x:c>
      <x:c r="U250" s="49" t="str">
        <x:f t="shared" si="18"/>
        <x:v>红</x:v>
      </x:c>
      <x:c r="V250" s="50">
        <x:f t="shared" si="19"/>
        <x:v>0.86</x:v>
      </x:c>
      <x:c r="W250" s="50">
        <x:f t="shared" si="17"/>
        <x:v>0.86</x:v>
      </x:c>
      <x:c r="X250" s="57">
        <x:v>0.87</x:v>
      </x:c>
      <x:c r="Y250" s="57">
        <x:v>0</x:v>
      </x:c>
      <x:c r="Z250" s="57">
        <x:v>0.83</x:v>
      </x:c>
      <x:c r="AA250" s="57">
        <x:v>0</x:v>
      </x:c>
      <x:c r="AB250" s="57">
        <x:v>0.83</x:v>
      </x:c>
      <x:c r="AC250" s="57">
        <x:v>0.83</x:v>
      </x:c>
      <x:c r="AD250" s="57">
        <x:v>2.79</x:v>
      </x:c>
      <x:c r="AE250" s="57">
        <x:v>2.8</x:v>
      </x:c>
      <x:c r="AF250" s="57">
        <x:v>2.53</x:v>
      </x:c>
      <x:c r="AG250" s="58">
        <x:v>0.110822713207005</x:v>
      </x:c>
      <x:c r="AH250" s="58">
        <x:v>0.060822713207005</x:v>
      </x:c>
      <x:c r="AI250" s="58">
        <x:v>0.322664395323097</x:v>
      </x:c>
      <x:c r="AJ250" s="58">
        <x:v>0.321512022482657</x:v>
      </x:c>
      <x:c r="AK250" s="58">
        <x:v>0.355823582194245</x:v>
      </x:c>
      <x:c r="AL250" s="57">
        <x:v>0.9</x:v>
      </x:c>
      <x:c r="AM250" s="57">
        <x:v>0.96</x:v>
      </x:c>
      <x:c r="AN250" s="57">
        <x:v>0.000568308472354836</x:v>
      </x:c>
      <x:c r="AO250" s="57">
        <x:v>0.908863344806429</x:v>
      </x:c>
      <x:c r="AP250" s="57">
        <x:v>-0.0788633448064293</x:v>
      </x:c>
      <x:c r="AQ250" s="59" t="s">
        <x:v>150</x:v>
      </x:c>
      <x:c r="AR250" s="57">
        <x:v>0</x:v>
      </x:c>
      <x:c r="AS250" s="57">
        <x:v>0.35509562010575</x:v>
      </x:c>
      <x:c r="AT250" s="57">
        <x:v>0.322733393015425</x:v>
      </x:c>
      <x:c r="AU250" s="57">
        <x:v>2.79</x:v>
      </x:c>
      <x:c r="AV250" s="57">
        <x:v>2.65</x:v>
      </x:c>
      <x:c r="AW250" s="57">
        <x:v>2.68</x:v>
      </x:c>
      <x:c r="AX250" s="59" t="s">
        <x:v>100</x:v>
      </x:c>
      <x:c r="AY250" s="59" t="s">
        <x:v>101</x:v>
      </x:c>
    </x:row>
    <x:row r="251" ht="22" customHeight="1">
      <x:c r="A251" s="49" t="s">
        <x:v>1001</x:v>
      </x:c>
      <x:c r="B251" s="49" t="s">
        <x:v>1075</x:v>
      </x:c>
      <x:c r="C251" s="49" t="s">
        <x:v>128</x:v>
      </x:c>
      <x:c r="D251" s="49" t="s">
        <x:v>116</x:v>
      </x:c>
      <x:c r="E251" s="49" t="s">
        <x:v>1057</x:v>
      </x:c>
      <x:c r="F251" s="49" t="s">
        <x:v>1078</x:v>
      </x:c>
      <x:c r="G251" s="60">
        <x:v>0.81</x:v>
      </x:c>
      <x:c r="H251" s="60">
        <x:v>0</x:v>
      </x:c>
      <x:c r="I251" s="60">
        <x:v>0.89</x:v>
      </x:c>
      <x:c r="J251" s="49" t="s">
        <x:v>1079</x:v>
      </x:c>
      <x:c r="K251" s="49" t="s">
        <x:v>106</x:v>
      </x:c>
      <x:c r="L251" s="49" t="s">
        <x:v>1080</x:v>
      </x:c>
      <x:c r="M251" s="61">
        <x:v>0.577</x:v>
      </x:c>
      <x:c r="N251" s="49" t="s">
        <x:v>96</x:v>
      </x:c>
      <x:c r="O251" s="49" t="s">
        <x:v>273</x:v>
      </x:c>
      <x:c r="P251" s="49" t="s">
        <x:v>30</x:v>
      </x:c>
      <x:c r="Q251" s="49" t="s">
        <x:v>17</x:v>
      </x:c>
      <x:c r="R251" s="50">
        <x:v>0.81</x:v>
      </x:c>
      <x:c r="S251" s="50">
        <x:f t="shared" si="16"/>
        <x:v>0</x:v>
      </x:c>
      <x:c r="T251" s="49" t="s">
        <x:v>98</x:v>
      </x:c>
      <x:c r="U251" s="49" t="str">
        <x:f t="shared" si="18"/>
        <x:v>走</x:v>
      </x:c>
      <x:c r="V251" s="50">
        <x:f t="shared" si="19"/>
        <x:v>0.89</x:v>
      </x:c>
      <x:c r="W251" s="50">
        <x:f t="shared" si="17"/>
        <x:v>0</x:v>
      </x:c>
      <x:c r="X251" s="57">
        <x:v>0.81</x:v>
      </x:c>
      <x:c r="Y251" s="57">
        <x:v>0</x:v>
      </x:c>
      <x:c r="Z251" s="57">
        <x:v>0.89</x:v>
      </x:c>
      <x:c r="AA251" s="57">
        <x:v>0</x:v>
      </x:c>
      <x:c r="AB251" s="57">
        <x:v>0.81</x:v>
      </x:c>
      <x:c r="AC251" s="57">
        <x:v>0.81</x:v>
      </x:c>
      <x:c r="AD251" s="57">
        <x:v>2.6</x:v>
      </x:c>
      <x:c r="AE251" s="57">
        <x:v>2.84</x:v>
      </x:c>
      <x:c r="AF251" s="57">
        <x:v>2.66</x:v>
      </x:c>
      <x:c r="AG251" s="58">
        <x:v>0.112667910295783</x:v>
      </x:c>
      <x:c r="AH251" s="58">
        <x:v>0.0626679102957828</x:v>
      </x:c>
      <x:c r="AI251" s="58">
        <x:v>0.345669521926935</x:v>
      </x:c>
      <x:c r="AJ251" s="58">
        <x:v>0.316458013031701</x:v>
      </x:c>
      <x:c r="AK251" s="58">
        <x:v>0.337872465041365</x:v>
      </x:c>
      <x:c r="AL251" s="57">
        <x:v>0.96</x:v>
      </x:c>
      <x:c r="AM251" s="57">
        <x:v>0.95</x:v>
      </x:c>
      <x:c r="AN251" s="57">
        <x:v>0.00114154906816546</x:v>
      </x:c>
      <x:c r="AO251" s="57">
        <x:v>0.984487524900783</x:v>
      </x:c>
      <x:c r="AP251" s="57">
        <x:v>-0.174487524900783</x:v>
      </x:c>
      <x:c r="AQ251" s="59" t="s">
        <x:v>150</x:v>
      </x:c>
      <x:c r="AR251" s="57">
        <x:v>0</x:v>
      </x:c>
      <x:c r="AS251" s="57">
        <x:v>0.344055764519422</x:v>
      </x:c>
      <x:c r="AT251" s="57">
        <x:v>0.338718608039573</x:v>
      </x:c>
      <x:c r="AU251" s="57">
        <x:v>2.63</x:v>
      </x:c>
      <x:c r="AV251" s="57">
        <x:v>2.73</x:v>
      </x:c>
      <x:c r="AW251" s="57">
        <x:v>2.75</x:v>
      </x:c>
      <x:c r="AX251" s="59" t="s">
        <x:v>100</x:v>
      </x:c>
      <x:c r="AY251" s="59" t="s">
        <x:v>101</x:v>
      </x:c>
    </x:row>
    <x:row r="252" ht="22" customHeight="1">
      <x:c r="A252" s="49" t="s">
        <x:v>1001</x:v>
      </x:c>
      <x:c r="B252" s="49" t="s">
        <x:v>1075</x:v>
      </x:c>
      <x:c r="C252" s="49" t="s">
        <x:v>128</x:v>
      </x:c>
      <x:c r="D252" s="49" t="s">
        <x:v>116</x:v>
      </x:c>
      <x:c r="E252" s="49" t="s">
        <x:v>1057</x:v>
      </x:c>
      <x:c r="F252" s="49" t="s">
        <x:v>1081</x:v>
      </x:c>
      <x:c r="G252" s="60">
        <x:v>0.92</x:v>
      </x:c>
      <x:c r="H252" s="60">
        <x:v>0.25</x:v>
      </x:c>
      <x:c r="I252" s="60">
        <x:v>0.78</x:v>
      </x:c>
      <x:c r="J252" s="49" t="s">
        <x:v>1082</x:v>
      </x:c>
      <x:c r="K252" s="49" t="s">
        <x:v>195</x:v>
      </x:c>
      <x:c r="L252" s="49" t="s">
        <x:v>1083</x:v>
      </x:c>
      <x:c r="M252" s="61">
        <x:v>0.557</x:v>
      </x:c>
      <x:c r="N252" s="49" t="s">
        <x:v>96</x:v>
      </x:c>
      <x:c r="O252" s="49" t="s">
        <x:v>149</x:v>
      </x:c>
      <x:c r="P252" s="49" t="s">
        <x:v>30</x:v>
      </x:c>
      <x:c r="Q252" s="49" t="s">
        <x:v>20</x:v>
      </x:c>
      <x:c r="R252" s="50">
        <x:v>0.92</x:v>
      </x:c>
      <x:c r="S252" s="50">
        <x:f t="shared" si="16"/>
        <x:v>-0.5</x:v>
      </x:c>
      <x:c r="T252" s="49" t="s">
        <x:v>98</x:v>
      </x:c>
      <x:c r="U252" s="49" t="str">
        <x:f t="shared" si="18"/>
        <x:v>半红</x:v>
      </x:c>
      <x:c r="V252" s="50">
        <x:f t="shared" si="19"/>
        <x:v>0.78</x:v>
      </x:c>
      <x:c r="W252" s="50">
        <x:f t="shared" si="17"/>
        <x:v>0.39</x:v>
      </x:c>
      <x:c r="X252" s="57">
        <x:v>0.92</x:v>
      </x:c>
      <x:c r="Y252" s="57">
        <x:v>0.25</x:v>
      </x:c>
      <x:c r="Z252" s="57">
        <x:v>0.78</x:v>
      </x:c>
      <x:c r="AA252" s="57">
        <x:v>-0.25</x:v>
      </x:c>
      <x:c r="AB252" s="57">
        <x:v>0.92</x:v>
      </x:c>
      <x:c r="AC252" s="57">
        <x:v>0.92</x:v>
      </x:c>
      <x:c r="AD252" s="57">
        <x:v>2.37</x:v>
      </x:c>
      <x:c r="AE252" s="57">
        <x:v>2.89</x:v>
      </x:c>
      <x:c r="AF252" s="57">
        <x:v>2.93</x:v>
      </x:c>
      <x:c r="AG252" s="58">
        <x:v>0.109258617843362</x:v>
      </x:c>
      <x:c r="AH252" s="58">
        <x:v>0.0592586178433619</x:v>
      </x:c>
      <x:c r="AI252" s="58">
        <x:v>0.380381023399562</x:v>
      </x:c>
      <x:c r="AJ252" s="58">
        <x:v>0.311938763133897</x:v>
      </x:c>
      <x:c r="AK252" s="58">
        <x:v>0.30768021346654</x:v>
      </x:c>
      <x:c r="AL252" s="57">
        <x:v>1.05</x:v>
      </x:c>
      <x:c r="AM252" s="57">
        <x:v>0.91</x:v>
      </x:c>
      <x:c r="AN252" s="57">
        <x:v>0.00069426416039578</x:v>
      </x:c>
      <x:c r="AO252" s="57">
        <x:v>1.21437369711165</x:v>
      </x:c>
      <x:c r="AP252" s="57">
        <x:v>-0.294373697111649</x:v>
      </x:c>
      <x:c r="AQ252" s="59" t="s">
        <x:v>99</x:v>
      </x:c>
      <x:c r="AR252" s="57">
        <x:v>-0.25</x:v>
      </x:c>
      <x:c r="AS252" s="57">
        <x:v>0.381321363843903</x:v>
      </x:c>
      <x:c r="AT252" s="57">
        <x:v>0.463066634398777</x:v>
      </x:c>
      <x:c r="AU252" s="57">
        <x:v>2.3</x:v>
      </x:c>
      <x:c r="AV252" s="57">
        <x:v>2.78</x:v>
      </x:c>
      <x:c r="AW252" s="57">
        <x:v>3.19</x:v>
      </x:c>
      <x:c r="AX252" s="59" t="s">
        <x:v>100</x:v>
      </x:c>
      <x:c r="AY252" s="59" t="s">
        <x:v>101</x:v>
      </x:c>
    </x:row>
    <x:row r="253" ht="22" customHeight="1">
      <x:c r="A253" s="49" t="s">
        <x:v>1001</x:v>
      </x:c>
      <x:c r="B253" s="49" t="s">
        <x:v>1084</x:v>
      </x:c>
      <x:c r="C253" s="49" t="s">
        <x:v>128</x:v>
      </x:c>
      <x:c r="D253" s="49" t="s">
        <x:v>116</x:v>
      </x:c>
      <x:c r="E253" s="49" t="s">
        <x:v>1085</x:v>
      </x:c>
      <x:c r="F253" s="49" t="s">
        <x:v>1086</x:v>
      </x:c>
      <x:c r="G253" s="60">
        <x:v>0.98</x:v>
      </x:c>
      <x:c r="H253" s="60">
        <x:v>0</x:v>
      </x:c>
      <x:c r="I253" s="60">
        <x:v>0.84</x:v>
      </x:c>
      <x:c r="J253" s="49" t="s">
        <x:v>1087</x:v>
      </x:c>
      <x:c r="K253" s="49" t="s">
        <x:v>106</x:v>
      </x:c>
      <x:c r="L253" s="49" t="s">
        <x:v>1088</x:v>
      </x:c>
      <x:c r="M253" s="61">
        <x:v>0.577</x:v>
      </x:c>
      <x:c r="N253" s="49" t="s">
        <x:v>96</x:v>
      </x:c>
      <x:c r="O253" s="49" t="s">
        <x:v>169</x:v>
      </x:c>
      <x:c r="P253" s="49" t="s">
        <x:v>30</x:v>
      </x:c>
      <x:c r="Q253" s="49" t="s">
        <x:v>11</x:v>
      </x:c>
      <x:c r="R253" s="50">
        <x:v>0.84</x:v>
      </x:c>
      <x:c r="S253" s="50">
        <x:f t="shared" si="16"/>
        <x:v>0.84</x:v>
      </x:c>
      <x:c r="T253" s="49" t="s">
        <x:v>98</x:v>
      </x:c>
      <x:c r="U253" s="49" t="str">
        <x:f t="shared" si="18"/>
        <x:v>黑</x:v>
      </x:c>
      <x:c r="V253" s="50">
        <x:f t="shared" si="19"/>
        <x:v>0.98</x:v>
      </x:c>
      <x:c r="W253" s="50">
        <x:f t="shared" si="17"/>
        <x:v>-1</x:v>
      </x:c>
      <x:c r="X253" s="57">
        <x:v>0.98</x:v>
      </x:c>
      <x:c r="Y253" s="57">
        <x:v>0</x:v>
      </x:c>
      <x:c r="Z253" s="57">
        <x:v>0.84</x:v>
      </x:c>
      <x:c r="AA253" s="57">
        <x:v>0</x:v>
      </x:c>
      <x:c r="AB253" s="57">
        <x:v>0.84</x:v>
      </x:c>
      <x:c r="AC253" s="57">
        <x:v>0.84</x:v>
      </x:c>
      <x:c r="AD253" s="57">
        <x:v>2.78</x:v>
      </x:c>
      <x:c r="AE253" s="57">
        <x:v>2.91</x:v>
      </x:c>
      <x:c r="AF253" s="57">
        <x:v>2.5</x:v>
      </x:c>
      <x:c r="AG253" s="58">
        <x:v>0.103354841899676</x:v>
      </x:c>
      <x:c r="AH253" s="58">
        <x:v>0.0533548418996761</x:v>
      </x:c>
      <x:c r="AI253" s="58">
        <x:v>0.326016813953072</x:v>
      </x:c>
      <x:c r="AJ253" s="58">
        <x:v>0.311452488931113</x:v>
      </x:c>
      <x:c r="AK253" s="58">
        <x:v>0.362530697115815</x:v>
      </x:c>
      <x:c r="AL253" s="57">
        <x:v>0.95</x:v>
      </x:c>
      <x:c r="AM253" s="57">
        <x:v>1.02</x:v>
      </x:c>
      <x:c r="AN253" s="57">
        <x:v>0.000307703301701367</x:v>
      </x:c>
      <x:c r="AO253" s="57">
        <x:v>0.898366089364469</x:v>
      </x:c>
      <x:c r="AP253" s="57">
        <x:v>-0.0583660893644688</x:v>
      </x:c>
      <x:c r="AQ253" s="59" t="s">
        <x:v>150</x:v>
      </x:c>
      <x:c r="AR253" s="57">
        <x:v>0</x:v>
      </x:c>
      <x:c r="AS253" s="57">
        <x:v>0.362905114577239</x:v>
      </x:c>
      <x:c r="AT253" s="57">
        <x:v>0.326021648593119</x:v>
      </x:c>
      <x:c r="AU253" s="57">
        <x:v>2.71</x:v>
      </x:c>
      <x:c r="AV253" s="57">
        <x:v>2.9</x:v>
      </x:c>
      <x:c r="AW253" s="57">
        <x:v>2.59</x:v>
      </x:c>
      <x:c r="AX253" s="59" t="s">
        <x:v>100</x:v>
      </x:c>
      <x:c r="AY253" s="59" t="s">
        <x:v>101</x:v>
      </x:c>
    </x:row>
    <x:row r="254" ht="22" customHeight="1">
      <x:c r="A254" s="49" t="s">
        <x:v>1001</x:v>
      </x:c>
      <x:c r="B254" s="49" t="s">
        <x:v>1089</x:v>
      </x:c>
      <x:c r="C254" s="49" t="s">
        <x:v>333</x:v>
      </x:c>
      <x:c r="D254" s="49" t="s">
        <x:v>116</x:v>
      </x:c>
      <x:c r="E254" s="49" t="s">
        <x:v>602</x:v>
      </x:c>
      <x:c r="F254" s="49" t="s">
        <x:v>1090</x:v>
      </x:c>
      <x:c r="G254" s="60">
        <x:v>0.85</x:v>
      </x:c>
      <x:c r="H254" s="60">
        <x:v>0.25</x:v>
      </x:c>
      <x:c r="I254" s="60">
        <x:v>1.04</x:v>
      </x:c>
      <x:c r="J254" s="49" t="s">
        <x:v>857</x:v>
      </x:c>
      <x:c r="K254" s="49" t="s">
        <x:v>132</x:v>
      </x:c>
      <x:c r="L254" s="49" t="s">
        <x:v>1091</x:v>
      </x:c>
      <x:c r="M254" s="61">
        <x:v>0.597</x:v>
      </x:c>
      <x:c r="N254" s="49" t="s">
        <x:v>685</x:v>
      </x:c>
      <x:c r="O254" s="49" t="s">
        <x:v>126</x:v>
      </x:c>
      <x:c r="P254" s="49" t="s">
        <x:v>30</x:v>
      </x:c>
      <x:c r="Q254" s="49" t="s">
        <x:v>20</x:v>
      </x:c>
      <x:c r="R254" s="50">
        <x:v>0.82</x:v>
      </x:c>
      <x:c r="S254" s="50">
        <x:f t="shared" si="16"/>
        <x:v>-0.5</x:v>
      </x:c>
      <x:c r="T254" s="49" t="s">
        <x:v>98</x:v>
      </x:c>
      <x:c r="U254" s="49" t="str">
        <x:f t="shared" si="18"/>
        <x:v>半红</x:v>
      </x:c>
      <x:c r="V254" s="50">
        <x:f t="shared" si="19"/>
        <x:v>1.04</x:v>
      </x:c>
      <x:c r="W254" s="50">
        <x:f t="shared" si="17"/>
        <x:v>0.52</x:v>
      </x:c>
      <x:c r="X254" s="57">
        <x:v>1.03</x:v>
      </x:c>
      <x:c r="Y254" s="57">
        <x:v>0.5</x:v>
      </x:c>
      <x:c r="Z254" s="57">
        <x:v>0.85</x:v>
      </x:c>
      <x:c r="AA254" s="57">
        <x:v>-0.5</x:v>
      </x:c>
      <x:c r="AB254" s="57">
        <x:v>1.03</x:v>
      </x:c>
      <x:c r="AC254" s="57">
        <x:v>0.82</x:v>
      </x:c>
      <x:c r="AD254" s="57"/>
      <x:c r="AE254" s="57"/>
      <x:c r="AF254" s="57"/>
      <x:c r="AG254" s="58"/>
      <x:c r="AH254" s="58"/>
      <x:c r="AI254" s="58"/>
      <x:c r="AJ254" s="58"/>
      <x:c r="AK254" s="58"/>
      <x:c r="AL254" s="57"/>
      <x:c r="AM254" s="57"/>
      <x:c r="AN254" s="57"/>
      <x:c r="AO254" s="57"/>
      <x:c r="AP254" s="57"/>
      <x:c r="AQ254" s="59"/>
      <x:c r="AR254" s="57"/>
      <x:c r="AS254" s="57"/>
      <x:c r="AT254" s="57"/>
      <x:c r="AU254" s="57"/>
      <x:c r="AV254" s="57"/>
      <x:c r="AW254" s="57"/>
      <x:c r="AX254" s="59" t="s">
        <x:v>100</x:v>
      </x:c>
      <x:c r="AY254" s="59" t="s">
        <x:v>1015</x:v>
      </x:c>
    </x:row>
    <x:row r="255" ht="22" customHeight="1">
      <x:c r="A255" s="49" t="s">
        <x:v>1001</x:v>
      </x:c>
      <x:c r="B255" s="49" t="s">
        <x:v>1089</x:v>
      </x:c>
      <x:c r="C255" s="49" t="s">
        <x:v>333</x:v>
      </x:c>
      <x:c r="D255" s="49" t="s">
        <x:v>116</x:v>
      </x:c>
      <x:c r="E255" s="49" t="s">
        <x:v>532</x:v>
      </x:c>
      <x:c r="F255" s="49" t="s">
        <x:v>1092</x:v>
      </x:c>
      <x:c r="G255" s="60">
        <x:v>0.92</x:v>
      </x:c>
      <x:c r="H255" s="60">
        <x:v>0.5</x:v>
      </x:c>
      <x:c r="I255" s="60">
        <x:v>0.97</x:v>
      </x:c>
      <x:c r="J255" s="49" t="s">
        <x:v>1093</x:v>
      </x:c>
      <x:c r="K255" s="49" t="s">
        <x:v>132</x:v>
      </x:c>
      <x:c r="L255" s="49" t="s">
        <x:v>1094</x:v>
      </x:c>
      <x:c r="M255" s="61">
        <x:v>0.603</x:v>
      </x:c>
      <x:c r="N255" s="49" t="s">
        <x:v>685</x:v>
      </x:c>
      <x:c r="O255" s="49" t="s">
        <x:v>642</x:v>
      </x:c>
      <x:c r="P255" s="49" t="s">
        <x:v>30</x:v>
      </x:c>
      <x:c r="Q255" s="49" t="s">
        <x:v>23</x:v>
      </x:c>
      <x:c r="R255" s="50">
        <x:v>0.87</x:v>
      </x:c>
      <x:c r="S255" s="50">
        <x:f t="shared" si="16"/>
        <x:v>-1</x:v>
      </x:c>
      <x:c r="T255" s="49" t="s">
        <x:v>98</x:v>
      </x:c>
      <x:c r="U255" s="49" t="str">
        <x:f t="shared" si="18"/>
        <x:v>红</x:v>
      </x:c>
      <x:c r="V255" s="50">
        <x:f t="shared" si="19"/>
        <x:v>0.97</x:v>
      </x:c>
      <x:c r="W255" s="50">
        <x:f t="shared" si="17"/>
        <x:v>0.97</x:v>
      </x:c>
      <x:c r="X255" s="57">
        <x:v>0.95</x:v>
      </x:c>
      <x:c r="Y255" s="57">
        <x:v>0.75</x:v>
      </x:c>
      <x:c r="Z255" s="57">
        <x:v>0.93</x:v>
      </x:c>
      <x:c r="AA255" s="57">
        <x:v>-0.75</x:v>
      </x:c>
      <x:c r="AB255" s="57">
        <x:v>0.95</x:v>
      </x:c>
      <x:c r="AC255" s="57">
        <x:v>0.87</x:v>
      </x:c>
      <x:c r="AD255" s="57"/>
      <x:c r="AE255" s="57"/>
      <x:c r="AF255" s="57"/>
      <x:c r="AG255" s="58"/>
      <x:c r="AH255" s="58"/>
      <x:c r="AI255" s="58"/>
      <x:c r="AJ255" s="58"/>
      <x:c r="AK255" s="58"/>
      <x:c r="AL255" s="57"/>
      <x:c r="AM255" s="57"/>
      <x:c r="AN255" s="57"/>
      <x:c r="AO255" s="57"/>
      <x:c r="AP255" s="57"/>
      <x:c r="AQ255" s="59"/>
      <x:c r="AR255" s="57"/>
      <x:c r="AS255" s="57"/>
      <x:c r="AT255" s="57"/>
      <x:c r="AU255" s="57"/>
      <x:c r="AV255" s="57"/>
      <x:c r="AW255" s="57"/>
      <x:c r="AX255" s="59" t="s">
        <x:v>100</x:v>
      </x:c>
      <x:c r="AY255" s="59" t="s">
        <x:v>1015</x:v>
      </x:c>
    </x:row>
    <x:row r="256" ht="22" customHeight="1">
      <x:c r="A256" s="49" t="s">
        <x:v>1001</x:v>
      </x:c>
      <x:c r="B256" s="49" t="s">
        <x:v>1095</x:v>
      </x:c>
      <x:c r="C256" s="49" t="s">
        <x:v>128</x:v>
      </x:c>
      <x:c r="D256" s="49" t="s">
        <x:v>116</x:v>
      </x:c>
      <x:c r="E256" s="49" t="s">
        <x:v>442</x:v>
      </x:c>
      <x:c r="F256" s="49" t="s">
        <x:v>1096</x:v>
      </x:c>
      <x:c r="G256" s="60">
        <x:v>0.82</x:v>
      </x:c>
      <x:c r="H256" s="60">
        <x:v>-1.25</x:v>
      </x:c>
      <x:c r="I256" s="60">
        <x:v>1.07</x:v>
      </x:c>
      <x:c r="J256" s="49" t="s">
        <x:v>611</x:v>
      </x:c>
      <x:c r="K256" s="49" t="s">
        <x:v>189</x:v>
      </x:c>
      <x:c r="L256" s="49" t="s">
        <x:v>1097</x:v>
      </x:c>
      <x:c r="M256" s="61">
        <x:v>0.504</x:v>
      </x:c>
      <x:c r="N256" s="49" t="s">
        <x:v>96</x:v>
      </x:c>
      <x:c r="O256" s="49" t="s">
        <x:v>191</x:v>
      </x:c>
      <x:c r="P256" s="49" t="s">
        <x:v>30</x:v>
      </x:c>
      <x:c r="Q256" s="49" t="s">
        <x:v>20</x:v>
      </x:c>
      <x:c r="R256" s="50">
        <x:v>1.07</x:v>
      </x:c>
      <x:c r="S256" s="50">
        <x:f t="shared" si="16"/>
        <x:v>-0.5</x:v>
      </x:c>
      <x:c r="T256" s="49" t="s">
        <x:v>98</x:v>
      </x:c>
      <x:c r="U256" s="49" t="str">
        <x:f t="shared" si="18"/>
        <x:v>半红</x:v>
      </x:c>
      <x:c r="V256" s="50">
        <x:f t="shared" si="19"/>
        <x:v>0.82</x:v>
      </x:c>
      <x:c r="W256" s="50">
        <x:f t="shared" si="17"/>
        <x:v>0.41</x:v>
      </x:c>
      <x:c r="X256" s="57">
        <x:v>1.05</x:v>
      </x:c>
      <x:c r="Y256" s="57">
        <x:v>-1</x:v>
      </x:c>
      <x:c r="Z256" s="57">
        <x:v>0.83</x:v>
      </x:c>
      <x:c r="AA256" s="57">
        <x:v>-1</x:v>
      </x:c>
      <x:c r="AB256" s="57">
        <x:v>0.83</x:v>
      </x:c>
      <x:c r="AC256" s="57">
        <x:v>1.07</x:v>
      </x:c>
      <x:c r="AD256" s="57">
        <x:v>5.8</x:v>
      </x:c>
      <x:c r="AE256" s="57">
        <x:v>4.13</x:v>
      </x:c>
      <x:c r="AF256" s="57">
        <x:v>1.52</x:v>
      </x:c>
      <x:c r="AG256" s="58">
        <x:v>0.0724392805508804</x:v>
      </x:c>
      <x:c r="AH256" s="58">
        <x:v>0.0224392805508804</x:v>
      </x:c>
      <x:c r="AI256" s="58">
        <x:v>0.160767883301407</x:v>
      </x:c>
      <x:c r="AJ256" s="58">
        <x:v>0.225775719890595</x:v>
      </x:c>
      <x:c r="AK256" s="58">
        <x:v>0.613456396807998</x:v>
      </x:c>
      <x:c r="AL256" s="57">
        <x:v>0.8</x:v>
      </x:c>
      <x:c r="AM256" s="57">
        <x:v>1.81</x:v>
      </x:c>
      <x:c r="AN256" s="57">
        <x:v>0.000303359386804392</x:v>
      </x:c>
      <x:c r="AO256" s="57">
        <x:v>1.43705682153827</x:v>
      </x:c>
      <x:c r="AP256" s="57">
        <x:v>-0.367056821538267</x:v>
      </x:c>
      <x:c r="AQ256" s="59" t="s">
        <x:v>99</x:v>
      </x:c>
      <x:c r="AR256" s="57">
        <x:v>-1.25</x:v>
      </x:c>
      <x:c r="AS256" s="57">
        <x:v>0.357862984980913</x:v>
      </x:c>
      <x:c r="AT256" s="57">
        <x:v>0.514269443742867</x:v>
      </x:c>
      <x:c r="AU256" s="57">
        <x:v>6.67</x:v>
      </x:c>
      <x:c r="AV256" s="57">
        <x:v>4.42</x:v>
      </x:c>
      <x:c r="AW256" s="57">
        <x:v>1.45</x:v>
      </x:c>
      <x:c r="AX256" s="59" t="s">
        <x:v>100</x:v>
      </x:c>
      <x:c r="AY256" s="59" t="s">
        <x:v>101</x:v>
      </x:c>
    </x:row>
    <x:row r="257" ht="22" customHeight="1">
      <x:c r="A257" s="49" t="s">
        <x:v>1001</x:v>
      </x:c>
      <x:c r="B257" s="49" t="s">
        <x:v>1095</x:v>
      </x:c>
      <x:c r="C257" s="49" t="s">
        <x:v>333</x:v>
      </x:c>
      <x:c r="D257" s="49" t="s">
        <x:v>116</x:v>
      </x:c>
      <x:c r="E257" s="49" t="s">
        <x:v>927</x:v>
      </x:c>
      <x:c r="F257" s="49" t="s">
        <x:v>1098</x:v>
      </x:c>
      <x:c r="G257" s="60">
        <x:v>0.83</x:v>
      </x:c>
      <x:c r="H257" s="60">
        <x:v>0.5</x:v>
      </x:c>
      <x:c r="I257" s="60">
        <x:v>0.87</x:v>
      </x:c>
      <x:c r="J257" s="49" t="s">
        <x:v>1099</x:v>
      </x:c>
      <x:c r="K257" s="49" t="s">
        <x:v>106</x:v>
      </x:c>
      <x:c r="L257" s="49" t="s">
        <x:v>1100</x:v>
      </x:c>
      <x:c r="M257" s="61">
        <x:v>0.576</x:v>
      </x:c>
      <x:c r="N257" s="49" t="s">
        <x:v>685</x:v>
      </x:c>
      <x:c r="O257" s="49" t="s">
        <x:v>273</x:v>
      </x:c>
      <x:c r="P257" s="49" t="s">
        <x:v>30</x:v>
      </x:c>
      <x:c r="Q257" s="49" t="s">
        <x:v>23</x:v>
      </x:c>
      <x:c r="R257" s="50">
        <x:v>0.83</x:v>
      </x:c>
      <x:c r="S257" s="50">
        <x:f t="shared" si="16"/>
        <x:v>-1</x:v>
      </x:c>
      <x:c r="T257" s="49" t="s">
        <x:v>98</x:v>
      </x:c>
      <x:c r="U257" s="49" t="str">
        <x:f t="shared" si="18"/>
        <x:v>红</x:v>
      </x:c>
      <x:c r="V257" s="50">
        <x:f t="shared" si="19"/>
        <x:v>0.87</x:v>
      </x:c>
      <x:c r="W257" s="50">
        <x:f t="shared" si="17"/>
        <x:v>0.87</x:v>
      </x:c>
      <x:c r="X257" s="57">
        <x:v>0.85</x:v>
      </x:c>
      <x:c r="Y257" s="57">
        <x:v>0.5</x:v>
      </x:c>
      <x:c r="Z257" s="57">
        <x:v>0.85</x:v>
      </x:c>
      <x:c r="AA257" s="57">
        <x:v>-0.5</x:v>
      </x:c>
      <x:c r="AB257" s="57">
        <x:v>0.85</x:v>
      </x:c>
      <x:c r="AC257" s="57">
        <x:v>0.83</x:v>
      </x:c>
      <x:c r="AD257" s="57">
        <x:v>1.83</x:v>
      </x:c>
      <x:c r="AE257" s="57">
        <x:v>3.22</x:v>
      </x:c>
      <x:c r="AF257" s="57">
        <x:v>4.04</x:v>
      </x:c>
      <x:c r="AG257" s="58">
        <x:v>0.104531846118121</x:v>
      </x:c>
      <x:c r="AH257" s="58">
        <x:v>0.0545318461181215</x:v>
      </x:c>
      <x:c r="AI257" s="58">
        <x:v>0.4947327588174</x:v>
      </x:c>
      <x:c r="AJ257" s="58">
        <x:v>0.281167996470758</x:v>
      </x:c>
      <x:c r="AK257" s="58">
        <x:v>0.224099244711842</x:v>
      </x:c>
      <x:c r="AL257" s="57">
        <x:v>1.34</x:v>
      </x:c>
      <x:c r="AM257" s="57">
        <x:v>0.8</x:v>
      </x:c>
      <x:c r="AN257" s="57">
        <x:v>0.000568056381411533</x:v>
      </x:c>
      <x:c r="AO257" s="57">
        <x:v>1.02152592545957</x:v>
      </x:c>
      <x:c r="AP257" s="57">
        <x:v>-0.191525925459573</x:v>
      </x:c>
      <x:c r="AQ257" s="59" t="s">
        <x:v>99</x:v>
      </x:c>
      <x:c r="AR257" s="57">
        <x:v>-0.5</x:v>
      </x:c>
      <x:c r="AS257" s="57">
        <x:v>0.494675822558477</x:v>
      </x:c>
      <x:c r="AT257" s="57">
        <x:v>0.505324177441523</x:v>
      </x:c>
      <x:c r="AU257" s="57">
        <x:v>1.88</x:v>
      </x:c>
      <x:c r="AV257" s="57">
        <x:v>3.15</x:v>
      </x:c>
      <x:c r="AW257" s="57">
        <x:v>3.94</x:v>
      </x:c>
      <x:c r="AX257" s="59" t="s">
        <x:v>100</x:v>
      </x:c>
      <x:c r="AY257" s="59" t="s">
        <x:v>101</x:v>
      </x:c>
    </x:row>
    <x:row r="258" ht="22" customHeight="1">
      <x:c r="A258" s="49" t="s">
        <x:v>1001</x:v>
      </x:c>
      <x:c r="B258" s="49" t="s">
        <x:v>1101</x:v>
      </x:c>
      <x:c r="C258" s="49" t="s">
        <x:v>128</x:v>
      </x:c>
      <x:c r="D258" s="49" t="s">
        <x:v>116</x:v>
      </x:c>
      <x:c r="E258" s="49" t="s">
        <x:v>1085</x:v>
      </x:c>
      <x:c r="F258" s="49" t="s">
        <x:v>1102</x:v>
      </x:c>
      <x:c r="G258" s="60">
        <x:v>0.78</x:v>
      </x:c>
      <x:c r="H258" s="60">
        <x:v>0.25</x:v>
      </x:c>
      <x:c r="I258" s="60">
        <x:v>1.04</x:v>
      </x:c>
      <x:c r="J258" s="49" t="s">
        <x:v>1103</x:v>
      </x:c>
      <x:c r="K258" s="49" t="s">
        <x:v>106</x:v>
      </x:c>
      <x:c r="L258" s="49" t="s">
        <x:v>1104</x:v>
      </x:c>
      <x:c r="M258" s="61">
        <x:v>0.557</x:v>
      </x:c>
      <x:c r="N258" s="49" t="s">
        <x:v>96</x:v>
      </x:c>
      <x:c r="O258" s="49" t="s">
        <x:v>149</x:v>
      </x:c>
      <x:c r="P258" s="49" t="s">
        <x:v>30</x:v>
      </x:c>
      <x:c r="Q258" s="49" t="s">
        <x:v>20</x:v>
      </x:c>
      <x:c r="R258" s="50">
        <x:v>0.98</x:v>
      </x:c>
      <x:c r="S258" s="50">
        <x:f t="shared" si="16"/>
        <x:v>-0.5</x:v>
      </x:c>
      <x:c r="T258" s="49" t="s">
        <x:v>98</x:v>
      </x:c>
      <x:c r="U258" s="49" t="str">
        <x:f t="shared" si="18"/>
        <x:v>半红</x:v>
      </x:c>
      <x:c r="V258" s="50">
        <x:f t="shared" si="19"/>
        <x:v>1.04</x:v>
      </x:c>
      <x:c r="W258" s="50">
        <x:f t="shared" si="17"/>
        <x:v>0.52</x:v>
      </x:c>
      <x:c r="X258" s="57">
        <x:v>1.07</x:v>
      </x:c>
      <x:c r="Y258" s="57">
        <x:v>0.25</x:v>
      </x:c>
      <x:c r="Z258" s="57">
        <x:v>0.75</x:v>
      </x:c>
      <x:c r="AA258" s="57">
        <x:v>-0.25</x:v>
      </x:c>
      <x:c r="AB258" s="57">
        <x:v>1.07</x:v>
      </x:c>
      <x:c r="AC258" s="57">
        <x:v>0.98</x:v>
      </x:c>
      <x:c r="AD258" s="57"/>
      <x:c r="AE258" s="57"/>
      <x:c r="AF258" s="57"/>
      <x:c r="AG258" s="58"/>
      <x:c r="AH258" s="58"/>
      <x:c r="AI258" s="58"/>
      <x:c r="AJ258" s="58"/>
      <x:c r="AK258" s="58"/>
      <x:c r="AL258" s="57"/>
      <x:c r="AM258" s="57"/>
      <x:c r="AN258" s="57"/>
      <x:c r="AO258" s="57"/>
      <x:c r="AP258" s="57"/>
      <x:c r="AQ258" s="59"/>
      <x:c r="AR258" s="57"/>
      <x:c r="AS258" s="57"/>
      <x:c r="AT258" s="57"/>
      <x:c r="AU258" s="57"/>
      <x:c r="AV258" s="57"/>
      <x:c r="AW258" s="57"/>
      <x:c r="AX258" s="59" t="s">
        <x:v>100</x:v>
      </x:c>
      <x:c r="AY258" s="59" t="s">
        <x:v>1015</x:v>
      </x:c>
    </x:row>
    <x:row r="259" ht="22" customHeight="1">
      <x:c r="A259" s="49" t="s">
        <x:v>1001</x:v>
      </x:c>
      <x:c r="B259" s="49" t="s">
        <x:v>1101</x:v>
      </x:c>
      <x:c r="C259" s="49" t="s">
        <x:v>128</x:v>
      </x:c>
      <x:c r="D259" s="49" t="s">
        <x:v>116</x:v>
      </x:c>
      <x:c r="E259" s="49" t="s">
        <x:v>1068</x:v>
      </x:c>
      <x:c r="F259" s="49" t="s">
        <x:v>1105</x:v>
      </x:c>
      <x:c r="G259" s="60">
        <x:v>0.85</x:v>
      </x:c>
      <x:c r="H259" s="60">
        <x:v>-0.25</x:v>
      </x:c>
      <x:c r="I259" s="60">
        <x:v>1.04</x:v>
      </x:c>
      <x:c r="J259" s="49" t="s">
        <x:v>1106</x:v>
      </x:c>
      <x:c r="K259" s="49" t="s">
        <x:v>132</x:v>
      </x:c>
      <x:c r="L259" s="49" t="s">
        <x:v>1107</x:v>
      </x:c>
      <x:c r="M259" s="61">
        <x:v>0.601</x:v>
      </x:c>
      <x:c r="N259" s="49" t="s">
        <x:v>96</x:v>
      </x:c>
      <x:c r="O259" s="49" t="s">
        <x:v>191</x:v>
      </x:c>
      <x:c r="P259" s="49" t="s">
        <x:v>30</x:v>
      </x:c>
      <x:c r="Q259" s="49" t="s">
        <x:v>11</x:v>
      </x:c>
      <x:c r="R259" s="50">
        <x:v>1</x:v>
      </x:c>
      <x:c r="S259" s="50">
        <x:f t="shared" si="16"/>
        <x:v>1</x:v>
      </x:c>
      <x:c r="T259" s="49" t="s">
        <x:v>98</x:v>
      </x:c>
      <x:c r="U259" s="49" t="str">
        <x:f t="shared" si="18"/>
        <x:v>黑</x:v>
      </x:c>
      <x:c r="V259" s="50">
        <x:f t="shared" si="19"/>
        <x:v>0.85</x:v>
      </x:c>
      <x:c r="W259" s="50">
        <x:f t="shared" si="17"/>
        <x:v>-1</x:v>
      </x:c>
      <x:c r="X259" s="57">
        <x:v>0.83</x:v>
      </x:c>
      <x:c r="Y259" s="57">
        <x:v>-0.5</x:v>
      </x:c>
      <x:c r="Z259" s="57">
        <x:v>1.05</x:v>
      </x:c>
      <x:c r="AA259" s="57">
        <x:v>-0.5</x:v>
      </x:c>
      <x:c r="AB259" s="57">
        <x:v>1.05</x:v>
      </x:c>
      <x:c r="AC259" s="57">
        <x:v>1</x:v>
      </x:c>
      <x:c r="AD259" s="57"/>
      <x:c r="AE259" s="57"/>
      <x:c r="AF259" s="57"/>
      <x:c r="AG259" s="58"/>
      <x:c r="AH259" s="58"/>
      <x:c r="AI259" s="58"/>
      <x:c r="AJ259" s="58"/>
      <x:c r="AK259" s="58"/>
      <x:c r="AL259" s="57"/>
      <x:c r="AM259" s="57"/>
      <x:c r="AN259" s="57"/>
      <x:c r="AO259" s="57"/>
      <x:c r="AP259" s="57"/>
      <x:c r="AQ259" s="59"/>
      <x:c r="AR259" s="57"/>
      <x:c r="AS259" s="57"/>
      <x:c r="AT259" s="57"/>
      <x:c r="AU259" s="57"/>
      <x:c r="AV259" s="57"/>
      <x:c r="AW259" s="57"/>
      <x:c r="AX259" s="59" t="s">
        <x:v>100</x:v>
      </x:c>
      <x:c r="AY259" s="59" t="s">
        <x:v>1015</x:v>
      </x:c>
    </x:row>
    <x:row r="260" ht="22" customHeight="1">
      <x:c r="A260" s="49" t="s">
        <x:v>1001</x:v>
      </x:c>
      <x:c r="B260" s="49" t="s">
        <x:v>1108</x:v>
      </x:c>
      <x:c r="C260" s="49" t="s">
        <x:v>128</x:v>
      </x:c>
      <x:c r="D260" s="49" t="s">
        <x:v>116</x:v>
      </x:c>
      <x:c r="E260" s="49" t="s">
        <x:v>222</x:v>
      </x:c>
      <x:c r="F260" s="49" t="s">
        <x:v>1109</x:v>
      </x:c>
      <x:c r="G260" s="60">
        <x:v>0.98</x:v>
      </x:c>
      <x:c r="H260" s="60">
        <x:v>-0.25</x:v>
      </x:c>
      <x:c r="I260" s="60">
        <x:v>0.84</x:v>
      </x:c>
      <x:c r="J260" s="49" t="s">
        <x:v>661</x:v>
      </x:c>
      <x:c r="K260" s="49" t="s">
        <x:v>106</x:v>
      </x:c>
      <x:c r="L260" s="49" t="s">
        <x:v>1110</x:v>
      </x:c>
      <x:c r="M260" s="61">
        <x:v>0.577</x:v>
      </x:c>
      <x:c r="N260" s="49" t="s">
        <x:v>96</x:v>
      </x:c>
      <x:c r="O260" s="49" t="s">
        <x:v>191</x:v>
      </x:c>
      <x:c r="P260" s="49" t="s">
        <x:v>30</x:v>
      </x:c>
      <x:c r="Q260" s="49" t="s">
        <x:v>11</x:v>
      </x:c>
      <x:c r="R260" s="50">
        <x:v>0.84</x:v>
      </x:c>
      <x:c r="S260" s="50" t="n">
        <x:f t="shared" ref="S260:S323" si="20">IF(OR(Q260="",Q260="待结算"),"",IF(Q260="红",R260,IF(Q260="半红",R260*0.5,IF(Q260="走",0,IF(Q260="半黑",-0.5,-1)))))</x:f>
        <x:v>0.84</x:v>
      </x:c>
      <x:c r="T260" s="49" t="s">
        <x:v>98</x:v>
      </x:c>
      <x:c r="U260" s="49" t="str">
        <x:f t="shared" si="18"/>
        <x:v>黑</x:v>
      </x:c>
      <x:c r="V260" s="50">
        <x:f t="shared" si="19"/>
        <x:v>0.98</x:v>
      </x:c>
      <x:c r="W260" s="50" t="n">
        <x:f t="shared" ref="W260:W323" si="21">IF(OR(U260="",U260="待结算"),"",IF(U260="红",V260,IF(U260="半红",V260*0.5,IF(U260="走",0,IF(U260="半黑",-0.5,-1)))))</x:f>
        <x:v>-1</x:v>
      </x:c>
      <x:c r="X260" s="57">
        <x:v>0.98</x:v>
      </x:c>
      <x:c r="Y260" s="57">
        <x:v>-0.25</x:v>
      </x:c>
      <x:c r="Z260" s="57">
        <x:v>0.78</x:v>
      </x:c>
      <x:c r="AA260" s="57">
        <x:v>-0.25</x:v>
      </x:c>
      <x:c r="AB260" s="57">
        <x:v>0.78</x:v>
      </x:c>
      <x:c r="AC260" s="57">
        <x:v>0.84</x:v>
      </x:c>
      <x:c r="AD260" s="57">
        <x:v>3.57</x:v>
      </x:c>
      <x:c r="AE260" s="57">
        <x:v>3.35</x:v>
      </x:c>
      <x:c r="AF260" s="57">
        <x:v>1.93</x:v>
      </x:c>
      <x:c r="AG260" s="58">
        <x:v>0.096754222530401</x:v>
      </x:c>
      <x:c r="AH260" s="58">
        <x:v>0.046754222530401</x:v>
      </x:c>
      <x:c r="AI260" s="58">
        <x:v>0.255400926719626</x:v>
      </x:c>
      <x:c r="AJ260" s="58">
        <x:v>0.272173524892258</x:v>
      </x:c>
      <x:c r="AK260" s="58">
        <x:v>0.472425548388116</x:v>
      </x:c>
      <x:c r="AL260" s="57">
        <x:v>0.94</x:v>
      </x:c>
      <x:c r="AM260" s="57">
        <x:v>1.39</x:v>
      </x:c>
      <x:c r="AN260" s="57">
        <x:v>0.00086369493323311</x:v>
      </x:c>
      <x:c r="AO260" s="57">
        <x:v>0.825015990687921</x:v>
      </x:c>
      <x:c r="AP260" s="57">
        <x:v>0.0149840093120791</x:v>
      </x:c>
      <x:c r="AQ260" s="59" t="s">
        <x:v>174</x:v>
      </x:c>
      <x:c r="AR260" s="57">
        <x:v>-0.25</x:v>
      </x:c>
      <x:c r="AS260" s="57">
        <x:v>0.47328464061426</x:v>
      </x:c>
      <x:c r="AT260" s="57">
        <x:v>0.39046739665375</x:v>
      </x:c>
      <x:c r="AU260" s="57">
        <x:v>3.42</x:v>
      </x:c>
      <x:c r="AV260" s="57">
        <x:v>3.35</x:v>
      </x:c>
      <x:c r="AW260" s="57">
        <x:v>2</x:v>
      </x:c>
      <x:c r="AX260" s="59" t="s">
        <x:v>100</x:v>
      </x:c>
      <x:c r="AY260" s="59" t="s">
        <x:v>101</x:v>
      </x:c>
    </x:row>
    <x:row r="261" ht="22" customHeight="1">
      <x:c r="A261" s="49" t="s">
        <x:v>1001</x:v>
      </x:c>
      <x:c r="B261" s="49" t="s">
        <x:v>1108</x:v>
      </x:c>
      <x:c r="C261" s="49" t="s">
        <x:v>128</x:v>
      </x:c>
      <x:c r="D261" s="49" t="s">
        <x:v>116</x:v>
      </x:c>
      <x:c r="E261" s="49" t="s">
        <x:v>233</x:v>
      </x:c>
      <x:c r="F261" s="49" t="s">
        <x:v>1111</x:v>
      </x:c>
      <x:c r="G261" s="60">
        <x:v>0.94</x:v>
      </x:c>
      <x:c r="H261" s="60">
        <x:v>0.5</x:v>
      </x:c>
      <x:c r="I261" s="60">
        <x:v>0.88</x:v>
      </x:c>
      <x:c r="J261" s="49" t="s">
        <x:v>1112</x:v>
      </x:c>
      <x:c r="K261" s="49" t="s">
        <x:v>132</x:v>
      </x:c>
      <x:c r="L261" s="49" t="s">
        <x:v>1113</x:v>
      </x:c>
      <x:c r="M261" s="61">
        <x:v>0.601</x:v>
      </x:c>
      <x:c r="N261" s="49" t="s">
        <x:v>96</x:v>
      </x:c>
      <x:c r="O261" s="49" t="s">
        <x:v>273</x:v>
      </x:c>
      <x:c r="P261" s="49" t="s">
        <x:v>30</x:v>
      </x:c>
      <x:c r="Q261" s="49" t="s">
        <x:v>23</x:v>
      </x:c>
      <x:c r="R261" s="50">
        <x:v>0.86</x:v>
      </x:c>
      <x:c r="S261" s="50">
        <x:f t="shared" si="20"/>
        <x:v>-1</x:v>
      </x:c>
      <x:c r="T261" s="49" t="s">
        <x:v>98</x:v>
      </x:c>
      <x:c r="U261" s="49" t="str">
        <x:f t="shared" si="18"/>
        <x:v>红</x:v>
      </x:c>
      <x:c r="V261" s="50">
        <x:f t="shared" si="19"/>
        <x:v>0.88</x:v>
      </x:c>
      <x:c r="W261" s="50">
        <x:f t="shared" si="21"/>
        <x:v>0.88</x:v>
      </x:c>
      <x:c r="X261" s="57">
        <x:v>1.02</x:v>
      </x:c>
      <x:c r="Y261" s="57">
        <x:v>0.75</x:v>
      </x:c>
      <x:c r="Z261" s="57">
        <x:v>0.8</x:v>
      </x:c>
      <x:c r="AA261" s="57">
        <x:v>-0.75</x:v>
      </x:c>
      <x:c r="AB261" s="57">
        <x:v>1.02</x:v>
      </x:c>
      <x:c r="AC261" s="57">
        <x:v>0.86</x:v>
      </x:c>
      <x:c r="AD261" s="57"/>
      <x:c r="AE261" s="57"/>
      <x:c r="AF261" s="57"/>
      <x:c r="AG261" s="58"/>
      <x:c r="AH261" s="58"/>
      <x:c r="AI261" s="58"/>
      <x:c r="AJ261" s="58"/>
      <x:c r="AK261" s="58"/>
      <x:c r="AL261" s="57"/>
      <x:c r="AM261" s="57"/>
      <x:c r="AN261" s="57"/>
      <x:c r="AO261" s="57"/>
      <x:c r="AP261" s="57"/>
      <x:c r="AQ261" s="59"/>
      <x:c r="AR261" s="57"/>
      <x:c r="AS261" s="57"/>
      <x:c r="AT261" s="57"/>
      <x:c r="AU261" s="57"/>
      <x:c r="AV261" s="57"/>
      <x:c r="AW261" s="57"/>
      <x:c r="AX261" s="59" t="s">
        <x:v>100</x:v>
      </x:c>
      <x:c r="AY261" s="59" t="s">
        <x:v>1015</x:v>
      </x:c>
    </x:row>
    <x:row r="262" ht="22" customHeight="1">
      <x:c r="A262" s="49" t="s">
        <x:v>1001</x:v>
      </x:c>
      <x:c r="B262" s="49" t="s">
        <x:v>1114</x:v>
      </x:c>
      <x:c r="C262" s="49" t="s">
        <x:v>128</x:v>
      </x:c>
      <x:c r="D262" s="49" t="s">
        <x:v>116</x:v>
      </x:c>
      <x:c r="E262" s="49" t="s">
        <x:v>192</x:v>
      </x:c>
      <x:c r="F262" s="49" t="s">
        <x:v>1115</x:v>
      </x:c>
      <x:c r="G262" s="60">
        <x:v>0.81</x:v>
      </x:c>
      <x:c r="H262" s="60">
        <x:v>-0.25</x:v>
      </x:c>
      <x:c r="I262" s="60">
        <x:v>1.07</x:v>
      </x:c>
      <x:c r="J262" s="49" t="s">
        <x:v>214</x:v>
      </x:c>
      <x:c r="K262" s="49" t="s">
        <x:v>189</x:v>
      </x:c>
      <x:c r="L262" s="49" t="s">
        <x:v>1116</x:v>
      </x:c>
      <x:c r="M262" s="61">
        <x:v>0.504</x:v>
      </x:c>
      <x:c r="N262" s="49" t="s">
        <x:v>96</x:v>
      </x:c>
      <x:c r="O262" s="49" t="s">
        <x:v>169</x:v>
      </x:c>
      <x:c r="P262" s="49" t="s">
        <x:v>30</x:v>
      </x:c>
      <x:c r="Q262" s="49" t="s">
        <x:v>11</x:v>
      </x:c>
      <x:c r="R262" s="50">
        <x:v>1.07</x:v>
      </x:c>
      <x:c r="S262" s="50">
        <x:f t="shared" si="20"/>
        <x:v>1.07</x:v>
      </x:c>
      <x:c r="T262" s="49" t="s">
        <x:v>98</x:v>
      </x:c>
      <x:c r="U262" s="49" t="str">
        <x:f t="shared" si="18"/>
        <x:v>黑</x:v>
      </x:c>
      <x:c r="V262" s="50">
        <x:f t="shared" si="19"/>
        <x:v>0.81</x:v>
      </x:c>
      <x:c r="W262" s="50">
        <x:f t="shared" si="21"/>
        <x:v>-1</x:v>
      </x:c>
      <x:c r="X262" s="57">
        <x:v>0.9</x:v>
      </x:c>
      <x:c r="Y262" s="57">
        <x:v>0</x:v>
      </x:c>
      <x:c r="Z262" s="57">
        <x:v>0.8</x:v>
      </x:c>
      <x:c r="AA262" s="57">
        <x:v>0</x:v>
      </x:c>
      <x:c r="AB262" s="57">
        <x:v>0.8</x:v>
      </x:c>
      <x:c r="AC262" s="57">
        <x:v>1.07</x:v>
      </x:c>
      <x:c r="AD262" s="57">
        <x:v>2.76</x:v>
      </x:c>
      <x:c r="AE262" s="57">
        <x:v>3.08</x:v>
      </x:c>
      <x:c r="AF262" s="57">
        <x:v>2.44</x:v>
      </x:c>
      <x:c r="AG262" s="58">
        <x:v>0.0968302308288054</x:v>
      </x:c>
      <x:c r="AH262" s="58">
        <x:v>0.0468302308288054</x:v>
      </x:c>
      <x:c r="AI262" s="58">
        <x:v>0.330332653491807</x:v>
      </x:c>
      <x:c r="AJ262" s="58">
        <x:v>0.296012377804346</x:v>
      </x:c>
      <x:c r="AK262" s="58">
        <x:v>0.373654968703847</x:v>
      </x:c>
      <x:c r="AL262" s="57">
        <x:v>1.03</x:v>
      </x:c>
      <x:c r="AM262" s="57">
        <x:v>1.11</x:v>
      </x:c>
      <x:c r="AN262" s="57">
        <x:v>0.00106315740899548</x:v>
      </x:c>
      <x:c r="AO262" s="57">
        <x:v>1.28784641639126</x:v>
      </x:c>
      <x:c r="AP262" s="57">
        <x:v>-0.217846416391264</x:v>
      </x:c>
      <x:c r="AQ262" s="59" t="s">
        <x:v>99</x:v>
      </x:c>
      <x:c r="AR262" s="57">
        <x:v>-0.25</x:v>
      </x:c>
      <x:c r="AS262" s="57">
        <x:v>0.372431701598418</x:v>
      </x:c>
      <x:c r="AT262" s="57">
        <x:v>0.479634832254024</x:v>
      </x:c>
      <x:c r="AU262" s="57">
        <x:v>2.81</x:v>
      </x:c>
      <x:c r="AV262" s="57">
        <x:v>3.16</x:v>
      </x:c>
      <x:c r="AW262" s="57">
        <x:v>2.37</x:v>
      </x:c>
      <x:c r="AX262" s="59" t="s">
        <x:v>100</x:v>
      </x:c>
      <x:c r="AY262" s="59" t="s">
        <x:v>101</x:v>
      </x:c>
    </x:row>
    <x:row r="263" ht="22" customHeight="1">
      <x:c r="A263" s="49" t="s">
        <x:v>1001</x:v>
      </x:c>
      <x:c r="B263" s="49" t="s">
        <x:v>1117</x:v>
      </x:c>
      <x:c r="C263" s="49" t="s">
        <x:v>128</x:v>
      </x:c>
      <x:c r="D263" s="49" t="s">
        <x:v>116</x:v>
      </x:c>
      <x:c r="E263" s="49" t="s">
        <x:v>1118</x:v>
      </x:c>
      <x:c r="F263" s="49" t="s">
        <x:v>1119</x:v>
      </x:c>
      <x:c r="G263" s="60">
        <x:v>0.95</x:v>
      </x:c>
      <x:c r="H263" s="60">
        <x:v>2</x:v>
      </x:c>
      <x:c r="I263" s="60">
        <x:v>0.75</x:v>
      </x:c>
      <x:c r="J263" s="49" t="s">
        <x:v>1120</x:v>
      </x:c>
      <x:c r="K263" s="49" t="s">
        <x:v>195</x:v>
      </x:c>
      <x:c r="L263" s="49" t="s">
        <x:v>1121</x:v>
      </x:c>
      <x:c r="M263" s="61">
        <x:v>0.577</x:v>
      </x:c>
      <x:c r="N263" s="49" t="s">
        <x:v>96</x:v>
      </x:c>
      <x:c r="O263" s="49" t="s">
        <x:v>197</x:v>
      </x:c>
      <x:c r="P263" s="49" t="s">
        <x:v>30</x:v>
      </x:c>
      <x:c r="Q263" s="49" t="s">
        <x:v>17</x:v>
      </x:c>
      <x:c r="R263" s="50">
        <x:v>0.83</x:v>
      </x:c>
      <x:c r="S263" s="50">
        <x:f t="shared" si="20"/>
        <x:v>0</x:v>
      </x:c>
      <x:c r="T263" s="49" t="s">
        <x:v>1122</x:v>
      </x:c>
      <x:c r="U263" s="49" t="str">
        <x:f t="shared" si="18"/>
        <x:v>走</x:v>
      </x:c>
      <x:c r="V263" s="50">
        <x:f t="shared" si="19"/>
        <x:v>0.75</x:v>
      </x:c>
      <x:c r="W263" s="50">
        <x:f t="shared" si="21"/>
        <x:v>0</x:v>
      </x:c>
      <x:c r="X263" s="57">
        <x:v>0.86</x:v>
      </x:c>
      <x:c r="Y263" s="57">
        <x:v>2</x:v>
      </x:c>
      <x:c r="Z263" s="57">
        <x:v>0.9</x:v>
      </x:c>
      <x:c r="AA263" s="57">
        <x:v>-2</x:v>
      </x:c>
      <x:c r="AB263" s="57">
        <x:v>0.86</x:v>
      </x:c>
      <x:c r="AC263" s="57">
        <x:v>0.83</x:v>
      </x:c>
      <x:c r="AD263" s="57"/>
      <x:c r="AE263" s="57"/>
      <x:c r="AF263" s="57"/>
      <x:c r="AG263" s="58"/>
      <x:c r="AH263" s="58"/>
      <x:c r="AI263" s="58"/>
      <x:c r="AJ263" s="58"/>
      <x:c r="AK263" s="58"/>
      <x:c r="AL263" s="57"/>
      <x:c r="AM263" s="57"/>
      <x:c r="AN263" s="57"/>
      <x:c r="AO263" s="57"/>
      <x:c r="AP263" s="57"/>
      <x:c r="AQ263" s="59"/>
      <x:c r="AR263" s="57"/>
      <x:c r="AS263" s="57"/>
      <x:c r="AT263" s="57"/>
      <x:c r="AU263" s="57"/>
      <x:c r="AV263" s="57"/>
      <x:c r="AW263" s="57"/>
      <x:c r="AX263" s="59" t="s">
        <x:v>100</x:v>
      </x:c>
      <x:c r="AY263" s="59" t="s">
        <x:v>1015</x:v>
      </x:c>
    </x:row>
    <x:row r="264" ht="22" customHeight="1">
      <x:c r="A264" s="49" t="s">
        <x:v>1001</x:v>
      </x:c>
      <x:c r="B264" s="49" t="s">
        <x:v>1123</x:v>
      </x:c>
      <x:c r="C264" s="49" t="s">
        <x:v>128</x:v>
      </x:c>
      <x:c r="D264" s="49" t="s">
        <x:v>116</x:v>
      </x:c>
      <x:c r="E264" s="49" t="s">
        <x:v>437</x:v>
      </x:c>
      <x:c r="F264" s="49" t="s">
        <x:v>1124</x:v>
      </x:c>
      <x:c r="G264" s="60">
        <x:v>0.92</x:v>
      </x:c>
      <x:c r="H264" s="60">
        <x:v>0.75</x:v>
      </x:c>
      <x:c r="I264" s="60">
        <x:v>0.97</x:v>
      </x:c>
      <x:c r="J264" s="49" t="s">
        <x:v>1125</x:v>
      </x:c>
      <x:c r="K264" s="49" t="s">
        <x:v>132</x:v>
      </x:c>
      <x:c r="L264" s="49" t="s">
        <x:v>1126</x:v>
      </x:c>
      <x:c r="M264" s="61">
        <x:v>0.601</x:v>
      </x:c>
      <x:c r="N264" s="49" t="s">
        <x:v>96</x:v>
      </x:c>
      <x:c r="O264" s="49" t="s">
        <x:v>231</x:v>
      </x:c>
      <x:c r="P264" s="49" t="s">
        <x:v>30</x:v>
      </x:c>
      <x:c r="Q264" s="49" t="s">
        <x:v>14</x:v>
      </x:c>
      <x:c r="R264" s="50">
        <x:v>0.92</x:v>
      </x:c>
      <x:c r="S264" s="50">
        <x:f t="shared" si="20"/>
        <x:v>0.46</x:v>
      </x:c>
      <x:c r="T264" s="49" t="s">
        <x:v>1127</x:v>
      </x:c>
      <x:c r="U264" s="49" t="str">
        <x:f t="shared" si="18"/>
        <x:v>半黑</x:v>
      </x:c>
      <x:c r="V264" s="50">
        <x:f t="shared" si="19"/>
        <x:v>0.97</x:v>
      </x:c>
      <x:c r="W264" s="50">
        <x:f t="shared" si="21"/>
        <x:v>-0.5</x:v>
      </x:c>
      <x:c r="X264" s="57">
        <x:v>1</x:v>
      </x:c>
      <x:c r="Y264" s="57">
        <x:v>1</x:v>
      </x:c>
      <x:c r="Z264" s="57">
        <x:v>0.82</x:v>
      </x:c>
      <x:c r="AA264" s="57">
        <x:v>-1</x:v>
      </x:c>
      <x:c r="AB264" s="57">
        <x:v>1</x:v>
      </x:c>
      <x:c r="AC264" s="57">
        <x:v>0.92</x:v>
      </x:c>
      <x:c r="AD264" s="57">
        <x:v>1.6</x:v>
      </x:c>
      <x:c r="AE264" s="57">
        <x:v>3.8</x:v>
      </x:c>
      <x:c r="AF264" s="57">
        <x:v>4.9</x:v>
      </x:c>
      <x:c r="AG264" s="58">
        <x:v>0.0922395273899033</x:v>
      </x:c>
      <x:c r="AH264" s="58">
        <x:v>0.0422395273899033</x:v>
      </x:c>
      <x:c r="AI264" s="58">
        <x:v>0.572218807621389</x:v>
      </x:c>
      <x:c r="AJ264" s="58">
        <x:v>0.240934234787953</x:v>
      </x:c>
      <x:c r="AK264" s="58">
        <x:v>0.186846957590658</x:v>
      </x:c>
      <x:c r="AL264" s="57">
        <x:v>1.68</x:v>
      </x:c>
      <x:c r="AM264" s="57">
        <x:v>0.84</x:v>
      </x:c>
      <x:c r="AN264" s="57">
        <x:v>0.000672604122502859</x:v>
      </x:c>
      <x:c r="AO264" s="57">
        <x:v>0.95915619041287</x:v>
      </x:c>
      <x:c r="AP264" s="57">
        <x:v>-0.0391561904128704</x:v>
      </x:c>
      <x:c r="AQ264" s="59" t="s">
        <x:v>174</x:v>
      </x:c>
      <x:c r="AR264" s="57">
        <x:v>-0.75</x:v>
      </x:c>
      <x:c r="AS264" s="57">
        <x:v>0.445136616618632</x:v>
      </x:c>
      <x:c r="AT264" s="57">
        <x:v>0.426955541409202</x:v>
      </x:c>
      <x:c r="AU264" s="57">
        <x:v>1.65</x:v>
      </x:c>
      <x:c r="AV264" s="57">
        <x:v>3.81</x:v>
      </x:c>
      <x:c r="AW264" s="57">
        <x:v>4.55</x:v>
      </x:c>
      <x:c r="AX264" s="59" t="s">
        <x:v>100</x:v>
      </x:c>
      <x:c r="AY264" s="59" t="s">
        <x:v>101</x:v>
      </x:c>
    </x:row>
    <x:row r="265" ht="22" customHeight="1">
      <x:c r="A265" s="49" t="s">
        <x:v>1001</x:v>
      </x:c>
      <x:c r="B265" s="49" t="s">
        <x:v>1128</x:v>
      </x:c>
      <x:c r="C265" s="49" t="s">
        <x:v>128</x:v>
      </x:c>
      <x:c r="D265" s="49" t="s">
        <x:v>116</x:v>
      </x:c>
      <x:c r="E265" s="49" t="s">
        <x:v>233</x:v>
      </x:c>
      <x:c r="F265" s="49" t="s">
        <x:v>1129</x:v>
      </x:c>
      <x:c r="G265" s="60">
        <x:v>0.95</x:v>
      </x:c>
      <x:c r="H265" s="60">
        <x:v>-1</x:v>
      </x:c>
      <x:c r="I265" s="60">
        <x:v>0.87</x:v>
      </x:c>
      <x:c r="J265" s="49" t="s">
        <x:v>1130</x:v>
      </x:c>
      <x:c r="K265" s="49" t="s">
        <x:v>94</x:v>
      </x:c>
      <x:c r="L265" s="49" t="s">
        <x:v>1131</x:v>
      </x:c>
      <x:c r="M265" s="61">
        <x:v>0.577</x:v>
      </x:c>
      <x:c r="N265" s="49" t="s">
        <x:v>96</x:v>
      </x:c>
      <x:c r="O265" s="49" t="s">
        <x:v>126</x:v>
      </x:c>
      <x:c r="P265" s="49" t="s">
        <x:v>30</x:v>
      </x:c>
      <x:c r="Q265" s="49" t="s">
        <x:v>23</x:v>
      </x:c>
      <x:c r="R265" s="50">
        <x:v>0.8</x:v>
      </x:c>
      <x:c r="S265" s="50">
        <x:f t="shared" si="20"/>
        <x:v>-1</x:v>
      </x:c>
      <x:c r="T265" s="49" t="s">
        <x:v>1132</x:v>
      </x:c>
      <x:c r="U265" s="49" t="str">
        <x:f t="shared" si="18"/>
        <x:v>红</x:v>
      </x:c>
      <x:c r="V265" s="50">
        <x:f t="shared" si="19"/>
        <x:v>0.95</x:v>
      </x:c>
      <x:c r="W265" s="50">
        <x:f t="shared" si="21"/>
        <x:v>0.95</x:v>
      </x:c>
      <x:c r="X265" s="57">
        <x:v>1.02</x:v>
      </x:c>
      <x:c r="Y265" s="57">
        <x:v>-0.75</x:v>
      </x:c>
      <x:c r="Z265" s="57">
        <x:v>0.8</x:v>
      </x:c>
      <x:c r="AA265" s="57">
        <x:v>-0.75</x:v>
      </x:c>
      <x:c r="AB265" s="57">
        <x:v>0.8</x:v>
      </x:c>
      <x:c r="AC265" s="57">
        <x:v>0.8</x:v>
      </x:c>
      <x:c r="AD265" s="57"/>
      <x:c r="AE265" s="57"/>
      <x:c r="AF265" s="57"/>
      <x:c r="AG265" s="58"/>
      <x:c r="AH265" s="58"/>
      <x:c r="AI265" s="58"/>
      <x:c r="AJ265" s="58"/>
      <x:c r="AK265" s="58"/>
      <x:c r="AL265" s="57"/>
      <x:c r="AM265" s="57"/>
      <x:c r="AN265" s="57"/>
      <x:c r="AO265" s="57"/>
      <x:c r="AP265" s="57"/>
      <x:c r="AQ265" s="59"/>
      <x:c r="AR265" s="57"/>
      <x:c r="AS265" s="57"/>
      <x:c r="AT265" s="57"/>
      <x:c r="AU265" s="57"/>
      <x:c r="AV265" s="57"/>
      <x:c r="AW265" s="57"/>
      <x:c r="AX265" s="59" t="s">
        <x:v>100</x:v>
      </x:c>
      <x:c r="AY265" s="59" t="s">
        <x:v>1015</x:v>
      </x:c>
    </x:row>
    <x:row r="266" ht="22" customHeight="1">
      <x:c r="A266" s="49" t="s">
        <x:v>1001</x:v>
      </x:c>
      <x:c r="B266" s="49" t="s">
        <x:v>1133</x:v>
      </x:c>
      <x:c r="C266" s="49" t="s">
        <x:v>128</x:v>
      </x:c>
      <x:c r="D266" s="49" t="s">
        <x:v>116</x:v>
      </x:c>
      <x:c r="E266" s="49" t="s">
        <x:v>222</x:v>
      </x:c>
      <x:c r="F266" s="49" t="s">
        <x:v>1134</x:v>
      </x:c>
      <x:c r="G266" s="60">
        <x:v>0.97</x:v>
      </x:c>
      <x:c r="H266" s="60">
        <x:v>0.75</x:v>
      </x:c>
      <x:c r="I266" s="60">
        <x:v>0.91</x:v>
      </x:c>
      <x:c r="J266" s="49" t="s">
        <x:v>1135</x:v>
      </x:c>
      <x:c r="K266" s="49" t="s">
        <x:v>544</x:v>
      </x:c>
      <x:c r="L266" s="49" t="s">
        <x:v>435</x:v>
      </x:c>
      <x:c r="M266" s="61">
        <x:v>0.557</x:v>
      </x:c>
      <x:c r="N266" s="49" t="s">
        <x:v>96</x:v>
      </x:c>
      <x:c r="O266" s="49" t="s">
        <x:v>191</x:v>
      </x:c>
      <x:c r="P266" s="49" t="s">
        <x:v>30</x:v>
      </x:c>
      <x:c r="Q266" s="49" t="s">
        <x:v>23</x:v>
      </x:c>
      <x:c r="R266" s="50">
        <x:v>0.98</x:v>
      </x:c>
      <x:c r="S266" s="50">
        <x:f t="shared" si="20"/>
        <x:v>-1</x:v>
      </x:c>
      <x:c r="T266" s="49" t="s">
        <x:v>1136</x:v>
      </x:c>
      <x:c r="U266" s="49" t="str">
        <x:f t="shared" si="18"/>
        <x:v>红</x:v>
      </x:c>
      <x:c r="V266" s="50">
        <x:f t="shared" si="19"/>
        <x:v>0.91</x:v>
      </x:c>
      <x:c r="W266" s="50">
        <x:f t="shared" si="21"/>
        <x:v>0.91</x:v>
      </x:c>
      <x:c r="X266" s="57">
        <x:v>0.96</x:v>
      </x:c>
      <x:c r="Y266" s="57">
        <x:v>0.75</x:v>
      </x:c>
      <x:c r="Z266" s="57">
        <x:v>0.8</x:v>
      </x:c>
      <x:c r="AA266" s="57">
        <x:v>-0.75</x:v>
      </x:c>
      <x:c r="AB266" s="57">
        <x:v>0.96</x:v>
      </x:c>
      <x:c r="AC266" s="57">
        <x:v>0.98</x:v>
      </x:c>
      <x:c r="AD266" s="57">
        <x:v>1.74</x:v>
      </x:c>
      <x:c r="AE266" s="57">
        <x:v>3.4</x:v>
      </x:c>
      <x:c r="AF266" s="57">
        <x:v>4.3</x:v>
      </x:c>
      <x:c r="AG266" s="58">
        <x:v>0.101388430271868</x:v>
      </x:c>
      <x:c r="AH266" s="58">
        <x:v>0.0513884302718682</x:v>
      </x:c>
      <x:c r="AI266" s="58">
        <x:v>0.52180740952245</x:v>
      </x:c>
      <x:c r="AJ266" s="58">
        <x:v>0.267042615461489</x:v>
      </x:c>
      <x:c r="AK266" s="58">
        <x:v>0.211149975016061</x:v>
      </x:c>
      <x:c r="AL266" s="57">
        <x:v>1.46</x:v>
      </x:c>
      <x:c r="AM266" s="57">
        <x:v>0.82</x:v>
      </x:c>
      <x:c r="AN266" s="57">
        <x:v>0.000429123632362093</x:v>
      </x:c>
      <x:c r="AO266" s="57">
        <x:v>1.21471007597329</x:v>
      </x:c>
      <x:c r="AP266" s="57">
        <x:v>-0.234710075973291</x:v>
      </x:c>
      <x:c r="AQ266" s="59" t="s">
        <x:v>99</x:v>
      </x:c>
      <x:c r="AR266" s="57">
        <x:v>-0.75</x:v>
      </x:c>
      <x:c r="AS266" s="57">
        <x:v>0.393176993273239</x:v>
      </x:c>
      <x:c r="AT266" s="57">
        <x:v>0.477596055369886</x:v>
      </x:c>
      <x:c r="AU266" s="57">
        <x:v>1.73</x:v>
      </x:c>
      <x:c r="AV266" s="57">
        <x:v>3.55</x:v>
      </x:c>
      <x:c r="AW266" s="57">
        <x:v>4.15</x:v>
      </x:c>
      <x:c r="AX266" s="59" t="s">
        <x:v>100</x:v>
      </x:c>
      <x:c r="AY266" s="59" t="s">
        <x:v>101</x:v>
      </x:c>
    </x:row>
    <x:row r="267" ht="22" customHeight="1">
      <x:c r="A267" s="49" t="s">
        <x:v>1001</x:v>
      </x:c>
      <x:c r="B267" s="49" t="s">
        <x:v>1133</x:v>
      </x:c>
      <x:c r="C267" s="49" t="s">
        <x:v>128</x:v>
      </x:c>
      <x:c r="D267" s="49" t="s">
        <x:v>116</x:v>
      </x:c>
      <x:c r="E267" s="49" t="s">
        <x:v>1118</x:v>
      </x:c>
      <x:c r="F267" s="49" t="s">
        <x:v>1137</x:v>
      </x:c>
      <x:c r="G267" s="60">
        <x:v>0.75</x:v>
      </x:c>
      <x:c r="H267" s="60">
        <x:v>1.25</x:v>
      </x:c>
      <x:c r="I267" s="60">
        <x:v>0.95</x:v>
      </x:c>
      <x:c r="J267" s="49" t="s">
        <x:v>1138</x:v>
      </x:c>
      <x:c r="K267" s="49" t="s">
        <x:v>106</x:v>
      </x:c>
      <x:c r="L267" s="49" t="s">
        <x:v>1139</x:v>
      </x:c>
      <x:c r="M267" s="61">
        <x:v>0.557</x:v>
      </x:c>
      <x:c r="N267" s="49" t="s">
        <x:v>96</x:v>
      </x:c>
      <x:c r="O267" s="49" t="s">
        <x:v>231</x:v>
      </x:c>
      <x:c r="P267" s="49" t="s">
        <x:v>30</x:v>
      </x:c>
      <x:c r="Q267" s="49" t="s">
        <x:v>20</x:v>
      </x:c>
      <x:c r="R267" s="50">
        <x:v>0.93</x:v>
      </x:c>
      <x:c r="S267" s="50">
        <x:f t="shared" si="20"/>
        <x:v>-0.5</x:v>
      </x:c>
      <x:c r="T267" s="49" t="s">
        <x:v>1140</x:v>
      </x:c>
      <x:c r="U267" s="49" t="str">
        <x:f t="shared" si="18"/>
        <x:v>半红</x:v>
      </x:c>
      <x:c r="V267" s="50">
        <x:f t="shared" si="19"/>
        <x:v>0.95</x:v>
      </x:c>
      <x:c r="W267" s="50">
        <x:f t="shared" si="21"/>
        <x:v>0.475</x:v>
      </x:c>
      <x:c r="X267" s="57">
        <x:v>0.87</x:v>
      </x:c>
      <x:c r="Y267" s="57">
        <x:v>1</x:v>
      </x:c>
      <x:c r="Z267" s="57">
        <x:v>0.89</x:v>
      </x:c>
      <x:c r="AA267" s="57">
        <x:v>-1</x:v>
      </x:c>
      <x:c r="AB267" s="57">
        <x:v>0.87</x:v>
      </x:c>
      <x:c r="AC267" s="57">
        <x:v>0.93</x:v>
      </x:c>
      <x:c r="AD267" s="57"/>
      <x:c r="AE267" s="57"/>
      <x:c r="AF267" s="57"/>
      <x:c r="AG267" s="58"/>
      <x:c r="AH267" s="58"/>
      <x:c r="AI267" s="58"/>
      <x:c r="AJ267" s="58"/>
      <x:c r="AK267" s="58"/>
      <x:c r="AL267" s="57"/>
      <x:c r="AM267" s="57"/>
      <x:c r="AN267" s="57"/>
      <x:c r="AO267" s="57"/>
      <x:c r="AP267" s="57"/>
      <x:c r="AQ267" s="59"/>
      <x:c r="AR267" s="57"/>
      <x:c r="AS267" s="57"/>
      <x:c r="AT267" s="57"/>
      <x:c r="AU267" s="57"/>
      <x:c r="AV267" s="57"/>
      <x:c r="AW267" s="57"/>
      <x:c r="AX267" s="59" t="s">
        <x:v>100</x:v>
      </x:c>
      <x:c r="AY267" s="59" t="s">
        <x:v>1015</x:v>
      </x:c>
    </x:row>
    <x:row r="268" ht="22" customHeight="1">
      <x:c r="A268" s="49" t="s">
        <x:v>1001</x:v>
      </x:c>
      <x:c r="B268" s="49" t="s">
        <x:v>1141</x:v>
      </x:c>
      <x:c r="C268" s="49" t="s">
        <x:v>128</x:v>
      </x:c>
      <x:c r="D268" s="49" t="s">
        <x:v>116</x:v>
      </x:c>
      <x:c r="E268" s="49" t="s">
        <x:v>1068</x:v>
      </x:c>
      <x:c r="F268" s="49" t="s">
        <x:v>1142</x:v>
      </x:c>
      <x:c r="G268" s="60">
        <x:v>0.94</x:v>
      </x:c>
      <x:c r="H268" s="60">
        <x:v>0.5</x:v>
      </x:c>
      <x:c r="I268" s="60">
        <x:v>0.95</x:v>
      </x:c>
      <x:c r="J268" s="49" t="s">
        <x:v>1143</x:v>
      </x:c>
      <x:c r="K268" s="49" t="s">
        <x:v>544</x:v>
      </x:c>
      <x:c r="L268" s="49" t="s">
        <x:v>1144</x:v>
      </x:c>
      <x:c r="M268" s="61">
        <x:v>0.577</x:v>
      </x:c>
      <x:c r="N268" s="49" t="s">
        <x:v>96</x:v>
      </x:c>
      <x:c r="O268" s="49" t="s">
        <x:v>169</x:v>
      </x:c>
      <x:c r="P268" s="49" t="s">
        <x:v>30</x:v>
      </x:c>
      <x:c r="Q268" s="49" t="s">
        <x:v>23</x:v>
      </x:c>
      <x:c r="R268" s="50">
        <x:v>0.84</x:v>
      </x:c>
      <x:c r="S268" s="50">
        <x:f t="shared" si="20"/>
        <x:v>-1</x:v>
      </x:c>
      <x:c r="T268" s="49" t="s">
        <x:v>1145</x:v>
      </x:c>
      <x:c r="U268" s="49" t="str">
        <x:f t="shared" si="18"/>
        <x:v>红</x:v>
      </x:c>
      <x:c r="V268" s="50">
        <x:f t="shared" si="19"/>
        <x:v>0.95</x:v>
      </x:c>
      <x:c r="W268" s="50">
        <x:f t="shared" si="21"/>
        <x:v>0.95</x:v>
      </x:c>
      <x:c r="X268" s="57">
        <x:v>0.86</x:v>
      </x:c>
      <x:c r="Y268" s="57">
        <x:v>0.5</x:v>
      </x:c>
      <x:c r="Z268" s="57">
        <x:v>1.02</x:v>
      </x:c>
      <x:c r="AA268" s="57">
        <x:v>-0.5</x:v>
      </x:c>
      <x:c r="AB268" s="57">
        <x:v>0.86</x:v>
      </x:c>
      <x:c r="AC268" s="57">
        <x:v>0.84</x:v>
      </x:c>
      <x:c r="AD268" s="57"/>
      <x:c r="AE268" s="57"/>
      <x:c r="AF268" s="57"/>
      <x:c r="AG268" s="58"/>
      <x:c r="AH268" s="58"/>
      <x:c r="AI268" s="58"/>
      <x:c r="AJ268" s="58"/>
      <x:c r="AK268" s="58"/>
      <x:c r="AL268" s="57"/>
      <x:c r="AM268" s="57"/>
      <x:c r="AN268" s="57"/>
      <x:c r="AO268" s="57"/>
      <x:c r="AP268" s="57"/>
      <x:c r="AQ268" s="59"/>
      <x:c r="AR268" s="57"/>
      <x:c r="AS268" s="57"/>
      <x:c r="AT268" s="57"/>
      <x:c r="AU268" s="57"/>
      <x:c r="AV268" s="57"/>
      <x:c r="AW268" s="57"/>
      <x:c r="AX268" s="59" t="s">
        <x:v>100</x:v>
      </x:c>
      <x:c r="AY268" s="59" t="s">
        <x:v>1015</x:v>
      </x:c>
    </x:row>
    <x:row r="269" ht="22" customHeight="1">
      <x:c r="A269" s="49" t="s">
        <x:v>1146</x:v>
      </x:c>
      <x:c r="B269" s="49" t="s">
        <x:v>1147</x:v>
      </x:c>
      <x:c r="C269" s="49" t="s">
        <x:v>333</x:v>
      </x:c>
      <x:c r="D269" s="49" t="s">
        <x:v>116</x:v>
      </x:c>
      <x:c r="E269" s="49" t="s">
        <x:v>602</x:v>
      </x:c>
      <x:c r="F269" s="49" t="s">
        <x:v>1148</x:v>
      </x:c>
      <x:c r="G269" s="60">
        <x:v>1</x:v>
      </x:c>
      <x:c r="H269" s="60">
        <x:v>0.5</x:v>
      </x:c>
      <x:c r="I269" s="60">
        <x:v>0.88</x:v>
      </x:c>
      <x:c r="J269" s="49" t="s">
        <x:v>1149</x:v>
      </x:c>
      <x:c r="K269" s="49" t="s">
        <x:v>189</x:v>
      </x:c>
      <x:c r="L269" s="49" t="s">
        <x:v>1150</x:v>
      </x:c>
      <x:c r="M269" s="61">
        <x:v>0.526</x:v>
      </x:c>
      <x:c r="N269" s="49" t="s">
        <x:v>96</x:v>
      </x:c>
      <x:c r="O269" s="49" t="s">
        <x:v>201</x:v>
      </x:c>
      <x:c r="P269" s="49" t="s">
        <x:v>30</x:v>
      </x:c>
      <x:c r="Q269" s="49" t="s">
        <x:v>11</x:v>
      </x:c>
      <x:c r="R269" s="50">
        <x:v>1</x:v>
      </x:c>
      <x:c r="S269" s="50">
        <x:f t="shared" si="20"/>
        <x:v>1</x:v>
      </x:c>
      <x:c r="T269" s="49" t="s">
        <x:v>98</x:v>
      </x:c>
      <x:c r="U269" s="49" t="str">
        <x:f t="shared" si="18"/>
        <x:v>黑</x:v>
      </x:c>
      <x:c r="V269" s="50">
        <x:f t="shared" si="19"/>
        <x:v>0.88</x:v>
      </x:c>
      <x:c r="W269" s="50">
        <x:f t="shared" si="21"/>
        <x:v>-1</x:v>
      </x:c>
      <x:c r="X269" s="57">
        <x:v>0.9</x:v>
      </x:c>
      <x:c r="Y269" s="57">
        <x:v>0.25</x:v>
      </x:c>
      <x:c r="Z269" s="57">
        <x:v>0.98</x:v>
      </x:c>
      <x:c r="AA269" s="57">
        <x:v>-0.25</x:v>
      </x:c>
      <x:c r="AB269" s="57">
        <x:v>0.9</x:v>
      </x:c>
      <x:c r="AC269" s="57">
        <x:v>1</x:v>
      </x:c>
      <x:c r="AD269" s="57">
        <x:v>2.16</x:v>
      </x:c>
      <x:c r="AE269" s="57">
        <x:v>3.07</x:v>
      </x:c>
      <x:c r="AF269" s="57">
        <x:v>3.66</x:v>
      </x:c>
      <x:c r="AG269" s="58">
        <x:v>0.0619199057016111</x:v>
      </x:c>
      <x:c r="AH269" s="58">
        <x:v>0.0119199057016111</x:v>
      </x:c>
      <x:c r="AI269" s="58">
        <x:v>0.435967873355837</x:v>
      </x:c>
      <x:c r="AJ269" s="58">
        <x:v>0.306739611221045</x:v>
      </x:c>
      <x:c r="AK269" s="58">
        <x:v>0.257292515423117</x:v>
      </x:c>
      <x:c r="AL269" s="57">
        <x:v>1.15</x:v>
      </x:c>
      <x:c r="AM269" s="57">
        <x:v>0.81</x:v>
      </x:c>
      <x:c r="AN269" s="57">
        <x:v>0.000542004191616572</x:v>
      </x:c>
      <x:c r="AO269" s="57">
        <x:v>1.29209974934893</x:v>
      </x:c>
      <x:c r="AP269" s="57">
        <x:v>-0.292099749348934</x:v>
      </x:c>
      <x:c r="AQ269" s="59" t="s">
        <x:v>99</x:v>
      </x:c>
      <x:c r="AR269" s="57">
        <x:v>-0.5</x:v>
      </x:c>
      <x:c r="AS269" s="57">
        <x:v>0.436281187275575</x:v>
      </x:c>
      <x:c r="AT269" s="57">
        <x:v>0.563718812724425</x:v>
      </x:c>
      <x:c r="AU269" s="57">
        <x:v>2.01</x:v>
      </x:c>
      <x:c r="AV269" s="57">
        <x:v>3.16</x:v>
      </x:c>
      <x:c r="AW269" s="57">
        <x:v>4.16</x:v>
      </x:c>
      <x:c r="AX269" s="59" t="s">
        <x:v>100</x:v>
      </x:c>
      <x:c r="AY269" s="59" t="s">
        <x:v>101</x:v>
      </x:c>
    </x:row>
    <x:row r="270" ht="22" customHeight="1">
      <x:c r="A270" s="49" t="s">
        <x:v>1146</x:v>
      </x:c>
      <x:c r="B270" s="49" t="s">
        <x:v>1151</x:v>
      </x:c>
      <x:c r="C270" s="49" t="s">
        <x:v>333</x:v>
      </x:c>
      <x:c r="D270" s="49" t="s">
        <x:v>116</x:v>
      </x:c>
      <x:c r="E270" s="49" t="s">
        <x:v>613</x:v>
      </x:c>
      <x:c r="F270" s="49" t="s">
        <x:v>1152</x:v>
      </x:c>
      <x:c r="G270" s="60">
        <x:v>1.09</x:v>
      </x:c>
      <x:c r="H270" s="60">
        <x:v>0.25</x:v>
      </x:c>
      <x:c r="I270" s="60">
        <x:v>0.79</x:v>
      </x:c>
      <x:c r="J270" s="49" t="s">
        <x:v>412</x:v>
      </x:c>
      <x:c r="K270" s="49" t="s">
        <x:v>189</x:v>
      </x:c>
      <x:c r="L270" s="49" t="s">
        <x:v>1153</x:v>
      </x:c>
      <x:c r="M270" s="61">
        <x:v>0.526</x:v>
      </x:c>
      <x:c r="N270" s="49" t="s">
        <x:v>96</x:v>
      </x:c>
      <x:c r="O270" s="49" t="s">
        <x:v>126</x:v>
      </x:c>
      <x:c r="P270" s="49" t="s">
        <x:v>30</x:v>
      </x:c>
      <x:c r="Q270" s="49" t="s">
        <x:v>20</x:v>
      </x:c>
      <x:c r="R270" s="50">
        <x:v>1.09</x:v>
      </x:c>
      <x:c r="S270" s="50">
        <x:f t="shared" si="20"/>
        <x:v>-0.5</x:v>
      </x:c>
      <x:c r="T270" s="49" t="s">
        <x:v>98</x:v>
      </x:c>
      <x:c r="U270" s="49" t="str">
        <x:f t="shared" si="18"/>
        <x:v>半红</x:v>
      </x:c>
      <x:c r="V270" s="50">
        <x:f t="shared" si="19"/>
        <x:v>0.79</x:v>
      </x:c>
      <x:c r="W270" s="50">
        <x:f t="shared" si="21"/>
        <x:v>0.395</x:v>
      </x:c>
      <x:c r="X270" s="57">
        <x:v>0.81</x:v>
      </x:c>
      <x:c r="Y270" s="57">
        <x:v>0</x:v>
      </x:c>
      <x:c r="Z270" s="57">
        <x:v>1.07</x:v>
      </x:c>
      <x:c r="AA270" s="57">
        <x:v>0</x:v>
      </x:c>
      <x:c r="AB270" s="57">
        <x:v>0.81</x:v>
      </x:c>
      <x:c r="AC270" s="57">
        <x:v>1.09</x:v>
      </x:c>
      <x:c r="AD270" s="57">
        <x:v>2.53</x:v>
      </x:c>
      <x:c r="AE270" s="57">
        <x:v>2.87</x:v>
      </x:c>
      <x:c r="AF270" s="57">
        <x:v>3.12</x:v>
      </x:c>
      <x:c r="AG270" s="58">
        <x:v>0.0642017932579968</x:v>
      </x:c>
      <x:c r="AH270" s="58">
        <x:v>0.0142017932579968</x:v>
      </x:c>
      <x:c r="AI270" s="58">
        <x:v>0.37141162465625</x:v>
      </x:c>
      <x:c r="AJ270" s="58">
        <x:v>0.327411641247496</x:v>
      </x:c>
      <x:c r="AK270" s="58">
        <x:v>0.301176734096254</x:v>
      </x:c>
      <x:c r="AL270" s="57">
        <x:v>0.97</x:v>
      </x:c>
      <x:c r="AM270" s="57">
        <x:v>0.84</x:v>
      </x:c>
      <x:c r="AN270" s="57">
        <x:v>0.000528629444858252</x:v>
      </x:c>
      <x:c r="AO270" s="57">
        <x:v>1.24872274298847</x:v>
      </x:c>
      <x:c r="AP270" s="57">
        <x:v>-0.158722742988472</x:v>
      </x:c>
      <x:c r="AQ270" s="59" t="s">
        <x:v>99</x:v>
      </x:c>
      <x:c r="AR270" s="57">
        <x:v>-0.25</x:v>
      </x:c>
      <x:c r="AS270" s="57">
        <x:v>0.372044421321084</x:v>
      </x:c>
      <x:c r="AT270" s="57">
        <x:v>0.464580330305622</x:v>
      </x:c>
      <x:c r="AU270" s="57">
        <x:v>2.49</x:v>
      </x:c>
      <x:c r="AV270" s="57">
        <x:v>2.85</x:v>
      </x:c>
      <x:c r="AW270" s="57">
        <x:v>3.33</x:v>
      </x:c>
      <x:c r="AX270" s="59" t="s">
        <x:v>100</x:v>
      </x:c>
      <x:c r="AY270" s="59" t="s">
        <x:v>101</x:v>
      </x:c>
    </x:row>
    <x:row r="271" ht="22" customHeight="1">
      <x:c r="A271" s="49" t="s">
        <x:v>1146</x:v>
      </x:c>
      <x:c r="B271" s="49" t="s">
        <x:v>1154</x:v>
      </x:c>
      <x:c r="C271" s="49" t="s">
        <x:v>136</x:v>
      </x:c>
      <x:c r="D271" s="49" t="s">
        <x:v>116</x:v>
      </x:c>
      <x:c r="E271" s="49" t="s">
        <x:v>137</x:v>
      </x:c>
      <x:c r="F271" s="49" t="s">
        <x:v>1155</x:v>
      </x:c>
      <x:c r="G271" s="60">
        <x:v>0.85</x:v>
      </x:c>
      <x:c r="H271" s="60">
        <x:v>1.75</x:v>
      </x:c>
      <x:c r="I271" s="60">
        <x:v>0.97</x:v>
      </x:c>
      <x:c r="J271" s="49" t="s">
        <x:v>1156</x:v>
      </x:c>
      <x:c r="K271" s="49" t="s">
        <x:v>106</x:v>
      </x:c>
      <x:c r="L271" s="49" t="s">
        <x:v>1157</x:v>
      </x:c>
      <x:c r="M271" s="61">
        <x:v>0.568</x:v>
      </x:c>
      <x:c r="N271" s="49" t="s">
        <x:v>685</x:v>
      </x:c>
      <x:c r="O271" s="49" t="s">
        <x:v>114</x:v>
      </x:c>
      <x:c r="P271" s="49" t="s">
        <x:v>30</x:v>
      </x:c>
      <x:c r="Q271" s="49" t="s">
        <x:v>23</x:v>
      </x:c>
      <x:c r="R271" s="50">
        <x:v>0.85</x:v>
      </x:c>
      <x:c r="S271" s="50">
        <x:f t="shared" si="20"/>
        <x:v>-1</x:v>
      </x:c>
      <x:c r="T271" s="49" t="s">
        <x:v>98</x:v>
      </x:c>
      <x:c r="U271" s="49" t="str">
        <x:f t="shared" si="18"/>
        <x:v>红</x:v>
      </x:c>
      <x:c r="V271" s="50">
        <x:f t="shared" si="19"/>
        <x:v>0.97</x:v>
      </x:c>
      <x:c r="W271" s="50">
        <x:f t="shared" si="21"/>
        <x:v>0.97</x:v>
      </x:c>
      <x:c r="X271" s="57">
        <x:v>0.92</x:v>
      </x:c>
      <x:c r="Y271" s="57">
        <x:v>1.5</x:v>
      </x:c>
      <x:c r="Z271" s="57">
        <x:v>0.9</x:v>
      </x:c>
      <x:c r="AA271" s="57">
        <x:v>-1.5</x:v>
      </x:c>
      <x:c r="AB271" s="57">
        <x:v>0.92</x:v>
      </x:c>
      <x:c r="AC271" s="57">
        <x:v>0.85</x:v>
      </x:c>
      <x:c r="AD271" s="57">
        <x:v>1.31</x:v>
      </x:c>
      <x:c r="AE271" s="57">
        <x:v>5.29</x:v>
      </x:c>
      <x:c r="AF271" s="57">
        <x:v>7.14</x:v>
      </x:c>
      <x:c r="AG271" s="58">
        <x:v>0.0924507178591143</x:v>
      </x:c>
      <x:c r="AH271" s="58">
        <x:v>0.0424507178591143</x:v>
      </x:c>
      <x:c r="AI271" s="58">
        <x:v>0.698758091460561</x:v>
      </x:c>
      <x:c r="AJ271" s="58">
        <x:v>0.17303839315942</x:v>
      </x:c>
      <x:c r="AK271" s="58">
        <x:v>0.128203515380019</x:v>
      </x:c>
      <x:c r="AL271" s="57">
        <x:v>2.4</x:v>
      </x:c>
      <x:c r="AM271" s="57">
        <x:v>0.93</x:v>
      </x:c>
      <x:c r="AN271" s="57">
        <x:v>0.00010904466729683</x:v>
      </x:c>
      <x:c r="AO271" s="57">
        <x:v>1.41501973858118</x:v>
      </x:c>
      <x:c r="AP271" s="57">
        <x:v>-0.565019738581177</x:v>
      </x:c>
      <x:c r="AQ271" s="59" t="s">
        <x:v>99</x:v>
      </x:c>
      <x:c r="AR271" s="57">
        <x:v>-1.75</x:v>
      </x:c>
      <x:c r="AS271" s="57">
        <x:v>0.37169949826485</x:v>
      </x:c>
      <x:c r="AT271" s="57">
        <x:v>0.525962126865482</x:v>
      </x:c>
      <x:c r="AU271" s="57">
        <x:v>1.22</x:v>
      </x:c>
      <x:c r="AV271" s="57">
        <x:v>6.25</x:v>
      </x:c>
      <x:c r="AW271" s="57">
        <x:v>9.81</x:v>
      </x:c>
      <x:c r="AX271" s="59" t="s">
        <x:v>100</x:v>
      </x:c>
      <x:c r="AY271" s="59" t="s">
        <x:v>101</x:v>
      </x:c>
    </x:row>
    <x:row r="272" ht="22" customHeight="1">
      <x:c r="A272" s="49" t="s">
        <x:v>1146</x:v>
      </x:c>
      <x:c r="B272" s="49" t="s">
        <x:v>1158</x:v>
      </x:c>
      <x:c r="C272" s="49" t="s">
        <x:v>128</x:v>
      </x:c>
      <x:c r="D272" s="49" t="s">
        <x:v>116</x:v>
      </x:c>
      <x:c r="E272" s="49" t="s">
        <x:v>442</x:v>
      </x:c>
      <x:c r="F272" s="49" t="s">
        <x:v>1159</x:v>
      </x:c>
      <x:c r="G272" s="60">
        <x:v>0.83</x:v>
      </x:c>
      <x:c r="H272" s="60">
        <x:v>0.25</x:v>
      </x:c>
      <x:c r="I272" s="60">
        <x:v>1.05</x:v>
      </x:c>
      <x:c r="J272" s="49" t="s">
        <x:v>401</x:v>
      </x:c>
      <x:c r="K272" s="49" t="s">
        <x:v>106</x:v>
      </x:c>
      <x:c r="L272" s="49" t="s">
        <x:v>1160</x:v>
      </x:c>
      <x:c r="M272" s="61">
        <x:v>0.569</x:v>
      </x:c>
      <x:c r="N272" s="49" t="s">
        <x:v>96</x:v>
      </x:c>
      <x:c r="O272" s="49" t="s">
        <x:v>201</x:v>
      </x:c>
      <x:c r="P272" s="49" t="s">
        <x:v>30</x:v>
      </x:c>
      <x:c r="Q272" s="49" t="s">
        <x:v>11</x:v>
      </x:c>
      <x:c r="R272" s="50">
        <x:v>0.83</x:v>
      </x:c>
      <x:c r="S272" s="50">
        <x:f t="shared" si="20"/>
        <x:v>0.83</x:v>
      </x:c>
      <x:c r="T272" s="49" t="s">
        <x:v>98</x:v>
      </x:c>
      <x:c r="U272" s="49" t="str">
        <x:f t="shared" si="18"/>
        <x:v>黑</x:v>
      </x:c>
      <x:c r="V272" s="50">
        <x:f t="shared" si="19"/>
        <x:v>1.05</x:v>
      </x:c>
      <x:c r="W272" s="50">
        <x:f t="shared" si="21"/>
        <x:v>-1</x:v>
      </x:c>
      <x:c r="X272" s="57">
        <x:v>0.88</x:v>
      </x:c>
      <x:c r="Y272" s="57">
        <x:v>0.25</x:v>
      </x:c>
      <x:c r="Z272" s="57">
        <x:v>1</x:v>
      </x:c>
      <x:c r="AA272" s="57">
        <x:v>-0.25</x:v>
      </x:c>
      <x:c r="AB272" s="57">
        <x:v>0.88</x:v>
      </x:c>
      <x:c r="AC272" s="57">
        <x:v>0.83</x:v>
      </x:c>
      <x:c r="AD272" s="57">
        <x:v>2.08</x:v>
      </x:c>
      <x:c r="AE272" s="57">
        <x:v>3.27</x:v>
      </x:c>
      <x:c r="AF272" s="57">
        <x:v>3.44</x:v>
      </x:c>
      <x:c r="AG272" s="58">
        <x:v>0.0772773027413522</x:v>
      </x:c>
      <x:c r="AH272" s="58">
        <x:v>0.0272773027413523</x:v>
      </x:c>
      <x:c r="AI272" s="58">
        <x:v>0.446281778652363</x:v>
      </x:c>
      <x:c r="AJ272" s="58">
        <x:v>0.283873424953185</x:v>
      </x:c>
      <x:c r="AK272" s="58">
        <x:v>0.269844796394452</x:v>
      </x:c>
      <x:c r="AL272" s="57">
        <x:v>1.28</x:v>
      </x:c>
      <x:c r="AM272" s="57">
        <x:v>0.93</x:v>
      </x:c>
      <x:c r="AN272" s="57">
        <x:v>0.000867813602612937</x:v>
      </x:c>
      <x:c r="AO272" s="57">
        <x:v>0.926961716199823</x:v>
      </x:c>
      <x:c r="AP272" s="57">
        <x:v>-0.0969617161998235</x:v>
      </x:c>
      <x:c r="AQ272" s="59" t="s">
        <x:v>99</x:v>
      </x:c>
      <x:c r="AR272" s="57">
        <x:v>-0.25</x:v>
      </x:c>
      <x:c r="AS272" s="57">
        <x:v>0.4450807902481</x:v>
      </x:c>
      <x:c r="AT272" s="57">
        <x:v>0.412572853175952</x:v>
      </x:c>
      <x:c r="AU272" s="57">
        <x:v>2.11</x:v>
      </x:c>
      <x:c r="AV272" s="57">
        <x:v>3.27</x:v>
      </x:c>
      <x:c r="AW272" s="57">
        <x:v>3.45</x:v>
      </x:c>
      <x:c r="AX272" s="59" t="s">
        <x:v>100</x:v>
      </x:c>
      <x:c r="AY272" s="59" t="s">
        <x:v>101</x:v>
      </x:c>
    </x:row>
    <x:row r="273" ht="22" customHeight="1">
      <x:c r="A273" s="49" t="s">
        <x:v>1161</x:v>
      </x:c>
      <x:c r="B273" s="49" t="s">
        <x:v>1162</x:v>
      </x:c>
      <x:c r="C273" s="49" t="s">
        <x:v>239</x:v>
      </x:c>
      <x:c r="D273" s="49" t="s">
        <x:v>116</x:v>
      </x:c>
      <x:c r="E273" s="49" t="s">
        <x:v>669</x:v>
      </x:c>
      <x:c r="F273" s="49" t="s">
        <x:v>1163</x:v>
      </x:c>
      <x:c r="G273" s="60">
        <x:v>1.04</x:v>
      </x:c>
      <x:c r="H273" s="60">
        <x:v>-0.25</x:v>
      </x:c>
      <x:c r="I273" s="60">
        <x:v>0.84</x:v>
      </x:c>
      <x:c r="J273" s="49" t="s">
        <x:v>1164</x:v>
      </x:c>
      <x:c r="K273" s="49" t="s">
        <x:v>106</x:v>
      </x:c>
      <x:c r="L273" s="49" t="s">
        <x:v>1165</x:v>
      </x:c>
      <x:c r="M273" s="61">
        <x:v>0.566</x:v>
      </x:c>
      <x:c r="N273" s="49" t="s">
        <x:v>96</x:v>
      </x:c>
      <x:c r="O273" s="49" t="s">
        <x:v>201</x:v>
      </x:c>
      <x:c r="P273" s="49" t="s">
        <x:v>30</x:v>
      </x:c>
      <x:c r="Q273" s="49" t="s">
        <x:v>11</x:v>
      </x:c>
      <x:c r="R273" s="50">
        <x:v>1.04</x:v>
      </x:c>
      <x:c r="S273" s="50">
        <x:f t="shared" si="20"/>
        <x:v>1.04</x:v>
      </x:c>
      <x:c r="T273" s="49" t="s">
        <x:v>98</x:v>
      </x:c>
      <x:c r="U273" s="49" t="str">
        <x:f t="shared" si="18"/>
        <x:v>黑</x:v>
      </x:c>
      <x:c r="V273" s="50">
        <x:f t="shared" si="19"/>
        <x:v>0.84</x:v>
      </x:c>
      <x:c r="W273" s="50">
        <x:f t="shared" si="21"/>
        <x:v>-1</x:v>
      </x:c>
      <x:c r="X273" s="62">
        <x:v>0.96</x:v>
      </x:c>
      <x:c r="Y273" s="62">
        <x:v>-0.25</x:v>
      </x:c>
      <x:c r="Z273" s="62">
        <x:v>0.92</x:v>
      </x:c>
      <x:c r="AA273" s="62">
        <x:v>0.25</x:v>
      </x:c>
      <x:c r="AB273" s="62">
        <x:v>0.96</x:v>
      </x:c>
      <x:c r="AC273" s="62">
        <x:v>1.04</x:v>
      </x:c>
      <x:c r="AD273" s="60">
        <x:v>3.1</x:v>
      </x:c>
      <x:c r="AE273" s="60">
        <x:v>3.26</x:v>
      </x:c>
      <x:c r="AF273" s="60">
        <x:v>2.18</x:v>
      </x:c>
      <x:c r="AG273" s="62">
        <x:v>0.0880447077492341</x:v>
      </x:c>
      <x:c r="AH273" s="62">
        <x:v>0.0380447077492341</x:v>
      </x:c>
      <x:c r="AI273" s="62">
        <x:v>0.296477380813323</x:v>
      </x:c>
      <x:c r="AJ273" s="62">
        <x:v>0.28192634371819</x:v>
      </x:c>
      <x:c r="AK273" s="62">
        <x:v>0.421596275468487</x:v>
      </x:c>
      <x:c r="AL273" s="62">
        <x:v>1.02</x:v>
      </x:c>
      <x:c r="AM273" s="62">
        <x:v>1.27</x:v>
      </x:c>
      <x:c r="AN273" s="62">
        <x:v>0.000754163324081056</x:v>
      </x:c>
      <x:c r="AO273" s="62">
        <x:v>0.960295127681703</x:v>
      </x:c>
      <x:c r="AP273" s="62">
        <x:v>0.0797048723182971</x:v>
      </x:c>
      <x:c r="AQ273" s="62" t="s">
        <x:v>142</x:v>
      </x:c>
      <x:c r="AR273" s="49">
        <x:v>0.25</x:v>
      </x:c>
      <x:c r="AS273" s="62">
        <x:v>0.438309965040637</x:v>
      </x:c>
      <x:c r="AT273" s="62">
        <x:v>0.420906923842862</x:v>
      </x:c>
      <x:c r="AU273" s="60">
        <x:v>3.28</x:v>
      </x:c>
      <x:c r="AV273" s="60">
        <x:v>3.41</x:v>
      </x:c>
      <x:c r="AW273" s="60">
        <x:v>2.07</x:v>
      </x:c>
      <x:c r="AX273" s="49" t="s">
        <x:v>98</x:v>
      </x:c>
      <x:c r="AY273" s="49" t="s">
        <x:v>101</x:v>
      </x:c>
    </x:row>
    <x:row r="274" ht="22" customHeight="1">
      <x:c r="A274" s="49" t="s">
        <x:v>1161</x:v>
      </x:c>
      <x:c r="B274" s="49" t="s">
        <x:v>1166</x:v>
      </x:c>
      <x:c r="C274" s="49" t="s">
        <x:v>244</x:v>
      </x:c>
      <x:c r="D274" s="49" t="s">
        <x:v>90</x:v>
      </x:c>
      <x:c r="E274" s="49" t="s">
        <x:v>1167</x:v>
      </x:c>
      <x:c r="F274" s="49" t="s">
        <x:v>1168</x:v>
      </x:c>
      <x:c r="G274" s="60">
        <x:v>0.9</x:v>
      </x:c>
      <x:c r="H274" s="60">
        <x:v>-1</x:v>
      </x:c>
      <x:c r="I274" s="60">
        <x:v>0.8</x:v>
      </x:c>
      <x:c r="J274" s="49" t="s">
        <x:v>1169</x:v>
      </x:c>
      <x:c r="K274" s="49" t="s">
        <x:v>106</x:v>
      </x:c>
      <x:c r="L274" s="49" t="s">
        <x:v>1170</x:v>
      </x:c>
      <x:c r="M274" s="61">
        <x:v>0.578</x:v>
      </x:c>
      <x:c r="N274" s="49" t="s">
        <x:v>96</x:v>
      </x:c>
      <x:c r="O274" s="49" t="s">
        <x:v>653</x:v>
      </x:c>
      <x:c r="P274" s="49" t="s">
        <x:v>30</x:v>
      </x:c>
      <x:c r="Q274" s="49" t="s">
        <x:v>11</x:v>
      </x:c>
      <x:c r="R274" s="50">
        <x:v>0.8</x:v>
      </x:c>
      <x:c r="S274" s="50">
        <x:f t="shared" si="20"/>
        <x:v>0.8</x:v>
      </x:c>
      <x:c r="T274" s="49" t="s">
        <x:v>98</x:v>
      </x:c>
      <x:c r="U274" s="49" t="str">
        <x:f t="shared" si="18"/>
        <x:v>黑</x:v>
      </x:c>
      <x:c r="V274" s="50">
        <x:f t="shared" si="19"/>
        <x:v>0.9</x:v>
      </x:c>
      <x:c r="W274" s="50">
        <x:f t="shared" si="21"/>
        <x:v>-1</x:v>
      </x:c>
      <x:c r="X274" s="62">
        <x:v>0.9</x:v>
      </x:c>
      <x:c r="Y274" s="62">
        <x:v>-1</x:v>
      </x:c>
      <x:c r="Z274" s="62">
        <x:v>0.8</x:v>
      </x:c>
      <x:c r="AA274" s="62">
        <x:v>-1</x:v>
      </x:c>
      <x:c r="AB274" s="62">
        <x:v>0.8</x:v>
      </x:c>
      <x:c r="AC274" s="62">
        <x:v>0.8</x:v>
      </x:c>
      <x:c r="AD274" s="60">
        <x:v>5.09</x:v>
      </x:c>
      <x:c r="AE274" s="60">
        <x:v>4.26</x:v>
      </x:c>
      <x:c r="AF274" s="60">
        <x:v>1.46</x:v>
      </x:c>
      <x:c r="AG274" s="62">
        <x:v>0.116136945110842</x:v>
      </x:c>
      <x:c r="AH274" s="62">
        <x:v>0.0661369451108423</x:v>
      </x:c>
      <x:c r="AI274" s="62">
        <x:v>0.176021101249774</x:v>
      </x:c>
      <x:c r="AJ274" s="62">
        <x:v>0.210316292338345</x:v>
      </x:c>
      <x:c r="AK274" s="62">
        <x:v>0.613662606411882</x:v>
      </x:c>
      <x:c r="AL274" s="62">
        <x:v>0.97</x:v>
      </x:c>
      <x:c r="AM274" s="62">
        <x:v>2</x:v>
      </x:c>
      <x:c r="AN274" s="62">
        <x:v>0.000569122679734278</x:v>
      </x:c>
      <x:c r="AO274" s="62">
        <x:v>1.03834389574369</x:v>
      </x:c>
      <x:c r="AP274" s="62">
        <x:v>-0.238343895743692</x:v>
      </x:c>
      <x:c r="AQ274" s="62" t="s">
        <x:v>99</x:v>
      </x:c>
      <x:c r="AR274" s="49">
        <x:v>-1</x:v>
      </x:c>
      <x:c r="AS274" s="62">
        <x:v>0.372823563451411</x:v>
      </x:c>
      <x:c r="AT274" s="62">
        <x:v>0.387119071299184</x:v>
      </x:c>
      <x:c r="AU274" s="60">
        <x:v>4.79</x:v>
      </x:c>
      <x:c r="AV274" s="60">
        <x:v>4.12</x:v>
      </x:c>
      <x:c r="AW274" s="60">
        <x:v>1.51</x:v>
      </x:c>
      <x:c r="AX274" s="49" t="s">
        <x:v>98</x:v>
      </x:c>
      <x:c r="AY274" s="49" t="s">
        <x:v>101</x:v>
      </x:c>
    </x:row>
    <x:row r="275" ht="22" customHeight="1">
      <x:c r="A275" s="49" t="s">
        <x:v>1161</x:v>
      </x:c>
      <x:c r="B275" s="49" t="s">
        <x:v>1171</x:v>
      </x:c>
      <x:c r="C275" s="49" t="s">
        <x:v>333</x:v>
      </x:c>
      <x:c r="D275" s="49" t="s">
        <x:v>116</x:v>
      </x:c>
      <x:c r="E275" s="49" t="s">
        <x:v>156</x:v>
      </x:c>
      <x:c r="F275" s="49" t="s">
        <x:v>1172</x:v>
      </x:c>
      <x:c r="G275" s="60">
        <x:v>1.02</x:v>
      </x:c>
      <x:c r="H275" s="60">
        <x:v>0.5</x:v>
      </x:c>
      <x:c r="I275" s="60">
        <x:v>0.86</x:v>
      </x:c>
      <x:c r="J275" s="49" t="s">
        <x:v>1173</x:v>
      </x:c>
      <x:c r="K275" s="49" t="s">
        <x:v>189</x:v>
      </x:c>
      <x:c r="L275" s="49" t="s">
        <x:v>1174</x:v>
      </x:c>
      <x:c r="M275" s="61">
        <x:v>0.528</x:v>
      </x:c>
      <x:c r="N275" s="49" t="s">
        <x:v>96</x:v>
      </x:c>
      <x:c r="O275" s="49" t="s">
        <x:v>126</x:v>
      </x:c>
      <x:c r="P275" s="49" t="s">
        <x:v>30</x:v>
      </x:c>
      <x:c r="Q275" s="49" t="s">
        <x:v>23</x:v>
      </x:c>
      <x:c r="R275" s="50">
        <x:v>1.02</x:v>
      </x:c>
      <x:c r="S275" s="50">
        <x:f t="shared" si="20"/>
        <x:v>-1</x:v>
      </x:c>
      <x:c r="T275" s="49" t="s">
        <x:v>98</x:v>
      </x:c>
      <x:c r="U275" s="49" t="str">
        <x:f t="shared" si="18"/>
        <x:v>红</x:v>
      </x:c>
      <x:c r="V275" s="50">
        <x:f t="shared" si="19"/>
        <x:v>0.86</x:v>
      </x:c>
      <x:c r="W275" s="50">
        <x:f t="shared" si="21"/>
        <x:v>0.86</x:v>
      </x:c>
      <x:c r="X275" s="62">
        <x:v>0.89</x:v>
      </x:c>
      <x:c r="Y275" s="62">
        <x:v>0.25</x:v>
      </x:c>
      <x:c r="Z275" s="62">
        <x:v>0.99</x:v>
      </x:c>
      <x:c r="AA275" s="62">
        <x:v>-0.25</x:v>
      </x:c>
      <x:c r="AB275" s="62">
        <x:v>0.89</x:v>
      </x:c>
      <x:c r="AC275" s="62">
        <x:v>1.02</x:v>
      </x:c>
      <x:c r="AD275" s="60">
        <x:v>2.13</x:v>
      </x:c>
      <x:c r="AE275" s="60">
        <x:v>3.59</x:v>
      </x:c>
      <x:c r="AF275" s="60">
        <x:v>3.08</x:v>
      </x:c>
      <x:c r="AG275" s="62">
        <x:v>0.0727104247838684</x:v>
      </x:c>
      <x:c r="AH275" s="62">
        <x:v>0.0227104247838683</x:v>
      </x:c>
      <x:c r="AI275" s="62">
        <x:v>0.437661047406815</x:v>
      </x:c>
      <x:c r="AJ275" s="62">
        <x:v>0.259670760717693</x:v>
      </x:c>
      <x:c r="AK275" s="62">
        <x:v>0.302668191875492</x:v>
      </x:c>
      <x:c r="AL275" s="62">
        <x:v>1.45</x:v>
      </x:c>
      <x:c r="AM275" s="62">
        <x:v>1.16</x:v>
      </x:c>
      <x:c r="AN275" s="62">
        <x:v>0.000273395599263504</x:v>
      </x:c>
      <x:c r="AO275" s="62">
        <x:v>1.2853749031602</x:v>
      </x:c>
      <x:c r="AP275" s="62">
        <x:v>-0.265374903160195</x:v>
      </x:c>
      <x:c r="AQ275" s="62" t="s">
        <x:v>99</x:v>
      </x:c>
      <x:c r="AR275" s="49">
        <x:v>-0.5</x:v>
      </x:c>
      <x:c r="AS275" s="62">
        <x:v>0.43756496958867</x:v>
      </x:c>
      <x:c r="AT275" s="62">
        <x:v>0.56243503041133</x:v>
      </x:c>
      <x:c r="AU275" s="60">
        <x:v>2.04</x:v>
      </x:c>
      <x:c r="AV275" s="60">
        <x:v>3.67</x:v>
      </x:c>
      <x:c r="AW275" s="60">
        <x:v>3.32</x:v>
      </x:c>
      <x:c r="AX275" s="49" t="s">
        <x:v>98</x:v>
      </x:c>
      <x:c r="AY275" s="49" t="s">
        <x:v>101</x:v>
      </x:c>
    </x:row>
    <x:row r="276" ht="22" customHeight="1">
      <x:c r="A276" s="49" t="s">
        <x:v>1161</x:v>
      </x:c>
      <x:c r="B276" s="49" t="s">
        <x:v>1171</x:v>
      </x:c>
      <x:c r="C276" s="49" t="s">
        <x:v>333</x:v>
      </x:c>
      <x:c r="D276" s="49" t="s">
        <x:v>116</x:v>
      </x:c>
      <x:c r="E276" s="49" t="s">
        <x:v>156</x:v>
      </x:c>
      <x:c r="F276" s="49" t="s">
        <x:v>1175</x:v>
      </x:c>
      <x:c r="G276" s="60">
        <x:v>0.83</x:v>
      </x:c>
      <x:c r="H276" s="60">
        <x:v>0.25</x:v>
      </x:c>
      <x:c r="I276" s="60">
        <x:v>1.05</x:v>
      </x:c>
      <x:c r="J276" s="49" t="s">
        <x:v>401</x:v>
      </x:c>
      <x:c r="K276" s="49" t="s">
        <x:v>132</x:v>
      </x:c>
      <x:c r="L276" s="49" t="s">
        <x:v>160</x:v>
      </x:c>
      <x:c r="M276" s="61">
        <x:v>0.567</x:v>
      </x:c>
      <x:c r="N276" s="49" t="s">
        <x:v>96</x:v>
      </x:c>
      <x:c r="O276" s="49" t="s">
        <x:v>231</x:v>
      </x:c>
      <x:c r="P276" s="49" t="s">
        <x:v>30</x:v>
      </x:c>
      <x:c r="Q276" s="49" t="s">
        <x:v>11</x:v>
      </x:c>
      <x:c r="R276" s="50">
        <x:v>0.83</x:v>
      </x:c>
      <x:c r="S276" s="50">
        <x:f t="shared" si="20"/>
        <x:v>0.83</x:v>
      </x:c>
      <x:c r="T276" s="49" t="s">
        <x:v>98</x:v>
      </x:c>
      <x:c r="U276" s="49" t="str">
        <x:f t="shared" si="18"/>
        <x:v>黑</x:v>
      </x:c>
      <x:c r="V276" s="50">
        <x:f t="shared" si="19"/>
        <x:v>1.05</x:v>
      </x:c>
      <x:c r="W276" s="50">
        <x:f t="shared" si="21"/>
        <x:v>-1</x:v>
      </x:c>
      <x:c r="X276" s="62">
        <x:v>1.06</x:v>
      </x:c>
      <x:c r="Y276" s="62">
        <x:v>0.5</x:v>
      </x:c>
      <x:c r="Z276" s="62">
        <x:v>0.82</x:v>
      </x:c>
      <x:c r="AA276" s="62">
        <x:v>-0.5</x:v>
      </x:c>
      <x:c r="AB276" s="62">
        <x:v>1.06</x:v>
      </x:c>
      <x:c r="AC276" s="62">
        <x:v>0.83</x:v>
      </x:c>
      <x:c r="AD276" s="60">
        <x:v>2.09</x:v>
      </x:c>
      <x:c r="AE276" s="60">
        <x:v>3.38</x:v>
      </x:c>
      <x:c r="AF276" s="60">
        <x:v>3.33</x:v>
      </x:c>
      <x:c r="AG276" s="62">
        <x:v>0.0746271879875118</x:v>
      </x:c>
      <x:c r="AH276" s="62">
        <x:v>0.0246271879875118</x:v>
      </x:c>
      <x:c r="AI276" s="62">
        <x:v>0.445241759067696</x:v>
      </x:c>
      <x:c r="AJ276" s="62">
        <x:v>0.275312211967895</x:v>
      </x:c>
      <x:c r="AK276" s="62">
        <x:v>0.27944602896441</x:v>
      </x:c>
      <x:c r="AL276" s="62">
        <x:v>1.34</x:v>
      </x:c>
      <x:c r="AM276" s="62">
        <x:v>1</x:v>
      </x:c>
      <x:c r="AN276" s="62">
        <x:v>0.000244457074963682</x:v>
      </x:c>
      <x:c r="AO276" s="62">
        <x:v>0.937007389406246</x:v>
      </x:c>
      <x:c r="AP276" s="62">
        <x:v>-0.107007389406246</x:v>
      </x:c>
      <x:c r="AQ276" s="62" t="s">
        <x:v>99</x:v>
      </x:c>
      <x:c r="AR276" s="49">
        <x:v>-0.25</x:v>
      </x:c>
      <x:c r="AS276" s="62">
        <x:v>0.445105289524563</x:v>
      </x:c>
      <x:c r="AT276" s="62">
        <x:v>0.417066945348322</x:v>
      </x:c>
      <x:c r="AU276" s="60">
        <x:v>2.06</x:v>
      </x:c>
      <x:c r="AV276" s="60">
        <x:v>3.43</x:v>
      </x:c>
      <x:c r="AW276" s="60">
        <x:v>3.47</x:v>
      </x:c>
      <x:c r="AX276" s="49" t="s">
        <x:v>98</x:v>
      </x:c>
      <x:c r="AY276" s="49" t="s">
        <x:v>101</x:v>
      </x:c>
    </x:row>
    <x:row r="277" ht="22" customHeight="1">
      <x:c r="A277" s="49" t="s">
        <x:v>1161</x:v>
      </x:c>
      <x:c r="B277" s="49" t="s">
        <x:v>1171</x:v>
      </x:c>
      <x:c r="C277" s="49" t="s">
        <x:v>333</x:v>
      </x:c>
      <x:c r="D277" s="49" t="s">
        <x:v>90</x:v>
      </x:c>
      <x:c r="E277" s="49" t="s">
        <x:v>1176</x:v>
      </x:c>
      <x:c r="F277" s="49" t="s">
        <x:v>1177</x:v>
      </x:c>
      <x:c r="G277" s="60">
        <x:v>0.84</x:v>
      </x:c>
      <x:c r="H277" s="60">
        <x:v>1.5</x:v>
      </x:c>
      <x:c r="I277" s="60">
        <x:v>0.98</x:v>
      </x:c>
      <x:c r="J277" s="49" t="s">
        <x:v>1178</x:v>
      </x:c>
      <x:c r="K277" s="49" t="s">
        <x:v>106</x:v>
      </x:c>
      <x:c r="L277" s="49" t="s">
        <x:v>1179</x:v>
      </x:c>
      <x:c r="M277" s="61">
        <x:v>0.571</x:v>
      </x:c>
      <x:c r="N277" s="49" t="s">
        <x:v>96</x:v>
      </x:c>
      <x:c r="O277" s="49" t="s">
        <x:v>108</x:v>
      </x:c>
      <x:c r="P277" s="49" t="s">
        <x:v>30</x:v>
      </x:c>
      <x:c r="Q277" s="49" t="s">
        <x:v>11</x:v>
      </x:c>
      <x:c r="R277" s="50">
        <x:v>0.84</x:v>
      </x:c>
      <x:c r="S277" s="50">
        <x:f t="shared" si="20"/>
        <x:v>0.84</x:v>
      </x:c>
      <x:c r="T277" s="49" t="s">
        <x:v>98</x:v>
      </x:c>
      <x:c r="U277" s="49" t="str">
        <x:f t="shared" si="18"/>
        <x:v>黑</x:v>
      </x:c>
      <x:c r="V277" s="50">
        <x:f t="shared" si="19"/>
        <x:v>0.98</x:v>
      </x:c>
      <x:c r="W277" s="50">
        <x:f t="shared" si="21"/>
        <x:v>-1</x:v>
      </x:c>
      <x:c r="X277" s="62">
        <x:v>0.85</x:v>
      </x:c>
      <x:c r="Y277" s="62">
        <x:v>1.5</x:v>
      </x:c>
      <x:c r="Z277" s="62">
        <x:v>0.97</x:v>
      </x:c>
      <x:c r="AA277" s="62">
        <x:v>-1.5</x:v>
      </x:c>
      <x:c r="AB277" s="62">
        <x:v>0.85</x:v>
      </x:c>
      <x:c r="AC277" s="62">
        <x:v>0.84</x:v>
      </x:c>
      <x:c r="AD277" s="60">
        <x:v>1.28</x:v>
      </x:c>
      <x:c r="AE277" s="60">
        <x:v>5.52</x:v>
      </x:c>
      <x:c r="AF277" s="60">
        <x:v>9.08</x:v>
      </x:c>
      <x:c r="AG277" s="62">
        <x:v>0.0725415788801635</x:v>
      </x:c>
      <x:c r="AH277" s="62">
        <x:v>0.0225415788801635</x:v>
      </x:c>
      <x:c r="AI277" s="62">
        <x:v>0.728409989303818</x:v>
      </x:c>
      <x:c r="AJ277" s="62">
        <x:v>0.168906664186393</x:v>
      </x:c>
      <x:c r="AK277" s="62">
        <x:v>0.102683346509789</x:v>
      </x:c>
      <x:c r="AL277" s="62">
        <x:v>2.33</x:v>
      </x:c>
      <x:c r="AM277" s="62">
        <x:v>0.75</x:v>
      </x:c>
      <x:c r="AN277" s="62">
        <x:v>0.000260703505834564</x:v>
      </x:c>
      <x:c r="AO277" s="62">
        <x:v>1.01684044312134</x:v>
      </x:c>
      <x:c r="AP277" s="62">
        <x:v>-0.176840443121341</x:v>
      </x:c>
      <x:c r="AQ277" s="62" t="s">
        <x:v>99</x:v>
      </x:c>
      <x:c r="AR277" s="49">
        <x:v>-1.5</x:v>
      </x:c>
      <x:c r="AS277" s="62">
        <x:v>0.495825043280251</x:v>
      </x:c>
      <x:c r="AT277" s="62">
        <x:v>0.504174956719749</x:v>
      </x:c>
      <x:c r="AU277" s="60">
        <x:v>1.29</x:v>
      </x:c>
      <x:c r="AV277" s="60">
        <x:v>5.63</x:v>
      </x:c>
      <x:c r="AW277" s="60">
        <x:v>8.81</x:v>
      </x:c>
      <x:c r="AX277" s="49" t="s">
        <x:v>98</x:v>
      </x:c>
      <x:c r="AY277" s="49" t="s">
        <x:v>101</x:v>
      </x:c>
    </x:row>
    <x:row r="278" ht="22" customHeight="1">
      <x:c r="A278" s="49" t="s">
        <x:v>1161</x:v>
      </x:c>
      <x:c r="B278" s="49" t="s">
        <x:v>1171</x:v>
      </x:c>
      <x:c r="C278" s="49" t="s">
        <x:v>333</x:v>
      </x:c>
      <x:c r="D278" s="49" t="s">
        <x:v>90</x:v>
      </x:c>
      <x:c r="E278" s="49" t="s">
        <x:v>1180</x:v>
      </x:c>
      <x:c r="F278" s="49" t="s">
        <x:v>1181</x:v>
      </x:c>
      <x:c r="G278" s="60">
        <x:v>1.13</x:v>
      </x:c>
      <x:c r="H278" s="60">
        <x:v>0.75</x:v>
      </x:c>
      <x:c r="I278" s="60">
        <x:v>0.64</x:v>
      </x:c>
      <x:c r="J278" s="49" t="s">
        <x:v>1182</x:v>
      </x:c>
      <x:c r="K278" s="49" t="s">
        <x:v>132</x:v>
      </x:c>
      <x:c r="L278" s="49" t="s">
        <x:v>1183</x:v>
      </x:c>
      <x:c r="M278" s="61">
        <x:v>0.567</x:v>
      </x:c>
      <x:c r="N278" s="49" t="s">
        <x:v>96</x:v>
      </x:c>
      <x:c r="O278" s="49" t="s">
        <x:v>231</x:v>
      </x:c>
      <x:c r="P278" s="49" t="s">
        <x:v>30</x:v>
      </x:c>
      <x:c r="Q278" s="49" t="s">
        <x:v>14</x:v>
      </x:c>
      <x:c r="R278" s="50">
        <x:v>1.13</x:v>
      </x:c>
      <x:c r="S278" s="50">
        <x:f t="shared" si="20"/>
        <x:v>0.565</x:v>
      </x:c>
      <x:c r="T278" s="49" t="s">
        <x:v>98</x:v>
      </x:c>
      <x:c r="U278" s="49" t="str">
        <x:f t="shared" si="18"/>
        <x:v>半黑</x:v>
      </x:c>
      <x:c r="V278" s="50">
        <x:f t="shared" si="19"/>
        <x:v>0.64</x:v>
      </x:c>
      <x:c r="W278" s="50">
        <x:f t="shared" si="21"/>
        <x:v>-0.5</x:v>
      </x:c>
      <x:c r="X278" s="62">
        <x:v>1</x:v>
      </x:c>
      <x:c r="Y278" s="62">
        <x:v>1</x:v>
      </x:c>
      <x:c r="Z278" s="62">
        <x:v>0.76</x:v>
      </x:c>
      <x:c r="AA278" s="62">
        <x:v>-1</x:v>
      </x:c>
      <x:c r="AB278" s="62">
        <x:v>1</x:v>
      </x:c>
      <x:c r="AC278" s="62">
        <x:v>1.13</x:v>
      </x:c>
      <x:c r="AD278" s="60">
        <x:v>1.63</x:v>
      </x:c>
      <x:c r="AE278" s="60">
        <x:v>4.11</x:v>
      </x:c>
      <x:c r="AF278" s="60">
        <x:v>4.38</x:v>
      </x:c>
      <x:c r="AG278" s="62">
        <x:v>0.0851164372315325</x:v>
      </x:c>
      <x:c r="AH278" s="62">
        <x:v>0.0351164372315325</x:v>
      </x:c>
      <x:c r="AI278" s="62">
        <x:v>0.565374287464079</x:v>
      </x:c>
      <x:c r="AJ278" s="62">
        <x:v>0.224223865831253</x:v>
      </x:c>
      <x:c r="AK278" s="62">
        <x:v>0.210401846704669</x:v>
      </x:c>
      <x:c r="AL278" s="62">
        <x:v>1.88</x:v>
      </x:c>
      <x:c r="AM278" s="62">
        <x:v>1.06</x:v>
      </x:c>
      <x:c r="AN278" s="62">
        <x:v>0.000320877840541152</x:v>
      </x:c>
      <x:c r="AO278" s="62">
        <x:v>0.973434265113136</x:v>
      </x:c>
      <x:c r="AP278" s="62">
        <x:v>0.156565734886864</x:v>
      </x:c>
      <x:c r="AQ278" s="62" t="s">
        <x:v>165</x:v>
      </x:c>
      <x:c r="AR278" s="49">
        <x:v>-0.75</x:v>
      </x:c>
      <x:c r="AS278" s="62">
        <x:v>0.446593860133219</x:v>
      </x:c>
      <x:c r="AT278" s="62">
        <x:v>0.434729766042819</x:v>
      </x:c>
      <x:c r="AU278" s="60">
        <x:v>1.83</x:v>
      </x:c>
      <x:c r="AV278" s="60">
        <x:v>3.75</x:v>
      </x:c>
      <x:c r="AW278" s="60">
        <x:v>3.7</x:v>
      </x:c>
      <x:c r="AX278" s="49" t="s">
        <x:v>98</x:v>
      </x:c>
      <x:c r="AY278" s="49" t="s">
        <x:v>101</x:v>
      </x:c>
    </x:row>
    <x:row r="279" ht="22" customHeight="1">
      <x:c r="A279" s="49" t="s">
        <x:v>1161</x:v>
      </x:c>
      <x:c r="B279" s="49" t="s">
        <x:v>1171</x:v>
      </x:c>
      <x:c r="C279" s="49" t="s">
        <x:v>333</x:v>
      </x:c>
      <x:c r="D279" s="49" t="s">
        <x:v>90</x:v>
      </x:c>
      <x:c r="E279" s="49" t="s">
        <x:v>1180</x:v>
      </x:c>
      <x:c r="F279" s="49" t="s">
        <x:v>1184</x:v>
      </x:c>
      <x:c r="G279" s="60">
        <x:v>1.03</x:v>
      </x:c>
      <x:c r="H279" s="60">
        <x:v>0.75</x:v>
      </x:c>
      <x:c r="I279" s="60">
        <x:v>0.73</x:v>
      </x:c>
      <x:c r="J279" s="49" t="s">
        <x:v>1185</x:v>
      </x:c>
      <x:c r="K279" s="49" t="s">
        <x:v>132</x:v>
      </x:c>
      <x:c r="L279" s="49" t="s">
        <x:v>1186</x:v>
      </x:c>
      <x:c r="M279" s="61">
        <x:v>0.567</x:v>
      </x:c>
      <x:c r="N279" s="49" t="s">
        <x:v>96</x:v>
      </x:c>
      <x:c r="O279" s="49" t="s">
        <x:v>141</x:v>
      </x:c>
      <x:c r="P279" s="49" t="s">
        <x:v>30</x:v>
      </x:c>
      <x:c r="Q279" s="49" t="s">
        <x:v>11</x:v>
      </x:c>
      <x:c r="R279" s="50">
        <x:v>1.03</x:v>
      </x:c>
      <x:c r="S279" s="50">
        <x:f t="shared" si="20"/>
        <x:v>1.03</x:v>
      </x:c>
      <x:c r="T279" s="49" t="s">
        <x:v>98</x:v>
      </x:c>
      <x:c r="U279" s="49" t="str">
        <x:f t="shared" si="18"/>
        <x:v>黑</x:v>
      </x:c>
      <x:c r="V279" s="50">
        <x:f t="shared" si="19"/>
        <x:v>0.73</x:v>
      </x:c>
      <x:c r="W279" s="50">
        <x:f t="shared" si="21"/>
        <x:v>-1</x:v>
      </x:c>
      <x:c r="X279" s="62">
        <x:v>0.94</x:v>
      </x:c>
      <x:c r="Y279" s="62">
        <x:v>1</x:v>
      </x:c>
      <x:c r="Z279" s="62">
        <x:v>0.82</x:v>
      </x:c>
      <x:c r="AA279" s="62">
        <x:v>-1</x:v>
      </x:c>
      <x:c r="AB279" s="62">
        <x:v>0.94</x:v>
      </x:c>
      <x:c r="AC279" s="62">
        <x:v>1.03</x:v>
      </x:c>
      <x:c r="AD279" s="60">
        <x:v>1.62</x:v>
      </x:c>
      <x:c r="AE279" s="60">
        <x:v>4.12</x:v>
      </x:c>
      <x:c r="AF279" s="60">
        <x:v>4.5</x:v>
      </x:c>
      <x:c r="AG279" s="62">
        <x:v>0.082224619441448</x:v>
      </x:c>
      <x:c r="AH279" s="62">
        <x:v>0.032224619441448</x:v>
      </x:c>
      <x:c r="AI279" s="62">
        <x:v>0.570384317200133</x:v>
      </x:c>
      <x:c r="AJ279" s="62">
        <x:v>0.224277328607819</x:v>
      </x:c>
      <x:c r="AK279" s="62">
        <x:v>0.205338354192048</x:v>
      </x:c>
      <x:c r="AL279" s="62">
        <x:v>1.87</x:v>
      </x:c>
      <x:c r="AM279" s="62">
        <x:v>1.03</x:v>
      </x:c>
      <x:c r="AN279" s="62">
        <x:v>0.000144145048452149</x:v>
      </x:c>
      <x:c r="AO279" s="62">
        <x:v>0.95416282847756</x:v>
      </x:c>
      <x:c r="AP279" s="62">
        <x:v>0.07583717152244</x:v>
      </x:c>
      <x:c r="AQ279" s="62" t="s">
        <x:v>165</x:v>
      </x:c>
      <x:c r="AR279" s="49">
        <x:v>-0.75</x:v>
      </x:c>
      <x:c r="AS279" s="62">
        <x:v>0.450467698872593</x:v>
      </x:c>
      <x:c r="AT279" s="62">
        <x:v>0.429819533694052</x:v>
      </x:c>
      <x:c r="AU279" s="60">
        <x:v>1.75</x:v>
      </x:c>
      <x:c r="AV279" s="60">
        <x:v>3.91</x:v>
      </x:c>
      <x:c r="AW279" s="60">
        <x:v>3.86</x:v>
      </x:c>
      <x:c r="AX279" s="49" t="s">
        <x:v>98</x:v>
      </x:c>
      <x:c r="AY279" s="49" t="s">
        <x:v>101</x:v>
      </x:c>
    </x:row>
    <x:row r="280" ht="22" customHeight="1">
      <x:c r="A280" s="49" t="s">
        <x:v>1161</x:v>
      </x:c>
      <x:c r="B280" s="49" t="s">
        <x:v>1187</x:v>
      </x:c>
      <x:c r="C280" s="49" t="s">
        <x:v>1188</x:v>
      </x:c>
      <x:c r="D280" s="49" t="s">
        <x:v>90</x:v>
      </x:c>
      <x:c r="E280" s="49" t="s">
        <x:v>1189</x:v>
      </x:c>
      <x:c r="F280" s="49" t="s">
        <x:v>1190</x:v>
      </x:c>
      <x:c r="G280" s="60">
        <x:v>1.06</x:v>
      </x:c>
      <x:c r="H280" s="60">
        <x:v>-0.75</x:v>
      </x:c>
      <x:c r="I280" s="60">
        <x:v>0.83</x:v>
      </x:c>
      <x:c r="J280" s="49" t="s">
        <x:v>1191</x:v>
      </x:c>
      <x:c r="K280" s="49" t="s">
        <x:v>106</x:v>
      </x:c>
      <x:c r="L280" s="49" t="s">
        <x:v>860</x:v>
      </x:c>
      <x:c r="M280" s="61">
        <x:v>0.57</x:v>
      </x:c>
      <x:c r="N280" s="49" t="s">
        <x:v>96</x:v>
      </x:c>
      <x:c r="O280" s="49" t="s">
        <x:v>114</x:v>
      </x:c>
      <x:c r="P280" s="49" t="s">
        <x:v>30</x:v>
      </x:c>
      <x:c r="Q280" s="49" t="s">
        <x:v>11</x:v>
      </x:c>
      <x:c r="R280" s="50">
        <x:v>0.83</x:v>
      </x:c>
      <x:c r="S280" s="50">
        <x:f t="shared" si="20"/>
        <x:v>0.83</x:v>
      </x:c>
      <x:c r="T280" s="49" t="s">
        <x:v>98</x:v>
      </x:c>
      <x:c r="U280" s="49" t="str">
        <x:f t="shared" si="18"/>
        <x:v>黑</x:v>
      </x:c>
      <x:c r="V280" s="50">
        <x:f t="shared" si="19"/>
        <x:v>1.06</x:v>
      </x:c>
      <x:c r="W280" s="50">
        <x:f t="shared" si="21"/>
        <x:v>-1</x:v>
      </x:c>
      <x:c r="X280" s="62">
        <x:v>0.85</x:v>
      </x:c>
      <x:c r="Y280" s="62">
        <x:v>-0.75</x:v>
      </x:c>
      <x:c r="Z280" s="62">
        <x:v>1.03</x:v>
      </x:c>
      <x:c r="AA280" s="62">
        <x:v>-0.75</x:v>
      </x:c>
      <x:c r="AB280" s="62">
        <x:v>1.03</x:v>
      </x:c>
      <x:c r="AC280" s="62">
        <x:v>0.83</x:v>
      </x:c>
      <x:c r="AD280" s="60">
        <x:v>4.29</x:v>
      </x:c>
      <x:c r="AE280" s="60">
        <x:v>3.9</x:v>
      </x:c>
      <x:c r="AF280" s="60">
        <x:v>1.74</x:v>
      </x:c>
      <x:c r="AG280" s="62">
        <x:v>0.0642231331886505</x:v>
      </x:c>
      <x:c r="AH280" s="62">
        <x:v>0.0142231331886505</x:v>
      </x:c>
      <x:c r="AI280" s="62">
        <x:v>0.219033232628399</x:v>
      </x:c>
      <x:c r="AJ280" s="62">
        <x:v>0.240936555891239</x:v>
      </x:c>
      <x:c r="AK280" s="62">
        <x:v>0.540030211480362</x:v>
      </x:c>
      <x:c r="AL280" s="62">
        <x:v>0.98</x:v>
      </x:c>
      <x:c r="AM280" s="62">
        <x:v>1.69</x:v>
      </x:c>
      <x:c r="AN280" s="62">
        <x:v>0.000428483731289705</x:v>
      </x:c>
      <x:c r="AO280" s="62">
        <x:v>1.09932091180136</x:v>
      </x:c>
      <x:c r="AP280" s="62">
        <x:v>-0.269320911801359</x:v>
      </x:c>
      <x:c r="AQ280" s="62" t="s">
        <x:v>99</x:v>
      </x:c>
      <x:c r="AR280" s="49">
        <x:v>-0.75</x:v>
      </x:c>
      <x:c r="AS280" s="62">
        <x:v>0.418058490287501</x:v>
      </x:c>
      <x:c r="AT280" s="62">
        <x:v>0.459580440729155</x:v>
      </x:c>
      <x:c r="AU280" s="60">
        <x:v>4.83</x:v>
      </x:c>
      <x:c r="AV280" s="60">
        <x:v>4.04</x:v>
      </x:c>
      <x:c r="AW280" s="60">
        <x:v>1.68</x:v>
      </x:c>
      <x:c r="AX280" s="49" t="s">
        <x:v>98</x:v>
      </x:c>
      <x:c r="AY280" s="49" t="s">
        <x:v>101</x:v>
      </x:c>
    </x:row>
    <x:row r="281" ht="22" customHeight="1">
      <x:c r="A281" s="49" t="s">
        <x:v>1161</x:v>
      </x:c>
      <x:c r="B281" s="49" t="s">
        <x:v>1187</x:v>
      </x:c>
      <x:c r="C281" s="49" t="s">
        <x:v>333</x:v>
      </x:c>
      <x:c r="D281" s="49" t="s">
        <x:v>116</x:v>
      </x:c>
      <x:c r="E281" s="49" t="s">
        <x:v>156</x:v>
      </x:c>
      <x:c r="F281" s="49" t="s">
        <x:v>1192</x:v>
      </x:c>
      <x:c r="G281" s="60">
        <x:v>0.83</x:v>
      </x:c>
      <x:c r="H281" s="60">
        <x:v>-1</x:v>
      </x:c>
      <x:c r="I281" s="60">
        <x:v>1.05</x:v>
      </x:c>
      <x:c r="J281" s="49" t="s">
        <x:v>1193</x:v>
      </x:c>
      <x:c r="K281" s="49" t="s">
        <x:v>189</x:v>
      </x:c>
      <x:c r="L281" s="49" t="s">
        <x:v>172</x:v>
      </x:c>
      <x:c r="M281" s="61">
        <x:v>0.528</x:v>
      </x:c>
      <x:c r="N281" s="49" t="s">
        <x:v>96</x:v>
      </x:c>
      <x:c r="O281" s="49" t="s">
        <x:v>642</x:v>
      </x:c>
      <x:c r="P281" s="49" t="s">
        <x:v>30</x:v>
      </x:c>
      <x:c r="Q281" s="49" t="s">
        <x:v>17</x:v>
      </x:c>
      <x:c r="R281" s="50">
        <x:v>1.05</x:v>
      </x:c>
      <x:c r="S281" s="50">
        <x:f t="shared" si="20"/>
        <x:v>0</x:v>
      </x:c>
      <x:c r="T281" s="49" t="s">
        <x:v>98</x:v>
      </x:c>
      <x:c r="U281" s="49" t="str">
        <x:f t="shared" si="18"/>
        <x:v>走</x:v>
      </x:c>
      <x:c r="V281" s="50">
        <x:f t="shared" si="19"/>
        <x:v>0.83</x:v>
      </x:c>
      <x:c r="W281" s="50">
        <x:f t="shared" si="21"/>
        <x:v>0</x:v>
      </x:c>
      <x:c r="X281" s="62">
        <x:v>1.01</x:v>
      </x:c>
      <x:c r="Y281" s="62">
        <x:v>-0.75</x:v>
      </x:c>
      <x:c r="Z281" s="62">
        <x:v>0.87</x:v>
      </x:c>
      <x:c r="AA281" s="62">
        <x:v>-0.75</x:v>
      </x:c>
      <x:c r="AB281" s="62">
        <x:v>0.87</x:v>
      </x:c>
      <x:c r="AC281" s="62">
        <x:v>1.05</x:v>
      </x:c>
      <x:c r="AD281" s="60">
        <x:v>4.45</x:v>
      </x:c>
      <x:c r="AE281" s="60">
        <x:v>3.92</x:v>
      </x:c>
      <x:c r="AF281" s="60">
        <x:v>1.68</x:v>
      </x:c>
      <x:c r="AG281" s="62">
        <x:v>0.0750592371780172</x:v>
      </x:c>
      <x:c r="AH281" s="62">
        <x:v>0.0250592371780172</x:v>
      </x:c>
      <x:c r="AI281" s="62">
        <x:v>0.209029505865624</x:v>
      </x:c>
      <x:c r="AJ281" s="62">
        <x:v>0.237291148240313</x:v>
      </x:c>
      <x:c r="AK281" s="62">
        <x:v>0.553679345894063</x:v>
      </x:c>
      <x:c r="AL281" s="62">
        <x:v>0.96</x:v>
      </x:c>
      <x:c r="AM281" s="62">
        <x:v>1.72</x:v>
      </x:c>
      <x:c r="AN281" s="62">
        <x:v>0.000832407867889571</x:v>
      </x:c>
      <x:c r="AO281" s="62">
        <x:v>1.46034856798331</x:v>
      </x:c>
      <x:c r="AP281" s="62">
        <x:v>-0.410348567983312</x:v>
      </x:c>
      <x:c r="AQ281" s="62" t="s">
        <x:v>99</x:v>
      </x:c>
      <x:c r="AR281" s="49">
        <x:v>-1</x:v>
      </x:c>
      <x:c r="AS281" s="62">
        <x:v>0.306422774329754</x:v>
      </x:c>
      <x:c r="AT281" s="62">
        <x:v>0.44748405968993</x:v>
      </x:c>
      <x:c r="AU281" s="60">
        <x:v>4.97</x:v>
      </x:c>
      <x:c r="AV281" s="60">
        <x:v>4.16</x:v>
      </x:c>
      <x:c r="AW281" s="60">
        <x:v>1.61</x:v>
      </x:c>
      <x:c r="AX281" s="49" t="s">
        <x:v>98</x:v>
      </x:c>
      <x:c r="AY281" s="49" t="s">
        <x:v>101</x:v>
      </x:c>
    </x:row>
    <x:row r="282" ht="22" customHeight="1">
      <x:c r="A282" s="49" t="s">
        <x:v>1161</x:v>
      </x:c>
      <x:c r="B282" s="49" t="s">
        <x:v>1194</x:v>
      </x:c>
      <x:c r="C282" s="49" t="s">
        <x:v>128</x:v>
      </x:c>
      <x:c r="D282" s="49" t="s">
        <x:v>90</x:v>
      </x:c>
      <x:c r="E282" s="49" t="s">
        <x:v>1195</x:v>
      </x:c>
      <x:c r="F282" s="49" t="s">
        <x:v>1196</x:v>
      </x:c>
      <x:c r="G282" s="60">
        <x:v>0.88</x:v>
      </x:c>
      <x:c r="H282" s="60">
        <x:v>0.75</x:v>
      </x:c>
      <x:c r="I282" s="60">
        <x:v>0.94</x:v>
      </x:c>
      <x:c r="J282" s="49" t="s">
        <x:v>543</x:v>
      </x:c>
      <x:c r="K282" s="49" t="s">
        <x:v>132</x:v>
      </x:c>
      <x:c r="L282" s="49" t="s">
        <x:v>1197</x:v>
      </x:c>
      <x:c r="M282" s="61">
        <x:v>0.568</x:v>
      </x:c>
      <x:c r="N282" s="49" t="s">
        <x:v>96</x:v>
      </x:c>
      <x:c r="O282" s="49" t="s">
        <x:v>161</x:v>
      </x:c>
      <x:c r="P282" s="49" t="s">
        <x:v>30</x:v>
      </x:c>
      <x:c r="Q282" s="49" t="s">
        <x:v>11</x:v>
      </x:c>
      <x:c r="R282" s="50">
        <x:v>0.88</x:v>
      </x:c>
      <x:c r="S282" s="50">
        <x:f t="shared" si="20"/>
        <x:v>0.88</x:v>
      </x:c>
      <x:c r="T282" s="49" t="s">
        <x:v>1198</x:v>
      </x:c>
      <x:c r="U282" s="49" t="str">
        <x:f t="shared" si="18"/>
        <x:v>黑</x:v>
      </x:c>
      <x:c r="V282" s="50">
        <x:f t="shared" si="19"/>
        <x:v>0.94</x:v>
      </x:c>
      <x:c r="W282" s="50">
        <x:f t="shared" si="21"/>
        <x:v>-1</x:v>
      </x:c>
      <x:c r="X282" s="62">
        <x:v>0.81</x:v>
      </x:c>
      <x:c r="Y282" s="62">
        <x:v>1</x:v>
      </x:c>
      <x:c r="Z282" s="62">
        <x:v>1.07</x:v>
      </x:c>
      <x:c r="AA282" s="62">
        <x:v>-1</x:v>
      </x:c>
      <x:c r="AB282" s="62">
        <x:v>0.81</x:v>
      </x:c>
      <x:c r="AC282" s="62">
        <x:v>0.88</x:v>
      </x:c>
      <x:c r="AD282" s="60">
        <x:v>1.46</x:v>
      </x:c>
      <x:c r="AE282" s="60">
        <x:v>3.77</x:v>
      </x:c>
      <x:c r="AF282" s="60">
        <x:v>8.03</x:v>
      </x:c>
      <x:c r="AG282" s="62">
        <x:v>0.0747164974845655</x:v>
      </x:c>
      <x:c r="AH282" s="62">
        <x:v>0.0247164974845655</x:v>
      </x:c>
      <x:c r="AI282" s="62">
        <x:v>0.637313662209928</x:v>
      </x:c>
      <x:c r="AJ282" s="62">
        <x:v>0.246811126479176</x:v>
      </x:c>
      <x:c r="AK282" s="62">
        <x:v>0.115875211310896</x:v>
      </x:c>
      <x:c r="AL282" s="62">
        <x:v>1.57</x:v>
      </x:c>
      <x:c r="AM282" s="62">
        <x:v>0.5</x:v>
      </x:c>
      <x:c r="AN282" s="62">
        <x:v>0.000692867509789818</x:v>
      </x:c>
      <x:c r="AO282" s="62">
        <x:v>0.730874164711071</x:v>
      </x:c>
      <x:c r="AP282" s="62">
        <x:v>0.149125835288929</x:v>
      </x:c>
      <x:c r="AQ282" s="62" t="s">
        <x:v>165</x:v>
      </x:c>
      <x:c r="AR282" s="49">
        <x:v>-0.75</x:v>
      </x:c>
      <x:c r="AS282" s="62">
        <x:v>0.494912842972365</x:v>
      </x:c>
      <x:c r="AT282" s="62">
        <x:v>0.361719010712209</x:v>
      </x:c>
      <x:c r="AU282" s="60">
        <x:v>1.66</x:v>
      </x:c>
      <x:c r="AV282" s="60">
        <x:v>3.34</x:v>
      </x:c>
      <x:c r="AW282" s="60">
        <x:v>6.05</x:v>
      </x:c>
      <x:c r="AX282" s="49" t="s">
        <x:v>98</x:v>
      </x:c>
      <x:c r="AY282" s="49" t="s">
        <x:v>101</x:v>
      </x:c>
    </x:row>
    <x:row r="283" ht="22" customHeight="1">
      <x:c r="A283" s="49" t="s">
        <x:v>1161</x:v>
      </x:c>
      <x:c r="B283" s="49" t="s">
        <x:v>1199</x:v>
      </x:c>
      <x:c r="C283" s="49" t="s">
        <x:v>128</x:v>
      </x:c>
      <x:c r="D283" s="49" t="s">
        <x:v>116</x:v>
      </x:c>
      <x:c r="E283" s="49" t="s">
        <x:v>1200</x:v>
      </x:c>
      <x:c r="F283" s="49" t="s">
        <x:v>1201</x:v>
      </x:c>
      <x:c r="G283" s="60">
        <x:v>0.83</x:v>
      </x:c>
      <x:c r="H283" s="60">
        <x:v>0</x:v>
      </x:c>
      <x:c r="I283" s="60">
        <x:v>0.99</x:v>
      </x:c>
      <x:c r="J283" s="49" t="s">
        <x:v>664</x:v>
      </x:c>
      <x:c r="K283" s="49" t="s">
        <x:v>132</x:v>
      </x:c>
      <x:c r="L283" s="49" t="s">
        <x:v>1202</x:v>
      </x:c>
      <x:c r="M283" s="61">
        <x:v>0.568</x:v>
      </x:c>
      <x:c r="N283" s="49" t="s">
        <x:v>96</x:v>
      </x:c>
      <x:c r="O283" s="49" t="s">
        <x:v>126</x:v>
      </x:c>
      <x:c r="P283" s="49" t="s">
        <x:v>30</x:v>
      </x:c>
      <x:c r="Q283" s="49" t="s">
        <x:v>17</x:v>
      </x:c>
      <x:c r="R283" s="50">
        <x:v>0.83</x:v>
      </x:c>
      <x:c r="S283" s="50">
        <x:f t="shared" si="20"/>
        <x:v>0</x:v>
      </x:c>
      <x:c r="T283" s="49" t="s">
        <x:v>1203</x:v>
      </x:c>
      <x:c r="U283" s="49" t="str">
        <x:f t="shared" si="18"/>
        <x:v>走</x:v>
      </x:c>
      <x:c r="V283" s="50">
        <x:f t="shared" si="19"/>
        <x:v>0.99</x:v>
      </x:c>
      <x:c r="W283" s="50">
        <x:f t="shared" si="21"/>
        <x:v>0</x:v>
      </x:c>
      <x:c r="X283" s="62">
        <x:v>0.98</x:v>
      </x:c>
      <x:c r="Y283" s="62">
        <x:v>0.25</x:v>
      </x:c>
      <x:c r="Z283" s="62">
        <x:v>0.72</x:v>
      </x:c>
      <x:c r="AA283" s="62">
        <x:v>-0.25</x:v>
      </x:c>
      <x:c r="AB283" s="62">
        <x:v>0.98</x:v>
      </x:c>
      <x:c r="AC283" s="62">
        <x:v>0.83</x:v>
      </x:c>
      <x:c r="AD283" s="60">
        <x:v>2.35</x:v>
      </x:c>
      <x:c r="AE283" s="60">
        <x:v>3.27</x:v>
      </x:c>
      <x:c r="AF283" s="60">
        <x:v>2.66</x:v>
      </x:c>
      <x:c r="AG283" s="62">
        <x:v>0.107282162071194</x:v>
      </x:c>
      <x:c r="AH283" s="62">
        <x:v>0.0572821620711939</x:v>
      </x:c>
      <x:c r="AI283" s="62">
        <x:v>0.384303052527868</x:v>
      </x:c>
      <x:c r="AJ283" s="62">
        <x:v>0.276181092795257</x:v>
      </x:c>
      <x:c r="AK283" s="62">
        <x:v>0.339515854676876</x:v>
      </x:c>
      <x:c r="AL283" s="62">
        <x:v>1.25</x:v>
      </x:c>
      <x:c r="AM283" s="62">
        <x:v>1.16</x:v>
      </x:c>
      <x:c r="AN283" s="62">
        <x:v>0.000649113744234653</x:v>
      </x:c>
      <x:c r="AO283" s="62">
        <x:v>0.886543726433484</x:v>
      </x:c>
      <x:c r="AP283" s="62">
        <x:v>-0.0565437264334838</x:v>
      </x:c>
      <x:c r="AQ283" s="62" t="s">
        <x:v>150</x:v>
      </x:c>
      <x:c r="AR283" s="49">
        <x:v>0</x:v>
      </x:c>
      <x:c r="AS283" s="62">
        <x:v>0.38398607383328</x:v>
      </x:c>
      <x:c r="AT283" s="62">
        <x:v>0.340420444794719</x:v>
      </x:c>
      <x:c r="AU283" s="60">
        <x:v>2.35</x:v>
      </x:c>
      <x:c r="AV283" s="60">
        <x:v>3.14</x:v>
      </x:c>
      <x:c r="AW283" s="60">
        <x:v>2.78</x:v>
      </x:c>
      <x:c r="AX283" s="49" t="s">
        <x:v>98</x:v>
      </x:c>
      <x:c r="AY283" s="49" t="s">
        <x:v>101</x:v>
      </x:c>
    </x:row>
    <x:row r="284" ht="22" customHeight="1">
      <x:c r="A284" s="49" t="s">
        <x:v>1204</x:v>
      </x:c>
      <x:c r="B284" s="49" t="s">
        <x:v>1205</x:v>
      </x:c>
      <x:c r="C284" s="49" t="s">
        <x:v>244</x:v>
      </x:c>
      <x:c r="D284" s="49" t="s">
        <x:v>116</x:v>
      </x:c>
      <x:c r="E284" s="49" t="s">
        <x:v>1206</x:v>
      </x:c>
      <x:c r="F284" s="49" t="s">
        <x:v>1207</x:v>
      </x:c>
      <x:c r="G284" s="60">
        <x:v>1.03</x:v>
      </x:c>
      <x:c r="H284" s="60">
        <x:v>0.25</x:v>
      </x:c>
      <x:c r="I284" s="60">
        <x:v>0.85</x:v>
      </x:c>
      <x:c r="J284" s="49" t="s">
        <x:v>1208</x:v>
      </x:c>
      <x:c r="K284" s="49" t="s">
        <x:v>132</x:v>
      </x:c>
      <x:c r="L284" s="49" t="s">
        <x:v>1209</x:v>
      </x:c>
      <x:c r="M284" s="61">
        <x:v>0.551</x:v>
      </x:c>
      <x:c r="N284" s="49" t="s">
        <x:v>96</x:v>
      </x:c>
      <x:c r="O284" s="49" t="s">
        <x:v>114</x:v>
      </x:c>
      <x:c r="P284" s="49" t="s">
        <x:v>30</x:v>
      </x:c>
      <x:c r="Q284" s="49" t="s">
        <x:v>23</x:v>
      </x:c>
      <x:c r="R284" s="50">
        <x:v>1.03</x:v>
      </x:c>
      <x:c r="S284" s="50">
        <x:f t="shared" si="20"/>
        <x:v>-1</x:v>
      </x:c>
      <x:c r="T284" s="49" t="s">
        <x:v>98</x:v>
      </x:c>
      <x:c r="U284" s="49" t="str">
        <x:f t="shared" si="18"/>
        <x:v>红</x:v>
      </x:c>
      <x:c r="V284" s="50">
        <x:f t="shared" si="19"/>
        <x:v>0.85</x:v>
      </x:c>
      <x:c r="W284" s="50">
        <x:f t="shared" si="21"/>
        <x:v>0.85</x:v>
      </x:c>
      <x:c r="X284" s="62">
        <x:v>0.99</x:v>
      </x:c>
      <x:c r="Y284" s="62">
        <x:v>0.5</x:v>
      </x:c>
      <x:c r="Z284" s="62">
        <x:v>0.83</x:v>
      </x:c>
      <x:c r="AA284" s="62">
        <x:v>-0.5</x:v>
      </x:c>
      <x:c r="AB284" s="62">
        <x:v>0.99</x:v>
      </x:c>
      <x:c r="AC284" s="62">
        <x:v>1.03</x:v>
      </x:c>
      <x:c r="AD284" s="60">
        <x:v>2.09</x:v>
      </x:c>
      <x:c r="AE284" s="60">
        <x:v>3.51</x:v>
      </x:c>
      <x:c r="AF284" s="60">
        <x:v>3.04</x:v>
      </x:c>
      <x:c r="AG284" s="62">
        <x:v>0.0923165528428687</x:v>
      </x:c>
      <x:c r="AH284" s="62">
        <x:v>0.0423165528428687</x:v>
      </x:c>
      <x:c r="AI284" s="62">
        <x:v>0.438031354808517</x:v>
      </x:c>
      <x:c r="AJ284" s="62">
        <x:v>0.260822088760627</x:v>
      </x:c>
      <x:c r="AK284" s="62">
        <x:v>0.301146556430856</x:v>
      </x:c>
      <x:c r="AL284" s="62">
        <x:v>1.44</x:v>
      </x:c>
      <x:c r="AM284" s="62">
        <x:v>1.15</x:v>
      </x:c>
      <x:c r="AN284" s="62">
        <x:v>0.000578267631334723</x:v>
      </x:c>
      <x:c r="AO284" s="62">
        <x:v>0.988501344978483</x:v>
      </x:c>
      <x:c r="AP284" s="62">
        <x:v>0.0414986550215172</x:v>
      </x:c>
      <x:c r="AQ284" s="62" t="s">
        <x:v>174</x:v>
      </x:c>
      <x:c r="AR284" s="49">
        <x:v>-0.25</x:v>
      </x:c>
      <x:c r="AS284" s="62">
        <x:v>0.437214488196821</x:v>
      </x:c>
      <x:c r="AT284" s="62">
        <x:v>0.432187109626637</x:v>
      </x:c>
      <x:c r="AU284" s="60">
        <x:v>2.21</x:v>
      </x:c>
      <x:c r="AV284" s="60">
        <x:v>3.44</x:v>
      </x:c>
      <x:c r="AW284" s="60">
        <x:v>2.93</x:v>
      </x:c>
      <x:c r="AX284" s="49" t="s">
        <x:v>98</x:v>
      </x:c>
      <x:c r="AY284" s="49" t="s">
        <x:v>101</x:v>
      </x:c>
    </x:row>
    <x:row r="285" ht="22" customHeight="1">
      <x:c r="A285" s="49" t="s">
        <x:v>1204</x:v>
      </x:c>
      <x:c r="B285" s="49" t="s">
        <x:v>1210</x:v>
      </x:c>
      <x:c r="C285" s="49" t="s">
        <x:v>244</x:v>
      </x:c>
      <x:c r="D285" s="49" t="s">
        <x:v>90</x:v>
      </x:c>
      <x:c r="E285" s="49" t="s">
        <x:v>245</x:v>
      </x:c>
      <x:c r="F285" s="49" t="s">
        <x:v>1211</x:v>
      </x:c>
      <x:c r="G285" s="60">
        <x:v>0.7</x:v>
      </x:c>
      <x:c r="H285" s="60">
        <x:v>0</x:v>
      </x:c>
      <x:c r="I285" s="60">
        <x:v>1.13</x:v>
      </x:c>
      <x:c r="J285" s="49" t="s">
        <x:v>1212</x:v>
      </x:c>
      <x:c r="K285" s="49" t="s">
        <x:v>132</x:v>
      </x:c>
      <x:c r="L285" s="49" t="s">
        <x:v>1213</x:v>
      </x:c>
      <x:c r="M285" s="61">
        <x:v>0.559</x:v>
      </x:c>
      <x:c r="N285" s="49" t="s">
        <x:v>96</x:v>
      </x:c>
      <x:c r="O285" s="49" t="s">
        <x:v>134</x:v>
      </x:c>
      <x:c r="P285" s="49" t="s">
        <x:v>30</x:v>
      </x:c>
      <x:c r="Q285" s="49" t="s">
        <x:v>17</x:v>
      </x:c>
      <x:c r="R285" s="50">
        <x:v>1.13</x:v>
      </x:c>
      <x:c r="S285" s="50">
        <x:f t="shared" si="20"/>
        <x:v>0</x:v>
      </x:c>
      <x:c r="T285" s="49" t="s">
        <x:v>98</x:v>
      </x:c>
      <x:c r="U285" s="49" t="str">
        <x:f t="shared" si="18"/>
        <x:v>走</x:v>
      </x:c>
      <x:c r="V285" s="50">
        <x:f t="shared" si="19"/>
        <x:v>0.7</x:v>
      </x:c>
      <x:c r="W285" s="50">
        <x:f t="shared" si="21"/>
        <x:v>0</x:v>
      </x:c>
      <x:c r="X285" s="62">
        <x:v>0.85</x:v>
      </x:c>
      <x:c r="Y285" s="62">
        <x:v>-0.25</x:v>
      </x:c>
      <x:c r="Z285" s="62">
        <x:v>0.97</x:v>
      </x:c>
      <x:c r="AA285" s="62">
        <x:v>-0.25</x:v>
      </x:c>
      <x:c r="AB285" s="62">
        <x:v>0.97</x:v>
      </x:c>
      <x:c r="AC285" s="62">
        <x:v>1.13</x:v>
      </x:c>
      <x:c r="AD285" s="60">
        <x:v>3.3</x:v>
      </x:c>
      <x:c r="AE285" s="60">
        <x:v>3.21</x:v>
      </x:c>
      <x:c r="AF285" s="60">
        <x:v>2.1</x:v>
      </x:c>
      <x:c r="AG285" s="62">
        <x:v>0.0907472589715579</x:v>
      </x:c>
      <x:c r="AH285" s="62">
        <x:v>0.0407472589715579</x:v>
      </x:c>
      <x:c r="AI285" s="62">
        <x:v>0.277818991097923</x:v>
      </x:c>
      <x:c r="AJ285" s="62">
        <x:v>0.285608308605341</x:v>
      </x:c>
      <x:c r="AK285" s="62">
        <x:v>0.436572700296736</x:v>
      </x:c>
      <x:c r="AL285" s="62">
        <x:v>0.95</x:v>
      </x:c>
      <x:c r="AM285" s="62">
        <x:v>1.27</x:v>
      </x:c>
      <x:c r="AN285" s="62">
        <x:v>0.000642742831770773</x:v>
      </x:c>
      <x:c r="AO285" s="62">
        <x:v>0.634867309459547</x:v>
      </x:c>
      <x:c r="AP285" s="62">
        <x:v>0.495132690540453</x:v>
      </x:c>
      <x:c r="AQ285" s="62" t="s">
        <x:v>135</x:v>
      </x:c>
      <x:c r="AR285" s="49">
        <x:v>0</x:v>
      </x:c>
      <x:c r="AS285" s="62">
        <x:v>0.437412936036395</x:v>
      </x:c>
      <x:c r="AT285" s="62">
        <x:v>0.277699173824227</x:v>
      </x:c>
      <x:c r="AU285" s="60">
        <x:v>2.53</x:v>
      </x:c>
      <x:c r="AV285" s="60">
        <x:v>3.18</x:v>
      </x:c>
      <x:c r="AW285" s="60">
        <x:v>2.64</x:v>
      </x:c>
      <x:c r="AX285" s="49" t="s">
        <x:v>98</x:v>
      </x:c>
      <x:c r="AY285" s="49" t="s">
        <x:v>101</x:v>
      </x:c>
    </x:row>
    <x:row r="286" ht="22" customHeight="1">
      <x:c r="A286" s="49" t="s">
        <x:v>1204</x:v>
      </x:c>
      <x:c r="B286" s="49" t="s">
        <x:v>1210</x:v>
      </x:c>
      <x:c r="C286" s="49" t="s">
        <x:v>244</x:v>
      </x:c>
      <x:c r="D286" s="49" t="s">
        <x:v>90</x:v>
      </x:c>
      <x:c r="E286" s="49" t="s">
        <x:v>245</x:v>
      </x:c>
      <x:c r="F286" s="49" t="s">
        <x:v>1214</x:v>
      </x:c>
      <x:c r="G286" s="60">
        <x:v>0.85</x:v>
      </x:c>
      <x:c r="H286" s="60">
        <x:v>-1.25</x:v>
      </x:c>
      <x:c r="I286" s="60">
        <x:v>0.97</x:v>
      </x:c>
      <x:c r="J286" s="49" t="s">
        <x:v>1215</x:v>
      </x:c>
      <x:c r="K286" s="49" t="s">
        <x:v>94</x:v>
      </x:c>
      <x:c r="L286" s="49" t="s">
        <x:v>1216</x:v>
      </x:c>
      <x:c r="M286" s="61">
        <x:v>0.529</x:v>
      </x:c>
      <x:c r="N286" s="49" t="s">
        <x:v>96</x:v>
      </x:c>
      <x:c r="O286" s="49" t="s">
        <x:v>421</x:v>
      </x:c>
      <x:c r="P286" s="49" t="s">
        <x:v>30</x:v>
      </x:c>
      <x:c r="Q286" s="49" t="s">
        <x:v>23</x:v>
      </x:c>
      <x:c r="R286" s="50">
        <x:v>0.97</x:v>
      </x:c>
      <x:c r="S286" s="50">
        <x:f t="shared" si="20"/>
        <x:v>-1</x:v>
      </x:c>
      <x:c r="T286" s="49" t="s">
        <x:v>98</x:v>
      </x:c>
      <x:c r="U286" s="49" t="str">
        <x:f t="shared" si="18"/>
        <x:v>红</x:v>
      </x:c>
      <x:c r="V286" s="50">
        <x:f t="shared" si="19"/>
        <x:v>0.85</x:v>
      </x:c>
      <x:c r="W286" s="50">
        <x:f t="shared" si="21"/>
        <x:v>0.85</x:v>
      </x:c>
      <x:c r="X286" s="62">
        <x:v>0.82</x:v>
      </x:c>
      <x:c r="Y286" s="62">
        <x:v>-1</x:v>
      </x:c>
      <x:c r="Z286" s="62">
        <x:v>1</x:v>
      </x:c>
      <x:c r="AA286" s="62">
        <x:v>-1</x:v>
      </x:c>
      <x:c r="AB286" s="62">
        <x:v>1</x:v>
      </x:c>
      <x:c r="AC286" s="62">
        <x:v>0.97</x:v>
      </x:c>
      <x:c r="AD286" s="60">
        <x:v>5.22</x:v>
      </x:c>
      <x:c r="AE286" s="60">
        <x:v>4.17</x:v>
      </x:c>
      <x:c r="AF286" s="60">
        <x:v>1.51</x:v>
      </x:c>
      <x:c r="AG286" s="62">
        <x:v>0.0936306903324109</x:v>
      </x:c>
      <x:c r="AH286" s="62">
        <x:v>0.0436306903324109</x:v>
      </x:c>
      <x:c r="AI286" s="62">
        <x:v>0.175169628028476</x:v>
      </x:c>
      <x:c r="AJ286" s="62">
        <x:v>0.219277088323416</x:v>
      </x:c>
      <x:c r="AK286" s="62">
        <x:v>0.605553283648108</x:v>
      </x:c>
      <x:c r="AL286" s="62">
        <x:v>0.91</x:v>
      </x:c>
      <x:c r="AM286" s="62">
        <x:v>1.9</x:v>
      </x:c>
      <x:c r="AN286" s="62">
        <x:v>0.000320860018051103</x:v>
      </x:c>
      <x:c r="AO286" s="62">
        <x:v>1.43760210183846</x:v>
      </x:c>
      <x:c r="AP286" s="62">
        <x:v>-0.467602101838457</x:v>
      </x:c>
      <x:c r="AQ286" s="62" t="s">
        <x:v>99</x:v>
      </x:c>
      <x:c r="AR286" s="49">
        <x:v>-1.25</x:v>
      </x:c>
      <x:c r="AS286" s="62">
        <x:v>0.359726854627804</x:v>
      </x:c>
      <x:c r="AT286" s="62">
        <x:v>0.517144082300668</x:v>
      </x:c>
      <x:c r="AU286" s="60">
        <x:v>5.03</x:v>
      </x:c>
      <x:c r="AV286" s="60">
        <x:v>4.24</x:v>
      </x:c>
      <x:c r="AW286" s="60">
        <x:v>1.54</x:v>
      </x:c>
      <x:c r="AX286" s="49" t="s">
        <x:v>98</x:v>
      </x:c>
      <x:c r="AY286" s="49" t="s">
        <x:v>101</x:v>
      </x:c>
    </x:row>
    <x:row r="287" ht="22" customHeight="1">
      <x:c r="A287" s="49" t="s">
        <x:v>1204</x:v>
      </x:c>
      <x:c r="B287" s="49" t="s">
        <x:v>1210</x:v>
      </x:c>
      <x:c r="C287" s="49" t="s">
        <x:v>244</x:v>
      </x:c>
      <x:c r="D287" s="49" t="s">
        <x:v>90</x:v>
      </x:c>
      <x:c r="E287" s="49" t="s">
        <x:v>245</x:v>
      </x:c>
      <x:c r="F287" s="49" t="s">
        <x:v>1217</x:v>
      </x:c>
      <x:c r="G287" s="60">
        <x:v>0.88</x:v>
      </x:c>
      <x:c r="H287" s="60">
        <x:v>-0.5</x:v>
      </x:c>
      <x:c r="I287" s="60">
        <x:v>0.94</x:v>
      </x:c>
      <x:c r="J287" s="49" t="s">
        <x:v>1218</x:v>
      </x:c>
      <x:c r="K287" s="49" t="s">
        <x:v>132</x:v>
      </x:c>
      <x:c r="L287" s="49" t="s">
        <x:v>1219</x:v>
      </x:c>
      <x:c r="M287" s="61">
        <x:v>0.559</x:v>
      </x:c>
      <x:c r="N287" s="49" t="s">
        <x:v>96</x:v>
      </x:c>
      <x:c r="O287" s="49" t="s">
        <x:v>114</x:v>
      </x:c>
      <x:c r="P287" s="49" t="s">
        <x:v>30</x:v>
      </x:c>
      <x:c r="Q287" s="49" t="s">
        <x:v>11</x:v>
      </x:c>
      <x:c r="R287" s="50">
        <x:v>0.94</x:v>
      </x:c>
      <x:c r="S287" s="50">
        <x:f t="shared" si="20"/>
        <x:v>0.94</x:v>
      </x:c>
      <x:c r="T287" s="49" t="s">
        <x:v>98</x:v>
      </x:c>
      <x:c r="U287" s="49" t="str">
        <x:f t="shared" si="18"/>
        <x:v>黑</x:v>
      </x:c>
      <x:c r="V287" s="50">
        <x:f t="shared" si="19"/>
        <x:v>0.88</x:v>
      </x:c>
      <x:c r="W287" s="50">
        <x:f t="shared" si="21"/>
        <x:v>-1</x:v>
      </x:c>
      <x:c r="X287" s="62">
        <x:v>1.04</x:v>
      </x:c>
      <x:c r="Y287" s="62">
        <x:v>-0.75</x:v>
      </x:c>
      <x:c r="Z287" s="62">
        <x:v>0.78</x:v>
      </x:c>
      <x:c r="AA287" s="62">
        <x:v>-0.75</x:v>
      </x:c>
      <x:c r="AB287" s="62">
        <x:v>0.78</x:v>
      </x:c>
      <x:c r="AC287" s="62">
        <x:v>0.94</x:v>
      </x:c>
      <x:c r="AD287" s="60">
        <x:v>4.98</x:v>
      </x:c>
      <x:c r="AE287" s="60">
        <x:v>3.96</x:v>
      </x:c>
      <x:c r="AF287" s="60">
        <x:v>1.57</x:v>
      </x:c>
      <x:c r="AG287" s="62">
        <x:v>0.0902711405358938</x:v>
      </x:c>
      <x:c r="AH287" s="62">
        <x:v>0.0402711405358938</x:v>
      </x:c>
      <x:c r="AI287" s="62">
        <x:v>0.184177316435897</x:v>
      </x:c>
      <x:c r="AJ287" s="62">
        <x:v>0.231616928245143</x:v>
      </x:c>
      <x:c r="AK287" s="62">
        <x:v>0.58420575531896</x:v>
      </x:c>
      <x:c r="AL287" s="62">
        <x:v>0.88</x:v>
      </x:c>
      <x:c r="AM287" s="62">
        <x:v>1.77</x:v>
      </x:c>
      <x:c r="AN287" s="62">
        <x:v>8.49092602977449e-5</x:v>
      </x:c>
      <x:c r="AO287" s="62">
        <x:v>0.711840500887973</x:v>
      </x:c>
      <x:c r="AP287" s="62">
        <x:v>0.228159499112027</x:v>
      </x:c>
      <x:c r="AQ287" s="62" t="s">
        <x:v>165</x:v>
      </x:c>
      <x:c r="AR287" s="49">
        <x:v>-0.5</x:v>
      </x:c>
      <x:c r="AS287" s="62">
        <x:v>0.584166573627202</x:v>
      </x:c>
      <x:c r="AT287" s="62">
        <x:v>0.415833426372798</x:v>
      </x:c>
      <x:c r="AU287" s="60">
        <x:v>3.81</x:v>
      </x:c>
      <x:c r="AV287" s="60">
        <x:v>3.55</x:v>
      </x:c>
      <x:c r="AW287" s="60">
        <x:v>1.85</x:v>
      </x:c>
      <x:c r="AX287" s="49" t="s">
        <x:v>98</x:v>
      </x:c>
      <x:c r="AY287" s="49" t="s">
        <x:v>101</x:v>
      </x:c>
    </x:row>
    <x:row r="288" ht="22" customHeight="1">
      <x:c r="A288" s="49" t="s">
        <x:v>1204</x:v>
      </x:c>
      <x:c r="B288" s="49" t="s">
        <x:v>1210</x:v>
      </x:c>
      <x:c r="C288" s="49" t="s">
        <x:v>244</x:v>
      </x:c>
      <x:c r="D288" s="49" t="s">
        <x:v>90</x:v>
      </x:c>
      <x:c r="E288" s="49" t="s">
        <x:v>245</x:v>
      </x:c>
      <x:c r="F288" s="49" t="s">
        <x:v>1220</x:v>
      </x:c>
      <x:c r="G288" s="60">
        <x:v>0.96</x:v>
      </x:c>
      <x:c r="H288" s="60">
        <x:v>-0.75</x:v>
      </x:c>
      <x:c r="I288" s="60">
        <x:v>0.86</x:v>
      </x:c>
      <x:c r="J288" s="49" t="s">
        <x:v>1221</x:v>
      </x:c>
      <x:c r="K288" s="49" t="s">
        <x:v>132</x:v>
      </x:c>
      <x:c r="L288" s="49" t="s">
        <x:v>272</x:v>
      </x:c>
      <x:c r="M288" s="61">
        <x:v>0.559</x:v>
      </x:c>
      <x:c r="N288" s="49" t="s">
        <x:v>96</x:v>
      </x:c>
      <x:c r="O288" s="49" t="s">
        <x:v>191</x:v>
      </x:c>
      <x:c r="P288" s="49" t="s">
        <x:v>30</x:v>
      </x:c>
      <x:c r="Q288" s="49" t="s">
        <x:v>14</x:v>
      </x:c>
      <x:c r="R288" s="50">
        <x:v>0.86</x:v>
      </x:c>
      <x:c r="S288" s="50">
        <x:f t="shared" si="20"/>
        <x:v>0.43</x:v>
      </x:c>
      <x:c r="T288" s="49" t="s">
        <x:v>98</x:v>
      </x:c>
      <x:c r="U288" s="49" t="str">
        <x:f t="shared" si="18"/>
        <x:v>半黑</x:v>
      </x:c>
      <x:c r="V288" s="50">
        <x:f t="shared" si="19"/>
        <x:v>0.96</x:v>
      </x:c>
      <x:c r="W288" s="50">
        <x:f t="shared" si="21"/>
        <x:v>-0.5</x:v>
      </x:c>
      <x:c r="X288" s="62">
        <x:v>0.86</x:v>
      </x:c>
      <x:c r="Y288" s="62">
        <x:v>-1</x:v>
      </x:c>
      <x:c r="Z288" s="62">
        <x:v>0.96</x:v>
      </x:c>
      <x:c r="AA288" s="62">
        <x:v>-1</x:v>
      </x:c>
      <x:c r="AB288" s="62">
        <x:v>0.96</x:v>
      </x:c>
      <x:c r="AC288" s="62">
        <x:v>0.86</x:v>
      </x:c>
      <x:c r="AD288" s="60">
        <x:v>5.5</x:v>
      </x:c>
      <x:c r="AE288" s="60">
        <x:v>4.16</x:v>
      </x:c>
      <x:c r="AF288" s="60">
        <x:v>1.49</x:v>
      </x:c>
      <x:c r="AG288" s="62">
        <x:v>0.0933437368001127</x:v>
      </x:c>
      <x:c r="AH288" s="62">
        <x:v>0.0433437368001127</x:v>
      </x:c>
      <x:c r="AI288" s="62">
        <x:v>0.166295535153756</x:v>
      </x:c>
      <x:c r="AJ288" s="62">
        <x:v>0.219861885419629</x:v>
      </x:c>
      <x:c r="AK288" s="62">
        <x:v>0.613842579426615</x:v>
      </x:c>
      <x:c r="AL288" s="62">
        <x:v>0.86</x:v>
      </x:c>
      <x:c r="AM288" s="62">
        <x:v>1.88</x:v>
      </x:c>
      <x:c r="AN288" s="62">
        <x:v>0.000211156214729896</x:v>
      </x:c>
      <x:c r="AO288" s="62">
        <x:v>0.789227389198066</x:v>
      </x:c>
      <x:c r="AP288" s="62">
        <x:v>0.0707726108019338</x:v>
      </x:c>
      <x:c r="AQ288" s="62" t="s">
        <x:v>165</x:v>
      </x:c>
      <x:c r="AR288" s="49">
        <x:v>-0.75</x:v>
      </x:c>
      <x:c r="AS288" s="62">
        <x:v>0.489083590688228</x:v>
      </x:c>
      <x:c r="AT288" s="62">
        <x:v>0.385998165378486</x:v>
      </x:c>
      <x:c r="AU288" s="60">
        <x:v>4.79</x:v>
      </x:c>
      <x:c r="AV288" s="60">
        <x:v>3.81</x:v>
      </x:c>
      <x:c r="AW288" s="60">
        <x:v>1.62</x:v>
      </x:c>
      <x:c r="AX288" s="49" t="s">
        <x:v>98</x:v>
      </x:c>
      <x:c r="AY288" s="49" t="s">
        <x:v>101</x:v>
      </x:c>
    </x:row>
    <x:row r="289" ht="22" customHeight="1">
      <x:c r="A289" s="49" t="s">
        <x:v>1204</x:v>
      </x:c>
      <x:c r="B289" s="49" t="s">
        <x:v>1222</x:v>
      </x:c>
      <x:c r="C289" s="49" t="s">
        <x:v>239</x:v>
      </x:c>
      <x:c r="D289" s="49" t="s">
        <x:v>116</x:v>
      </x:c>
      <x:c r="E289" s="49" t="s">
        <x:v>669</x:v>
      </x:c>
      <x:c r="F289" s="49" t="s">
        <x:v>1223</x:v>
      </x:c>
      <x:c r="G289" s="60">
        <x:v>0.87</x:v>
      </x:c>
      <x:c r="H289" s="60">
        <x:v>1</x:v>
      </x:c>
      <x:c r="I289" s="60">
        <x:v>1.02</x:v>
      </x:c>
      <x:c r="J289" s="49" t="s">
        <x:v>1224</x:v>
      </x:c>
      <x:c r="K289" s="49" t="s">
        <x:v>94</x:v>
      </x:c>
      <x:c r="L289" s="49" t="s">
        <x:v>1225</x:v>
      </x:c>
      <x:c r="M289" s="61">
        <x:v>0.542</x:v>
      </x:c>
      <x:c r="N289" s="49" t="s">
        <x:v>96</x:v>
      </x:c>
      <x:c r="O289" s="49" t="s">
        <x:v>178</x:v>
      </x:c>
      <x:c r="P289" s="49" t="s">
        <x:v>30</x:v>
      </x:c>
      <x:c r="Q289" s="49" t="s">
        <x:v>17</x:v>
      </x:c>
      <x:c r="R289" s="50">
        <x:v>1.02</x:v>
      </x:c>
      <x:c r="S289" s="50">
        <x:f t="shared" si="20"/>
        <x:v>0</x:v>
      </x:c>
      <x:c r="T289" s="49" t="s">
        <x:v>98</x:v>
      </x:c>
      <x:c r="U289" s="49" t="str">
        <x:f t="shared" si="18"/>
        <x:v>走</x:v>
      </x:c>
      <x:c r="V289" s="50">
        <x:f t="shared" si="19"/>
        <x:v>0.87</x:v>
      </x:c>
      <x:c r="W289" s="50">
        <x:f t="shared" si="21"/>
        <x:v>0</x:v>
      </x:c>
      <x:c r="X289" s="62">
        <x:v>0.82</x:v>
      </x:c>
      <x:c r="Y289" s="62">
        <x:v>0.75</x:v>
      </x:c>
      <x:c r="Z289" s="62">
        <x:v>1.06</x:v>
      </x:c>
      <x:c r="AA289" s="62">
        <x:v>0.75</x:v>
      </x:c>
      <x:c r="AB289" s="62">
        <x:v>1.06</x:v>
      </x:c>
      <x:c r="AC289" s="62">
        <x:v>1.02</x:v>
      </x:c>
      <x:c r="AD289" s="60">
        <x:v>1.6</x:v>
      </x:c>
      <x:c r="AE289" s="60">
        <x:v>3.83</x:v>
      </x:c>
      <x:c r="AF289" s="60">
        <x:v>4.91</x:v>
      </x:c>
      <x:c r="AG289" s="62">
        <x:v>0.0897625935241659</x:v>
      </x:c>
      <x:c r="AH289" s="62">
        <x:v>0.0397625935241659</x:v>
      </x:c>
      <x:c r="AI289" s="62">
        <x:v>0.573519410295432</x:v>
      </x:c>
      <x:c r="AJ289" s="62">
        <x:v>0.239590354170415</x:v>
      </x:c>
      <x:c r="AK289" s="62">
        <x:v>0.186890235534153</x:v>
      </x:c>
      <x:c r="AL289" s="62">
        <x:v>1.69</x:v>
      </x:c>
      <x:c r="AM289" s="62">
        <x:v>0.85</x:v>
      </x:c>
      <x:c r="AN289" s="62">
        <x:v>0.000443397872413313</x:v>
      </x:c>
      <x:c r="AO289" s="62">
        <x:v>0.744570645979667</x:v>
      </x:c>
      <x:c r="AP289" s="62">
        <x:v>0.275429354020332</x:v>
      </x:c>
      <x:c r="AQ289" s="62" t="s">
        <x:v>142</x:v>
      </x:c>
      <x:c r="AR289" s="49">
        <x:v>1</x:v>
      </x:c>
      <x:c r="AS289" s="62">
        <x:v>0.427104623537558</x:v>
      </x:c>
      <x:c r="AT289" s="62">
        <x:v>0.318009565448262</x:v>
      </x:c>
      <x:c r="AU289" s="60">
        <x:v>1.52</x:v>
      </x:c>
      <x:c r="AV289" s="60">
        <x:v>4.18</x:v>
      </x:c>
      <x:c r="AW289" s="60">
        <x:v>5.46</x:v>
      </x:c>
      <x:c r="AX289" s="49" t="s">
        <x:v>98</x:v>
      </x:c>
      <x:c r="AY289" s="49" t="s">
        <x:v>101</x:v>
      </x:c>
    </x:row>
    <x:row r="290" ht="22" customHeight="1">
      <x:c r="A290" s="49" t="s">
        <x:v>1204</x:v>
      </x:c>
      <x:c r="B290" s="49" t="s">
        <x:v>1222</x:v>
      </x:c>
      <x:c r="C290" s="49" t="s">
        <x:v>239</x:v>
      </x:c>
      <x:c r="D290" s="49" t="s">
        <x:v>116</x:v>
      </x:c>
      <x:c r="E290" s="49" t="s">
        <x:v>669</x:v>
      </x:c>
      <x:c r="F290" s="49" t="s">
        <x:v>1226</x:v>
      </x:c>
      <x:c r="G290" s="60">
        <x:v>1.05</x:v>
      </x:c>
      <x:c r="H290" s="60">
        <x:v>0</x:v>
      </x:c>
      <x:c r="I290" s="60">
        <x:v>0.84</x:v>
      </x:c>
      <x:c r="J290" s="49" t="s">
        <x:v>1227</x:v>
      </x:c>
      <x:c r="K290" s="49" t="s">
        <x:v>132</x:v>
      </x:c>
      <x:c r="L290" s="49" t="s">
        <x:v>1228</x:v>
      </x:c>
      <x:c r="M290" s="61">
        <x:v>0.571</x:v>
      </x:c>
      <x:c r="N290" s="49" t="s">
        <x:v>96</x:v>
      </x:c>
      <x:c r="O290" s="49" t="s">
        <x:v>149</x:v>
      </x:c>
      <x:c r="P290" s="49" t="s">
        <x:v>30</x:v>
      </x:c>
      <x:c r="Q290" s="49" t="s">
        <x:v>17</x:v>
      </x:c>
      <x:c r="R290" s="50">
        <x:v>1.05</x:v>
      </x:c>
      <x:c r="S290" s="50">
        <x:f t="shared" si="20"/>
        <x:v>0</x:v>
      </x:c>
      <x:c r="T290" s="49" t="s">
        <x:v>98</x:v>
      </x:c>
      <x:c r="U290" s="49" t="str">
        <x:f t="shared" si="18"/>
        <x:v>走</x:v>
      </x:c>
      <x:c r="V290" s="50">
        <x:f t="shared" si="19"/>
        <x:v>0.84</x:v>
      </x:c>
      <x:c r="W290" s="50">
        <x:f t="shared" si="21"/>
        <x:v>0</x:v>
      </x:c>
      <x:c r="X290" s="62">
        <x:v>1.08</x:v>
      </x:c>
      <x:c r="Y290" s="62">
        <x:v>0.25</x:v>
      </x:c>
      <x:c r="Z290" s="62">
        <x:v>0.8</x:v>
      </x:c>
      <x:c r="AA290" s="62">
        <x:v>-0.25</x:v>
      </x:c>
      <x:c r="AB290" s="62">
        <x:v>1.08</x:v>
      </x:c>
      <x:c r="AC290" s="62">
        <x:v>1.05</x:v>
      </x:c>
      <x:c r="AD290" s="60">
        <x:v>2.37</x:v>
      </x:c>
      <x:c r="AE290" s="60">
        <x:v>3.11</x:v>
      </x:c>
      <x:c r="AF290" s="60">
        <x:v>2.91</x:v>
      </x:c>
      <x:c r="AG290" s="62">
        <x:v>0.0871269483140196</x:v>
      </x:c>
      <x:c r="AH290" s="62">
        <x:v>0.0371269483140196</x:v>
      </x:c>
      <x:c r="AI290" s="62">
        <x:v>0.38812479897073</x:v>
      </x:c>
      <x:c r="AJ290" s="62">
        <x:v>0.295773560630428</x:v>
      </x:c>
      <x:c r="AK290" s="62">
        <x:v>0.316101640398842</x:v>
      </x:c>
      <x:c r="AL290" s="62">
        <x:v>1.14</x:v>
      </x:c>
      <x:c r="AM290" s="62">
        <x:v>1</x:v>
      </x:c>
      <x:c r="AN290" s="62">
        <x:v>0.000512230982755954</x:v>
      </x:c>
      <x:c r="AO290" s="62">
        <x:v>0.816413950831783</x:v>
      </x:c>
      <x:c r="AP290" s="62">
        <x:v>0.233586049168218</x:v>
      </x:c>
      <x:c r="AQ290" s="62" t="s">
        <x:v>135</x:v>
      </x:c>
      <x:c r="AR290" s="49">
        <x:v>0</x:v>
      </x:c>
      <x:c r="AS290" s="62">
        <x:v>0.388011432029869</x:v>
      </x:c>
      <x:c r="AT290" s="62">
        <x:v>0.316777946191403</x:v>
      </x:c>
      <x:c r="AU290" s="60">
        <x:v>2.59</x:v>
      </x:c>
      <x:c r="AV290" s="60">
        <x:v>3.03</x:v>
      </x:c>
      <x:c r="AW290" s="60">
        <x:v>2.73</x:v>
      </x:c>
      <x:c r="AX290" s="49" t="s">
        <x:v>98</x:v>
      </x:c>
      <x:c r="AY290" s="49" t="s">
        <x:v>101</x:v>
      </x:c>
    </x:row>
    <x:row r="291" ht="22" customHeight="1">
      <x:c r="A291" s="49" t="s">
        <x:v>1204</x:v>
      </x:c>
      <x:c r="B291" s="49" t="s">
        <x:v>1229</x:v>
      </x:c>
      <x:c r="C291" s="49" t="s">
        <x:v>244</x:v>
      </x:c>
      <x:c r="D291" s="49" t="s">
        <x:v>90</x:v>
      </x:c>
      <x:c r="E291" s="49" t="s">
        <x:v>1167</x:v>
      </x:c>
      <x:c r="F291" s="49" t="s">
        <x:v>1230</x:v>
      </x:c>
      <x:c r="G291" s="60">
        <x:v>0.54</x:v>
      </x:c>
      <x:c r="H291" s="60">
        <x:v>-0.75</x:v>
      </x:c>
      <x:c r="I291" s="60">
        <x:v>1.28</x:v>
      </x:c>
      <x:c r="J291" s="49" t="s">
        <x:v>1231</x:v>
      </x:c>
      <x:c r="K291" s="49" t="s">
        <x:v>132</x:v>
      </x:c>
      <x:c r="L291" s="49" t="s">
        <x:v>1232</x:v>
      </x:c>
      <x:c r="M291" s="61">
        <x:v>0.559</x:v>
      </x:c>
      <x:c r="N291" s="49" t="s">
        <x:v>96</x:v>
      </x:c>
      <x:c r="O291" s="49" t="s">
        <x:v>317</x:v>
      </x:c>
      <x:c r="P291" s="49" t="s">
        <x:v>30</x:v>
      </x:c>
      <x:c r="Q291" s="49" t="s">
        <x:v>23</x:v>
      </x:c>
      <x:c r="R291" s="50">
        <x:v>1.28</x:v>
      </x:c>
      <x:c r="S291" s="50">
        <x:f t="shared" si="20"/>
        <x:v>-1</x:v>
      </x:c>
      <x:c r="T291" s="49" t="s">
        <x:v>98</x:v>
      </x:c>
      <x:c r="U291" s="49" t="str">
        <x:f t="shared" si="18"/>
        <x:v>红</x:v>
      </x:c>
      <x:c r="V291" s="50">
        <x:f t="shared" si="19"/>
        <x:v>0.54</x:v>
      </x:c>
      <x:c r="W291" s="50">
        <x:f t="shared" si="21"/>
        <x:v>0.54</x:v>
      </x:c>
      <x:c r="X291" s="62">
        <x:v>0.82</x:v>
      </x:c>
      <x:c r="Y291" s="62">
        <x:v>-1</x:v>
      </x:c>
      <x:c r="Z291" s="62">
        <x:v>0.94</x:v>
      </x:c>
      <x:c r="AA291" s="62">
        <x:v>-1</x:v>
      </x:c>
      <x:c r="AB291" s="62">
        <x:v>0.94</x:v>
      </x:c>
      <x:c r="AC291" s="62">
        <x:v>1.28</x:v>
      </x:c>
      <x:c r="AD291" s="60">
        <x:v>6.05</x:v>
      </x:c>
      <x:c r="AE291" s="60">
        <x:v>4.6</x:v>
      </x:c>
      <x:c r="AF291" s="60">
        <x:v>1.4</x:v>
      </x:c>
      <x:c r="AG291" s="62">
        <x:v>0.0969662748318876</x:v>
      </x:c>
      <x:c r="AH291" s="62">
        <x:v>0.0469662748318876</x:v>
      </x:c>
      <x:c r="AI291" s="62">
        <x:v>0.15067852129153</x:v>
      </x:c>
      <x:c r="AJ291" s="62">
        <x:v>0.198175011698643</x:v>
      </x:c>
      <x:c r="AK291" s="62">
        <x:v>0.651146467009827</x:v>
      </x:c>
      <x:c r="AL291" s="62">
        <x:v>0.91</x:v>
      </x:c>
      <x:c r="AM291" s="62">
        <x:v>2.12</x:v>
      </x:c>
      <x:c r="AN291" s="62">
        <x:v>0.000590941521461889</x:v>
      </x:c>
      <x:c r="AO291" s="62">
        <x:v>0.654057185808841</x:v>
      </x:c>
      <x:c r="AP291" s="62">
        <x:v>0.625942814191159</x:v>
      </x:c>
      <x:c r="AQ291" s="62" t="s">
        <x:v>165</x:v>
      </x:c>
      <x:c r="AR291" s="49">
        <x:v>-0.75</x:v>
      </x:c>
      <x:c r="AS291" s="62">
        <x:v>0.532438037981226</x:v>
      </x:c>
      <x:c r="AT291" s="62">
        <x:v>0.348244924739582</x:v>
      </x:c>
      <x:c r="AU291" s="60">
        <x:v>3.22</x:v>
      </x:c>
      <x:c r="AV291" s="60">
        <x:v>3.87</x:v>
      </x:c>
      <x:c r="AW291" s="60">
        <x:v>1.85</x:v>
      </x:c>
      <x:c r="AX291" s="49" t="s">
        <x:v>98</x:v>
      </x:c>
      <x:c r="AY291" s="49" t="s">
        <x:v>101</x:v>
      </x:c>
    </x:row>
    <x:row r="292" ht="22" customHeight="1">
      <x:c r="A292" s="49" t="s">
        <x:v>1204</x:v>
      </x:c>
      <x:c r="B292" s="49" t="s">
        <x:v>1233</x:v>
      </x:c>
      <x:c r="C292" s="49" t="s">
        <x:v>136</x:v>
      </x:c>
      <x:c r="D292" s="49" t="s">
        <x:v>116</x:v>
      </x:c>
      <x:c r="E292" s="49" t="s">
        <x:v>769</x:v>
      </x:c>
      <x:c r="F292" s="49" t="s">
        <x:v>1234</x:v>
      </x:c>
      <x:c r="G292" s="60">
        <x:v>1</x:v>
      </x:c>
      <x:c r="H292" s="60">
        <x:v>1.25</x:v>
      </x:c>
      <x:c r="I292" s="60">
        <x:v>0.86</x:v>
      </x:c>
      <x:c r="J292" s="49" t="s">
        <x:v>1235</x:v>
      </x:c>
      <x:c r="K292" s="49" t="s">
        <x:v>189</x:v>
      </x:c>
      <x:c r="L292" s="49" t="s">
        <x:v>1236</x:v>
      </x:c>
      <x:c r="M292" s="61">
        <x:v>0.527</x:v>
      </x:c>
      <x:c r="N292" s="49" t="s">
        <x:v>96</x:v>
      </x:c>
      <x:c r="O292" s="49" t="s">
        <x:v>141</x:v>
      </x:c>
      <x:c r="P292" s="49" t="s">
        <x:v>30</x:v>
      </x:c>
      <x:c r="Q292" s="49" t="s">
        <x:v>11</x:v>
      </x:c>
      <x:c r="R292" s="50">
        <x:v>1</x:v>
      </x:c>
      <x:c r="S292" s="50">
        <x:f t="shared" si="20"/>
        <x:v>1</x:v>
      </x:c>
      <x:c r="T292" s="49" t="s">
        <x:v>98</x:v>
      </x:c>
      <x:c r="U292" s="49" t="str">
        <x:f t="shared" si="18"/>
        <x:v>黑</x:v>
      </x:c>
      <x:c r="V292" s="50">
        <x:f t="shared" si="19"/>
        <x:v>0.86</x:v>
      </x:c>
      <x:c r="W292" s="50">
        <x:f t="shared" si="21"/>
        <x:v>-1</x:v>
      </x:c>
      <x:c r="X292" s="62">
        <x:v>0.94</x:v>
      </x:c>
      <x:c r="Y292" s="62">
        <x:v>1</x:v>
      </x:c>
      <x:c r="Z292" s="62">
        <x:v>0.82</x:v>
      </x:c>
      <x:c r="AA292" s="62">
        <x:v>-1</x:v>
      </x:c>
      <x:c r="AB292" s="62">
        <x:v>0.94</x:v>
      </x:c>
      <x:c r="AC292" s="62">
        <x:v>1</x:v>
      </x:c>
      <x:c r="AD292" s="60">
        <x:v>1.46</x:v>
      </x:c>
      <x:c r="AE292" s="60">
        <x:v>4.17</x:v>
      </x:c>
      <x:c r="AF292" s="60">
        <x:v>5.62</x:v>
      </x:c>
      <x:c r="AG292" s="62">
        <x:v>0.102675603387031</x:v>
      </x:c>
      <x:c r="AH292" s="62">
        <x:v>0.0526756033870315</x:v>
      </x:c>
      <x:c r="AI292" s="62">
        <x:v>0.621154131591781</x:v>
      </x:c>
      <x:c r="AJ292" s="62">
        <x:v>0.217478424969784</x:v>
      </x:c>
      <x:c r="AK292" s="62">
        <x:v>0.161367443438434</x:v>
      </x:c>
      <x:c r="AL292" s="62">
        <x:v>1.89</x:v>
      </x:c>
      <x:c r="AM292" s="62">
        <x:v>0.84</x:v>
      </x:c>
      <x:c r="AN292" s="62">
        <x:v>0.000340515975473088</x:v>
      </x:c>
      <x:c r="AO292" s="62">
        <x:v>1.36083485471038</x:v>
      </x:c>
      <x:c r="AP292" s="62">
        <x:v>-0.360834854710384</x:v>
      </x:c>
      <x:c r="AQ292" s="62" t="s">
        <x:v>99</x:v>
      </x:c>
      <x:c r="AR292" s="49">
        <x:v>-1.25</x:v>
      </x:c>
      <x:c r="AS292" s="62">
        <x:v>0.370480305589743</x:v>
      </x:c>
      <x:c r="AT292" s="62">
        <x:v>0.504162512830277</x:v>
      </x:c>
      <x:c r="AU292" s="60">
        <x:v>1.43</x:v>
      </x:c>
      <x:c r="AV292" s="60">
        <x:v>4.35</x:v>
      </x:c>
      <x:c r="AW292" s="60">
        <x:v>5.77</x:v>
      </x:c>
      <x:c r="AX292" s="49" t="s">
        <x:v>98</x:v>
      </x:c>
      <x:c r="AY292" s="49" t="s">
        <x:v>101</x:v>
      </x:c>
    </x:row>
    <x:row r="293" ht="22" customHeight="1">
      <x:c r="A293" s="49" t="s">
        <x:v>1204</x:v>
      </x:c>
      <x:c r="B293" s="49" t="s">
        <x:v>1237</x:v>
      </x:c>
      <x:c r="C293" s="49" t="s">
        <x:v>1188</x:v>
      </x:c>
      <x:c r="D293" s="49" t="s">
        <x:v>90</x:v>
      </x:c>
      <x:c r="E293" s="49" t="s">
        <x:v>1189</x:v>
      </x:c>
      <x:c r="F293" s="49" t="s">
        <x:v>1238</x:v>
      </x:c>
      <x:c r="G293" s="60">
        <x:v>0.81</x:v>
      </x:c>
      <x:c r="H293" s="60">
        <x:v>3</x:v>
      </x:c>
      <x:c r="I293" s="60">
        <x:v>1.08</x:v>
      </x:c>
      <x:c r="J293" s="49" t="s">
        <x:v>1239</x:v>
      </x:c>
      <x:c r="K293" s="49" t="s">
        <x:v>106</x:v>
      </x:c>
      <x:c r="L293" s="49" t="s">
        <x:v>1240</x:v>
      </x:c>
      <x:c r="M293" s="61">
        <x:v>0.585</x:v>
      </x:c>
      <x:c r="N293" s="49" t="s">
        <x:v>96</x:v>
      </x:c>
      <x:c r="O293" s="49" t="s">
        <x:v>1241</x:v>
      </x:c>
      <x:c r="P293" s="49" t="s">
        <x:v>30</x:v>
      </x:c>
      <x:c r="Q293" s="49" t="s">
        <x:v>11</x:v>
      </x:c>
      <x:c r="R293" s="50">
        <x:v>0.81</x:v>
      </x:c>
      <x:c r="S293" s="50">
        <x:f t="shared" si="20"/>
        <x:v>0.81</x:v>
      </x:c>
      <x:c r="T293" s="49" t="s">
        <x:v>98</x:v>
      </x:c>
      <x:c r="U293" s="49" t="str">
        <x:f t="shared" si="18"/>
        <x:v>黑</x:v>
      </x:c>
      <x:c r="V293" s="50">
        <x:f t="shared" si="19"/>
        <x:v>1.08</x:v>
      </x:c>
      <x:c r="W293" s="50">
        <x:f t="shared" si="21"/>
        <x:v>-1</x:v>
      </x:c>
      <x:c r="X293" s="62">
        <x:v>0.87</x:v>
      </x:c>
      <x:c r="Y293" s="62">
        <x:v>2.25</x:v>
      </x:c>
      <x:c r="Z293" s="62">
        <x:v>1.01</x:v>
      </x:c>
      <x:c r="AA293" s="62">
        <x:v>-2.25</x:v>
      </x:c>
      <x:c r="AB293" s="62">
        <x:v>0.87</x:v>
      </x:c>
      <x:c r="AC293" s="62">
        <x:v>0.81</x:v>
      </x:c>
      <x:c r="AD293" s="60">
        <x:v>1.13</x:v>
      </x:c>
      <x:c r="AE293" s="60">
        <x:v>9.37</x:v>
      </x:c>
      <x:c r="AF293" s="60">
        <x:v>17</x:v>
      </x:c>
      <x:c r="AG293" s="62">
        <x:v>0.0505028675366408</x:v>
      </x:c>
      <x:c r="AH293" s="62">
        <x:v>0.000502867536640791</x:v>
      </x:c>
      <x:c r="AI293" s="62">
        <x:v>0.842411553133169</x:v>
      </x:c>
      <x:c r="AJ293" s="62">
        <x:v>0.101592855393861</x:v>
      </x:c>
      <x:c r="AK293" s="62">
        <x:v>0.0559955914729695</x:v>
      </x:c>
      <x:c r="AL293" s="62">
        <x:v>3.24</x:v>
      </x:c>
      <x:c r="AM293" s="62">
        <x:v>0.78</x:v>
      </x:c>
      <x:c r="AN293" s="62">
        <x:v>0.000218175717843128</x:v>
      </x:c>
      <x:c r="AO293" s="62">
        <x:v>1.86584256602533</x:v>
      </x:c>
      <x:c r="AP293" s="62">
        <x:v>-1.05584256602533</x:v>
      </x:c>
      <x:c r="AQ293" s="62" t="s">
        <x:v>99</x:v>
      </x:c>
      <x:c r="AR293" s="49">
        <x:v>-3</x:v>
      </x:c>
      <x:c r="AS293" s="62">
        <x:v>0.284445027956649</x:v>
      </x:c>
      <x:c r="AT293" s="62">
        <x:v>0.53072964085578</x:v>
      </x:c>
      <x:c r="AU293" s="60">
        <x:v>1.08</x:v>
      </x:c>
      <x:c r="AV293" s="60">
        <x:v>12.8</x:v>
      </x:c>
      <x:c r="AW293" s="60">
        <x:v>26.54</x:v>
      </x:c>
      <x:c r="AX293" s="49" t="s">
        <x:v>98</x:v>
      </x:c>
      <x:c r="AY293" s="49" t="s">
        <x:v>101</x:v>
      </x:c>
    </x:row>
    <x:row r="294" ht="22" customHeight="1">
      <x:c r="A294" s="49" t="s">
        <x:v>1204</x:v>
      </x:c>
      <x:c r="B294" s="49" t="s">
        <x:v>1237</x:v>
      </x:c>
      <x:c r="C294" s="49" t="s">
        <x:v>1188</x:v>
      </x:c>
      <x:c r="D294" s="49" t="s">
        <x:v>90</x:v>
      </x:c>
      <x:c r="E294" s="49" t="s">
        <x:v>1189</x:v>
      </x:c>
      <x:c r="F294" s="49" t="s">
        <x:v>1242</x:v>
      </x:c>
      <x:c r="G294" s="60">
        <x:v>1.04</x:v>
      </x:c>
      <x:c r="H294" s="60">
        <x:v>2</x:v>
      </x:c>
      <x:c r="I294" s="60">
        <x:v>0.85</x:v>
      </x:c>
      <x:c r="J294" s="49" t="s">
        <x:v>1243</x:v>
      </x:c>
      <x:c r="K294" s="49" t="s">
        <x:v>189</x:v>
      </x:c>
      <x:c r="L294" s="49" t="s">
        <x:v>600</x:v>
      </x:c>
      <x:c r="M294" s="61">
        <x:v>0.532</x:v>
      </x:c>
      <x:c r="N294" s="49" t="s">
        <x:v>96</x:v>
      </x:c>
      <x:c r="O294" s="49" t="s">
        <x:v>197</x:v>
      </x:c>
      <x:c r="P294" s="49" t="s">
        <x:v>30</x:v>
      </x:c>
      <x:c r="Q294" s="49" t="s">
        <x:v>17</x:v>
      </x:c>
      <x:c r="R294" s="50">
        <x:v>1.04</x:v>
      </x:c>
      <x:c r="S294" s="50">
        <x:f t="shared" si="20"/>
        <x:v>0</x:v>
      </x:c>
      <x:c r="T294" s="49" t="s">
        <x:v>98</x:v>
      </x:c>
      <x:c r="U294" s="49" t="str">
        <x:f t="shared" si="18"/>
        <x:v>走</x:v>
      </x:c>
      <x:c r="V294" s="50">
        <x:f t="shared" si="19"/>
        <x:v>0.85</x:v>
      </x:c>
      <x:c r="W294" s="50">
        <x:f t="shared" si="21"/>
        <x:v>0</x:v>
      </x:c>
      <x:c r="X294" s="62">
        <x:v>1</x:v>
      </x:c>
      <x:c r="Y294" s="62">
        <x:v>1.75</x:v>
      </x:c>
      <x:c r="Z294" s="62">
        <x:v>0.88</x:v>
      </x:c>
      <x:c r="AA294" s="62">
        <x:v>-1.75</x:v>
      </x:c>
      <x:c r="AB294" s="62">
        <x:v>1</x:v>
      </x:c>
      <x:c r="AC294" s="62">
        <x:v>1.04</x:v>
      </x:c>
      <x:c r="AD294" s="60">
        <x:v>1.28</x:v>
      </x:c>
      <x:c r="AE294" s="60">
        <x:v>6.08</x:v>
      </x:c>
      <x:c r="AF294" s="60">
        <x:v>9.23</x:v>
      </x:c>
      <x:c r="AG294" s="62">
        <x:v>0.054066046074015</x:v>
      </x:c>
      <x:c r="AH294" s="62">
        <x:v>0.00406604607401499</x:v>
      </x:c>
      <x:c r="AI294" s="62">
        <x:v>0.741177465026837</x:v>
      </x:c>
      <x:c r="AJ294" s="62">
        <x:v>0.156037361058282</x:v>
      </x:c>
      <x:c r="AK294" s="62">
        <x:v>0.102785173914881</x:v>
      </x:c>
      <x:c r="AL294" s="62">
        <x:v>2.55</x:v>
      </x:c>
      <x:c r="AM294" s="62">
        <x:v>0.85</x:v>
      </x:c>
      <x:c r="AN294" s="62">
        <x:v>0.000211407997642918</x:v>
      </x:c>
      <x:c r="AO294" s="62">
        <x:v>1.52400530981835</x:v>
      </x:c>
      <x:c r="AP294" s="62">
        <x:v>-0.484005309818349</x:v>
      </x:c>
      <x:c r="AQ294" s="62" t="s">
        <x:v>99</x:v>
      </x:c>
      <x:c r="AR294" s="49">
        <x:v>-2</x:v>
      </x:c>
      <x:c r="AS294" s="62">
        <x:v>0.312398455238707</x:v>
      </x:c>
      <x:c r="AT294" s="62">
        <x:v>0.476096904562839</x:v>
      </x:c>
      <x:c r="AU294" s="60">
        <x:v>1.25</x:v>
      </x:c>
      <x:c r="AV294" s="60">
        <x:v>6.75</x:v>
      </x:c>
      <x:c r="AW294" s="60">
        <x:v>9.81</x:v>
      </x:c>
      <x:c r="AX294" s="49" t="s">
        <x:v>98</x:v>
      </x:c>
      <x:c r="AY294" s="49" t="s">
        <x:v>101</x:v>
      </x:c>
    </x:row>
    <x:row r="295" ht="22" customHeight="1">
      <x:c r="A295" s="49" t="s">
        <x:v>1204</x:v>
      </x:c>
      <x:c r="B295" s="49" t="s">
        <x:v>1244</x:v>
      </x:c>
      <x:c r="C295" s="49" t="s">
        <x:v>333</x:v>
      </x:c>
      <x:c r="D295" s="49" t="s">
        <x:v>90</x:v>
      </x:c>
      <x:c r="E295" s="49" t="s">
        <x:v>1245</x:v>
      </x:c>
      <x:c r="F295" s="49" t="s">
        <x:v>1246</x:v>
      </x:c>
      <x:c r="G295" s="60">
        <x:v>0.84</x:v>
      </x:c>
      <x:c r="H295" s="60">
        <x:v>0.25</x:v>
      </x:c>
      <x:c r="I295" s="60">
        <x:v>0.98</x:v>
      </x:c>
      <x:c r="J295" s="49" t="s">
        <x:v>1247</x:v>
      </x:c>
      <x:c r="K295" s="49" t="s">
        <x:v>106</x:v>
      </x:c>
      <x:c r="L295" s="49" t="s">
        <x:v>1248</x:v>
      </x:c>
      <x:c r="M295" s="61">
        <x:v>0.587</x:v>
      </x:c>
      <x:c r="N295" s="49" t="s">
        <x:v>96</x:v>
      </x:c>
      <x:c r="O295" s="49" t="s">
        <x:v>231</x:v>
      </x:c>
      <x:c r="P295" s="49" t="s">
        <x:v>30</x:v>
      </x:c>
      <x:c r="Q295" s="49" t="s">
        <x:v>11</x:v>
      </x:c>
      <x:c r="R295" s="50">
        <x:v>0.84</x:v>
      </x:c>
      <x:c r="S295" s="50">
        <x:f t="shared" si="20"/>
        <x:v>0.84</x:v>
      </x:c>
      <x:c r="T295" s="49" t="s">
        <x:v>98</x:v>
      </x:c>
      <x:c r="U295" s="49" t="str">
        <x:f t="shared" si="18"/>
        <x:v>黑</x:v>
      </x:c>
      <x:c r="V295" s="50">
        <x:f t="shared" si="19"/>
        <x:v>0.98</x:v>
      </x:c>
      <x:c r="W295" s="50">
        <x:f t="shared" si="21"/>
        <x:v>-1</x:v>
      </x:c>
      <x:c r="X295" s="62">
        <x:v>0.84</x:v>
      </x:c>
      <x:c r="Y295" s="62">
        <x:v>0.25</x:v>
      </x:c>
      <x:c r="Z295" s="62">
        <x:v>0.98</x:v>
      </x:c>
      <x:c r="AA295" s="62">
        <x:v>-0.25</x:v>
      </x:c>
      <x:c r="AB295" s="62">
        <x:v>0.84</x:v>
      </x:c>
      <x:c r="AC295" s="62">
        <x:v>0.84</x:v>
      </x:c>
      <x:c r="AD295" s="60">
        <x:v>2.04</x:v>
      </x:c>
      <x:c r="AE295" s="60">
        <x:v>3.31</x:v>
      </x:c>
      <x:c r="AF295" s="60">
        <x:v>3.19</x:v>
      </x:c>
      <x:c r="AG295" s="62">
        <x:v>0.105790505881202</x:v>
      </x:c>
      <x:c r="AH295" s="62">
        <x:v>0.0557905058812016</x:v>
      </x:c>
      <x:c r="AI295" s="62">
        <x:v>0.443299228763713</x:v>
      </x:c>
      <x:c r="AJ295" s="62">
        <x:v>0.27321160926827</x:v>
      </x:c>
      <x:c r="AK295" s="62">
        <x:v>0.283489161968017</x:v>
      </x:c>
      <x:c r="AL295" s="62">
        <x:v>1.36</x:v>
      </x:c>
      <x:c r="AM295" s="62">
        <x:v>1.03</x:v>
      </x:c>
      <x:c r="AN295" s="62">
        <x:v>0.000456085856855667</x:v>
      </x:c>
      <x:c r="AO295" s="62">
        <x:v>0.947454757922382</x:v>
      </x:c>
      <x:c r="AP295" s="62">
        <x:v>-0.107454757922382</x:v>
      </x:c>
      <x:c r="AQ295" s="62" t="s">
        <x:v>99</x:v>
      </x:c>
      <x:c r="AR295" s="49">
        <x:v>-0.25</x:v>
      </x:c>
      <x:c r="AS295" s="62">
        <x:v>0.443507394652689</x:v>
      </x:c>
      <x:c r="AT295" s="62">
        <x:v>0.42020319123745</x:v>
      </x:c>
      <x:c r="AU295" s="60">
        <x:v>2.05</x:v>
      </x:c>
      <x:c r="AV295" s="60">
        <x:v>3.18</x:v>
      </x:c>
      <x:c r="AW295" s="60">
        <x:v>3.32</x:v>
      </x:c>
      <x:c r="AX295" s="49" t="s">
        <x:v>98</x:v>
      </x:c>
      <x:c r="AY295" s="49" t="s">
        <x:v>101</x:v>
      </x:c>
    </x:row>
    <x:row r="296" ht="22" customHeight="1">
      <x:c r="A296" s="49" t="s">
        <x:v>1204</x:v>
      </x:c>
      <x:c r="B296" s="49" t="s">
        <x:v>1244</x:v>
      </x:c>
      <x:c r="C296" s="49" t="s">
        <x:v>333</x:v>
      </x:c>
      <x:c r="D296" s="49" t="s">
        <x:v>90</x:v>
      </x:c>
      <x:c r="E296" s="49" t="s">
        <x:v>1245</x:v>
      </x:c>
      <x:c r="F296" s="49" t="s">
        <x:v>1249</x:v>
      </x:c>
      <x:c r="G296" s="60">
        <x:v>0.94</x:v>
      </x:c>
      <x:c r="H296" s="60">
        <x:v>0.75</x:v>
      </x:c>
      <x:c r="I296" s="60">
        <x:v>0.88</x:v>
      </x:c>
      <x:c r="J296" s="49" t="s">
        <x:v>1250</x:v>
      </x:c>
      <x:c r="K296" s="49" t="s">
        <x:v>132</x:v>
      </x:c>
      <x:c r="L296" s="49" t="s">
        <x:v>1251</x:v>
      </x:c>
      <x:c r="M296" s="61">
        <x:v>0.582</x:v>
      </x:c>
      <x:c r="N296" s="49" t="s">
        <x:v>96</x:v>
      </x:c>
      <x:c r="O296" s="49" t="s">
        <x:v>126</x:v>
      </x:c>
      <x:c r="P296" s="49" t="s">
        <x:v>30</x:v>
      </x:c>
      <x:c r="Q296" s="49" t="s">
        <x:v>23</x:v>
      </x:c>
      <x:c r="R296" s="50">
        <x:v>0.94</x:v>
      </x:c>
      <x:c r="S296" s="50">
        <x:f t="shared" si="20"/>
        <x:v>-1</x:v>
      </x:c>
      <x:c r="T296" s="49" t="s">
        <x:v>98</x:v>
      </x:c>
      <x:c r="U296" s="49" t="str">
        <x:f t="shared" si="18"/>
        <x:v>红</x:v>
      </x:c>
      <x:c r="V296" s="50">
        <x:f t="shared" si="19"/>
        <x:v>0.88</x:v>
      </x:c>
      <x:c r="W296" s="50">
        <x:f t="shared" si="21"/>
        <x:v>0.88</x:v>
      </x:c>
      <x:c r="X296" s="62">
        <x:v>0.9</x:v>
      </x:c>
      <x:c r="Y296" s="62">
        <x:v>1</x:v>
      </x:c>
      <x:c r="Z296" s="62">
        <x:v>0.86</x:v>
      </x:c>
      <x:c r="AA296" s="62">
        <x:v>-1</x:v>
      </x:c>
      <x:c r="AB296" s="62">
        <x:v>0.9</x:v>
      </x:c>
      <x:c r="AC296" s="62">
        <x:v>0.94</x:v>
      </x:c>
      <x:c r="AD296" s="60">
        <x:v>1.56</x:v>
      </x:c>
      <x:c r="AE296" s="60">
        <x:v>3.67</x:v>
      </x:c>
      <x:c r="AF296" s="60">
        <x:v>5.32</x:v>
      </x:c>
      <x:c r="AG296" s="62">
        <x:v>0.101475129870369</x:v>
      </x:c>
      <x:c r="AH296" s="62">
        <x:v>0.0514751298703687</x:v>
      </x:c>
      <x:c r="AI296" s="62">
        <x:v>0.581970144982831</x:v>
      </x:c>
      <x:c r="AJ296" s="62">
        <x:v>0.247376955360549</x:v>
      </x:c>
      <x:c r="AK296" s="62">
        <x:v>0.17065289965662</x:v>
      </x:c>
      <x:c r="AL296" s="62">
        <x:v>1.61</x:v>
      </x:c>
      <x:c r="AM296" s="62">
        <x:v>0.74</x:v>
      </x:c>
      <x:c r="AN296" s="62">
        <x:v>0.000241616422589445</x:v>
      </x:c>
      <x:c r="AO296" s="62">
        <x:v>0.930072773620418</x:v>
      </x:c>
      <x:c r="AP296" s="62">
        <x:v>0.00992722637958221</x:v>
      </x:c>
      <x:c r="AQ296" s="62" t="s">
        <x:v>174</x:v>
      </x:c>
      <x:c r="AR296" s="49">
        <x:v>-0.75</x:v>
      </x:c>
      <x:c r="AS296" s="62">
        <x:v>0.449442145001503</x:v>
      </x:c>
      <x:c r="AT296" s="62">
        <x:v>0.418013902383458</x:v>
      </x:c>
      <x:c r="AU296" s="60">
        <x:v>1.62</x:v>
      </x:c>
      <x:c r="AV296" s="60">
        <x:v>3.67</x:v>
      </x:c>
      <x:c r="AW296" s="60">
        <x:v>4.75</x:v>
      </x:c>
      <x:c r="AX296" s="49" t="s">
        <x:v>98</x:v>
      </x:c>
      <x:c r="AY296" s="49" t="s">
        <x:v>101</x:v>
      </x:c>
    </x:row>
    <x:row r="297" ht="22" customHeight="1">
      <x:c r="A297" s="49" t="s">
        <x:v>1204</x:v>
      </x:c>
      <x:c r="B297" s="49" t="s">
        <x:v>1252</x:v>
      </x:c>
      <x:c r="C297" s="49" t="s">
        <x:v>136</x:v>
      </x:c>
      <x:c r="D297" s="49" t="s">
        <x:v>116</x:v>
      </x:c>
      <x:c r="E297" s="49" t="s">
        <x:v>137</x:v>
      </x:c>
      <x:c r="F297" s="49" t="s">
        <x:v>1253</x:v>
      </x:c>
      <x:c r="G297" s="60">
        <x:v>0.86</x:v>
      </x:c>
      <x:c r="H297" s="60">
        <x:v>2.25</x:v>
      </x:c>
      <x:c r="I297" s="60">
        <x:v>1.02</x:v>
      </x:c>
      <x:c r="J297" s="49" t="s">
        <x:v>1254</x:v>
      </x:c>
      <x:c r="K297" s="49" t="s">
        <x:v>106</x:v>
      </x:c>
      <x:c r="L297" s="49" t="s">
        <x:v>1255</x:v>
      </x:c>
      <x:c r="M297" s="61">
        <x:v>0.585</x:v>
      </x:c>
      <x:c r="N297" s="49" t="s">
        <x:v>96</x:v>
      </x:c>
      <x:c r="O297" s="49" t="s">
        <x:v>231</x:v>
      </x:c>
      <x:c r="P297" s="49" t="s">
        <x:v>30</x:v>
      </x:c>
      <x:c r="Q297" s="49" t="s">
        <x:v>23</x:v>
      </x:c>
      <x:c r="R297" s="50">
        <x:v>0.86</x:v>
      </x:c>
      <x:c r="S297" s="50">
        <x:f t="shared" si="20"/>
        <x:v>-1</x:v>
      </x:c>
      <x:c r="T297" s="49" t="s">
        <x:v>98</x:v>
      </x:c>
      <x:c r="U297" s="49" t="str">
        <x:f t="shared" si="18"/>
        <x:v>红</x:v>
      </x:c>
      <x:c r="V297" s="50">
        <x:f t="shared" si="19"/>
        <x:v>1.02</x:v>
      </x:c>
      <x:c r="W297" s="50">
        <x:f t="shared" si="21"/>
        <x:v>1.02</x:v>
      </x:c>
      <x:c r="X297" s="62">
        <x:v>0.85</x:v>
      </x:c>
      <x:c r="Y297" s="62">
        <x:v>1.75</x:v>
      </x:c>
      <x:c r="Z297" s="62">
        <x:v>0.97</x:v>
      </x:c>
      <x:c r="AA297" s="62">
        <x:v>-1.75</x:v>
      </x:c>
      <x:c r="AB297" s="62">
        <x:v>0.85</x:v>
      </x:c>
      <x:c r="AC297" s="62">
        <x:v>0.86</x:v>
      </x:c>
      <x:c r="AD297" s="60">
        <x:v>1.15</x:v>
      </x:c>
      <x:c r="AE297" s="60">
        <x:v>8.05</x:v>
      </x:c>
      <x:c r="AF297" s="60">
        <x:v>12.87</x:v>
      </x:c>
      <x:c r="AG297" s="62">
        <x:v>0.0714888975758543</x:v>
      </x:c>
      <x:c r="AH297" s="62">
        <x:v>0.0214888975758543</x:v>
      </x:c>
      <x:c r="AI297" s="62">
        <x:v>0.81154850914332</x:v>
      </x:c>
      <x:c r="AJ297" s="62">
        <x:v>0.115935501306189</x:v>
      </x:c>
      <x:c r="AK297" s="62">
        <x:v>0.0725159895504909</x:v>
      </x:c>
      <x:c r="AL297" s="62">
        <x:v>3.13</x:v>
      </x:c>
      <x:c r="AM297" s="62">
        <x:v>0.89</x:v>
      </x:c>
      <x:c r="AN297" s="62">
        <x:v>0.000239184886668857</x:v>
      </x:c>
      <x:c r="AO297" s="62">
        <x:v>1.10323006815165</x:v>
      </x:c>
      <x:c r="AP297" s="62">
        <x:v>-0.243230068151652</x:v>
      </x:c>
      <x:c r="AQ297" s="62" t="s">
        <x:v>99</x:v>
      </x:c>
      <x:c r="AR297" s="49">
        <x:v>-2.25</x:v>
      </x:c>
      <x:c r="AS297" s="62">
        <x:v>0.426965442800497</x:v>
      </x:c>
      <x:c r="AT297" s="62">
        <x:v>0.471041114559193</x:v>
      </x:c>
      <x:c r="AU297" s="60">
        <x:v>1.12</x:v>
      </x:c>
      <x:c r="AV297" s="60">
        <x:v>8.68</x:v>
      </x:c>
      <x:c r="AW297" s="60">
        <x:v>15.05</x:v>
      </x:c>
      <x:c r="AX297" s="49" t="s">
        <x:v>98</x:v>
      </x:c>
      <x:c r="AY297" s="49" t="s">
        <x:v>101</x:v>
      </x:c>
    </x:row>
    <x:row r="298" ht="22" customHeight="1">
      <x:c r="A298" s="49" t="s">
        <x:v>1204</x:v>
      </x:c>
      <x:c r="B298" s="49" t="s">
        <x:v>1252</x:v>
      </x:c>
      <x:c r="C298" s="49" t="s">
        <x:v>333</x:v>
      </x:c>
      <x:c r="D298" s="49" t="s">
        <x:v>90</x:v>
      </x:c>
      <x:c r="E298" s="49" t="s">
        <x:v>1245</x:v>
      </x:c>
      <x:c r="F298" s="49" t="s">
        <x:v>1256</x:v>
      </x:c>
      <x:c r="G298" s="60">
        <x:v>0.84</x:v>
      </x:c>
      <x:c r="H298" s="60">
        <x:v>0.25</x:v>
      </x:c>
      <x:c r="I298" s="60">
        <x:v>0.98</x:v>
      </x:c>
      <x:c r="J298" s="49" t="s">
        <x:v>1247</x:v>
      </x:c>
      <x:c r="K298" s="49" t="s">
        <x:v>106</x:v>
      </x:c>
      <x:c r="L298" s="49" t="s">
        <x:v>1257</x:v>
      </x:c>
      <x:c r="M298" s="61">
        <x:v>0.587</x:v>
      </x:c>
      <x:c r="N298" s="49" t="s">
        <x:v>96</x:v>
      </x:c>
      <x:c r="O298" s="49" t="s">
        <x:v>169</x:v>
      </x:c>
      <x:c r="P298" s="49" t="s">
        <x:v>30</x:v>
      </x:c>
      <x:c r="Q298" s="49" t="s">
        <x:v>23</x:v>
      </x:c>
      <x:c r="R298" s="50">
        <x:v>0.84</x:v>
      </x:c>
      <x:c r="S298" s="50">
        <x:f t="shared" si="20"/>
        <x:v>-1</x:v>
      </x:c>
      <x:c r="T298" s="49" t="s">
        <x:v>98</x:v>
      </x:c>
      <x:c r="U298" s="49" t="str">
        <x:f t="shared" si="18"/>
        <x:v>红</x:v>
      </x:c>
      <x:c r="V298" s="50">
        <x:f t="shared" si="19"/>
        <x:v>0.98</x:v>
      </x:c>
      <x:c r="W298" s="50">
        <x:f t="shared" si="21"/>
        <x:v>0.98</x:v>
      </x:c>
      <x:c r="X298" s="62">
        <x:v>0.88</x:v>
      </x:c>
      <x:c r="Y298" s="62">
        <x:v>0.25</x:v>
      </x:c>
      <x:c r="Z298" s="62">
        <x:v>0.88</x:v>
      </x:c>
      <x:c r="AA298" s="62">
        <x:v>-0.25</x:v>
      </x:c>
      <x:c r="AB298" s="62">
        <x:v>0.88</x:v>
      </x:c>
      <x:c r="AC298" s="62">
        <x:v>0.84</x:v>
      </x:c>
      <x:c r="AD298" s="60">
        <x:v>2.11</x:v>
      </x:c>
      <x:c r="AE298" s="60">
        <x:v>3.32</x:v>
      </x:c>
      <x:c r="AF298" s="60">
        <x:v>3.03</x:v>
      </x:c>
      <x:c r="AG298" s="62">
        <x:v>0.105171471866538</x:v>
      </x:c>
      <x:c r="AH298" s="62">
        <x:v>0.055171471866538</x:v>
      </x:c>
      <x:c r="AI298" s="62">
        <x:v>0.42883268465903</x:v>
      </x:c>
      <x:c r="AJ298" s="62">
        <x:v>0.272541254406793</x:v>
      </x:c>
      <x:c r="AK298" s="62">
        <x:v>0.298626060934176</x:v>
      </x:c>
      <x:c r="AL298" s="62">
        <x:v>1.34</x:v>
      </x:c>
      <x:c r="AM298" s="62">
        <x:v>1.07</x:v>
      </x:c>
      <x:c r="AN298" s="62">
        <x:v>0.000192121111769117</x:v>
      </x:c>
      <x:c r="AO298" s="62">
        <x:v>1.01418380073603</x:v>
      </x:c>
      <x:c r="AP298" s="62">
        <x:v>-0.17418380073603</x:v>
      </x:c>
      <x:c r="AQ298" s="62" t="s">
        <x:v>99</x:v>
      </x:c>
      <x:c r="AR298" s="49">
        <x:v>-0.25</x:v>
      </x:c>
      <x:c r="AS298" s="62">
        <x:v>0.42875808788644</x:v>
      </x:c>
      <x:c r="AT298" s="62">
        <x:v>0.434839507168982</x:v>
      </x:c>
      <x:c r="AU298" s="60">
        <x:v>2.01</x:v>
      </x:c>
      <x:c r="AV298" s="60">
        <x:v>3.21</x:v>
      </x:c>
      <x:c r="AW298" s="60">
        <x:v>3.43</x:v>
      </x:c>
      <x:c r="AX298" s="49" t="s">
        <x:v>98</x:v>
      </x:c>
      <x:c r="AY298" s="49" t="s">
        <x:v>101</x:v>
      </x:c>
    </x:row>
    <x:row r="299" ht="22" customHeight="1">
      <x:c r="A299" s="49" t="s">
        <x:v>1204</x:v>
      </x:c>
      <x:c r="B299" s="49" t="s">
        <x:v>1252</x:v>
      </x:c>
      <x:c r="C299" s="49" t="s">
        <x:v>333</x:v>
      </x:c>
      <x:c r="D299" s="49" t="s">
        <x:v>90</x:v>
      </x:c>
      <x:c r="E299" s="49" t="s">
        <x:v>1245</x:v>
      </x:c>
      <x:c r="F299" s="49" t="s">
        <x:v>1258</x:v>
      </x:c>
      <x:c r="G299" s="60">
        <x:v>0.98</x:v>
      </x:c>
      <x:c r="H299" s="60">
        <x:v>-0.75</x:v>
      </x:c>
      <x:c r="I299" s="60">
        <x:v>0.84</x:v>
      </x:c>
      <x:c r="J299" s="49" t="s">
        <x:v>1259</x:v>
      </x:c>
      <x:c r="K299" s="49" t="s">
        <x:v>106</x:v>
      </x:c>
      <x:c r="L299" s="49" t="s">
        <x:v>1260</x:v>
      </x:c>
      <x:c r="M299" s="61">
        <x:v>0.587</x:v>
      </x:c>
      <x:c r="N299" s="49" t="s">
        <x:v>96</x:v>
      </x:c>
      <x:c r="O299" s="49" t="s">
        <x:v>178</x:v>
      </x:c>
      <x:c r="P299" s="49" t="s">
        <x:v>30</x:v>
      </x:c>
      <x:c r="Q299" s="49" t="s">
        <x:v>23</x:v>
      </x:c>
      <x:c r="R299" s="50">
        <x:v>0.84</x:v>
      </x:c>
      <x:c r="S299" s="50">
        <x:f t="shared" si="20"/>
        <x:v>-1</x:v>
      </x:c>
      <x:c r="T299" s="49" t="s">
        <x:v>98</x:v>
      </x:c>
      <x:c r="U299" s="49" t="str">
        <x:f t="shared" si="18"/>
        <x:v>红</x:v>
      </x:c>
      <x:c r="V299" s="50">
        <x:f t="shared" si="19"/>
        <x:v>0.98</x:v>
      </x:c>
      <x:c r="W299" s="50">
        <x:f t="shared" si="21"/>
        <x:v>0.98</x:v>
      </x:c>
      <x:c r="X299" s="62">
        <x:v>0.88</x:v>
      </x:c>
      <x:c r="Y299" s="62">
        <x:v>-0.5</x:v>
      </x:c>
      <x:c r="Z299" s="62">
        <x:v>0.88</x:v>
      </x:c>
      <x:c r="AA299" s="62">
        <x:v>-0.5</x:v>
      </x:c>
      <x:c r="AB299" s="62">
        <x:v>0.88</x:v>
      </x:c>
      <x:c r="AC299" s="62">
        <x:v>0.84</x:v>
      </x:c>
      <x:c r="AD299" s="60">
        <x:v>3.82</x:v>
      </x:c>
      <x:c r="AE299" s="60">
        <x:v>3.39</x:v>
      </x:c>
      <x:c r="AF299" s="60">
        <x:v>1.82</x:v>
      </x:c>
      <x:c r="AG299" s="62">
        <x:v>0.106215904900054</x:v>
      </x:c>
      <x:c r="AH299" s="62">
        <x:v>0.0562159049000544</x:v>
      </x:c>
      <x:c r="AI299" s="62">
        <x:v>0.236644676281068</x:v>
      </x:c>
      <x:c r="AJ299" s="62">
        <x:v>0.266661552623504</x:v>
      </x:c>
      <x:c r="AK299" s="62">
        <x:v>0.496693771095428</x:v>
      </x:c>
      <x:c r="AL299" s="62">
        <x:v>0.91</x:v>
      </x:c>
      <x:c r="AM299" s="62">
        <x:v>1.45</x:v>
      </x:c>
      <x:c r="AN299" s="62">
        <x:v>0.000150636381457064</x:v>
      </x:c>
      <x:c r="AO299" s="62">
        <x:v>1.35187394661846</x:v>
      </x:c>
      <x:c r="AP299" s="62">
        <x:v>-0.511873946618464</x:v>
      </x:c>
      <x:c r="AQ299" s="62" t="s">
        <x:v>99</x:v>
      </x:c>
      <x:c r="AR299" s="49">
        <x:v>-0.75</x:v>
      </x:c>
      <x:c r="AS299" s="62">
        <x:v>0.37216401332354</x:v>
      </x:c>
      <x:c r="AT299" s="62">
        <x:v>0.503118833481061</x:v>
      </x:c>
      <x:c r="AU299" s="60">
        <x:v>4.75</x:v>
      </x:c>
      <x:c r="AV299" s="60">
        <x:v>3.41</x:v>
      </x:c>
      <x:c r="AW299" s="60">
        <x:v>1.68</x:v>
      </x:c>
      <x:c r="AX299" s="49" t="s">
        <x:v>98</x:v>
      </x:c>
      <x:c r="AY299" s="49" t="s">
        <x:v>101</x:v>
      </x:c>
    </x:row>
    <x:row r="300" ht="22" customHeight="1">
      <x:c r="A300" s="49" t="s">
        <x:v>1204</x:v>
      </x:c>
      <x:c r="B300" s="49" t="s">
        <x:v>1261</x:v>
      </x:c>
      <x:c r="C300" s="49" t="s">
        <x:v>244</x:v>
      </x:c>
      <x:c r="D300" s="49" t="s">
        <x:v>90</x:v>
      </x:c>
      <x:c r="E300" s="49" t="s">
        <x:v>1262</x:v>
      </x:c>
      <x:c r="F300" s="49" t="s">
        <x:v>1263</x:v>
      </x:c>
      <x:c r="G300" s="60">
        <x:v>0.68</x:v>
      </x:c>
      <x:c r="H300" s="60">
        <x:v>-0.25</x:v>
      </x:c>
      <x:c r="I300" s="60">
        <x:v>1.16</x:v>
      </x:c>
      <x:c r="J300" s="49" t="s">
        <x:v>1264</x:v>
      </x:c>
      <x:c r="K300" s="49" t="s">
        <x:v>189</x:v>
      </x:c>
      <x:c r="L300" s="49" t="s">
        <x:v>1265</x:v>
      </x:c>
      <x:c r="M300" s="61">
        <x:v>0.522</x:v>
      </x:c>
      <x:c r="N300" s="49" t="s">
        <x:v>96</x:v>
      </x:c>
      <x:c r="O300" s="49" t="s">
        <x:v>134</x:v>
      </x:c>
      <x:c r="P300" s="49" t="s">
        <x:v>30</x:v>
      </x:c>
      <x:c r="Q300" s="49" t="s">
        <x:v>20</x:v>
      </x:c>
      <x:c r="R300" s="50">
        <x:v>1.16</x:v>
      </x:c>
      <x:c r="S300" s="50">
        <x:f t="shared" si="20"/>
        <x:v>-0.5</x:v>
      </x:c>
      <x:c r="T300" s="49" t="s">
        <x:v>98</x:v>
      </x:c>
      <x:c r="U300" s="49" t="str">
        <x:f t="shared" si="18"/>
        <x:v>半红</x:v>
      </x:c>
      <x:c r="V300" s="50">
        <x:f t="shared" si="19"/>
        <x:v>0.68</x:v>
      </x:c>
      <x:c r="W300" s="50">
        <x:f t="shared" si="21"/>
        <x:v>0.34</x:v>
      </x:c>
      <x:c r="X300" s="62">
        <x:v>0.88</x:v>
      </x:c>
      <x:c r="Y300" s="62">
        <x:v>0</x:v>
      </x:c>
      <x:c r="Z300" s="62">
        <x:v>0.88</x:v>
      </x:c>
      <x:c r="AA300" s="62">
        <x:v>0</x:v>
      </x:c>
      <x:c r="AB300" s="62">
        <x:v>0.88</x:v>
      </x:c>
      <x:c r="AC300" s="62">
        <x:v>1.16</x:v>
      </x:c>
      <x:c r="AD300" s="60">
        <x:v>2.34</x:v>
      </x:c>
      <x:c r="AE300" s="60">
        <x:v>3.36</x:v>
      </x:c>
      <x:c r="AF300" s="60">
        <x:v>2.63</x:v>
      </x:c>
      <x:c r="AG300" s="62">
        <x:v>0.105197611851605</x:v>
      </x:c>
      <x:c r="AH300" s="62">
        <x:v>0.0551976118516045</x:v>
      </x:c>
      <x:c r="AI300" s="62">
        <x:v>0.386673317755783</x:v>
      </x:c>
      <x:c r="AJ300" s="62">
        <x:v>0.269290346294206</x:v>
      </x:c>
      <x:c r="AK300" s="62">
        <x:v>0.344036335950012</x:v>
      </x:c>
      <x:c r="AL300" s="62">
        <x:v>1.3</x:v>
      </x:c>
      <x:c r="AM300" s="62">
        <x:v>1.21</x:v>
      </x:c>
      <x:c r="AN300" s="62">
        <x:v>0.000163497441028298</x:v>
      </x:c>
      <x:c r="AO300" s="62">
        <x:v>1.51546344189806</x:v>
      </x:c>
      <x:c r="AP300" s="62">
        <x:v>-0.355463441898057</x:v>
      </x:c>
      <x:c r="AQ300" s="62" t="s">
        <x:v>99</x:v>
      </x:c>
      <x:c r="AR300" s="49">
        <x:v>-0.25</x:v>
      </x:c>
      <x:c r="AS300" s="62">
        <x:v>0.344055657486629</x:v>
      </x:c>
      <x:c r="AT300" s="62">
        <x:v>0.521403770899185</x:v>
      </x:c>
      <x:c r="AU300" s="60">
        <x:v>2.79</x:v>
      </x:c>
      <x:c r="AV300" s="60">
        <x:v>3.37</x:v>
      </x:c>
      <x:c r="AW300" s="60">
        <x:v>2.21</x:v>
      </x:c>
      <x:c r="AX300" s="49" t="s">
        <x:v>98</x:v>
      </x:c>
      <x:c r="AY300" s="49" t="s">
        <x:v>101</x:v>
      </x:c>
    </x:row>
    <x:row r="301" ht="22" customHeight="1">
      <x:c r="A301" s="49" t="s">
        <x:v>1204</x:v>
      </x:c>
      <x:c r="B301" s="49" t="s">
        <x:v>1266</x:v>
      </x:c>
      <x:c r="C301" s="49" t="s">
        <x:v>333</x:v>
      </x:c>
      <x:c r="D301" s="49" t="s">
        <x:v>116</x:v>
      </x:c>
      <x:c r="E301" s="49" t="s">
        <x:v>156</x:v>
      </x:c>
      <x:c r="F301" s="49" t="s">
        <x:v>1267</x:v>
      </x:c>
      <x:c r="G301" s="60">
        <x:v>1.08</x:v>
      </x:c>
      <x:c r="H301" s="60">
        <x:v>-0.25</x:v>
      </x:c>
      <x:c r="I301" s="60">
        <x:v>0.8</x:v>
      </x:c>
      <x:c r="J301" s="49" t="s">
        <x:v>1268</x:v>
      </x:c>
      <x:c r="K301" s="49" t="s">
        <x:v>106</x:v>
      </x:c>
      <x:c r="L301" s="49" t="s">
        <x:v>846</x:v>
      </x:c>
      <x:c r="M301" s="61">
        <x:v>0.587</x:v>
      </x:c>
      <x:c r="N301" s="49" t="s">
        <x:v>96</x:v>
      </x:c>
      <x:c r="O301" s="49" t="s">
        <x:v>191</x:v>
      </x:c>
      <x:c r="P301" s="49" t="s">
        <x:v>30</x:v>
      </x:c>
      <x:c r="Q301" s="49" t="s">
        <x:v>11</x:v>
      </x:c>
      <x:c r="R301" s="50">
        <x:v>0.8</x:v>
      </x:c>
      <x:c r="S301" s="50">
        <x:f t="shared" si="20"/>
        <x:v>0.8</x:v>
      </x:c>
      <x:c r="T301" s="49" t="s">
        <x:v>98</x:v>
      </x:c>
      <x:c r="U301" s="49" t="str">
        <x:f t="shared" si="18"/>
        <x:v>黑</x:v>
      </x:c>
      <x:c r="V301" s="50">
        <x:f t="shared" si="19"/>
        <x:v>1.08</x:v>
      </x:c>
      <x:c r="W301" s="50">
        <x:f t="shared" si="21"/>
        <x:v>-1</x:v>
      </x:c>
      <x:c r="X301" s="62">
        <x:v>1.06</x:v>
      </x:c>
      <x:c r="Y301" s="62">
        <x:v>0</x:v>
      </x:c>
      <x:c r="Z301" s="62">
        <x:v>0.82</x:v>
      </x:c>
      <x:c r="AA301" s="62">
        <x:v>0</x:v>
      </x:c>
      <x:c r="AB301" s="62">
        <x:v>0.82</x:v>
      </x:c>
      <x:c r="AC301" s="62">
        <x:v>0.8</x:v>
      </x:c>
      <x:c r="AD301" s="60">
        <x:v>2.7</x:v>
      </x:c>
      <x:c r="AE301" s="60">
        <x:v>3.34</x:v>
      </x:c>
      <x:c r="AF301" s="60">
        <x:v>2.49</x:v>
      </x:c>
      <x:c r="AG301" s="62">
        <x:v>0.0713779936779719</x:v>
      </x:c>
      <x:c r="AH301" s="62">
        <x:v>0.0213779936779719</x:v>
      </x:c>
      <x:c r="AI301" s="62">
        <x:v>0.345695331205108</x:v>
      </x:c>
      <x:c r="AJ301" s="62">
        <x:v>0.279454309656824</x:v>
      </x:c>
      <x:c r="AK301" s="62">
        <x:v>0.374850359138069</x:v>
      </x:c>
      <x:c r="AL301" s="62">
        <x:v>1.15</x:v>
      </x:c>
      <x:c r="AM301" s="62">
        <x:v>1.21</x:v>
      </x:c>
      <x:c r="AN301" s="62">
        <x:v>0.000172030252781652</x:v>
      </x:c>
      <x:c r="AO301" s="62">
        <x:v>1.29410645535298</x:v>
      </x:c>
      <x:c r="AP301" s="62">
        <x:v>-0.494106455352979</x:v>
      </x:c>
      <x:c r="AQ301" s="62" t="s">
        <x:v>99</x:v>
      </x:c>
      <x:c r="AR301" s="49">
        <x:v>-0.25</x:v>
      </x:c>
      <x:c r="AS301" s="62">
        <x:v>0.375041761272356</x:v>
      </x:c>
      <x:c r="AT301" s="62">
        <x:v>0.485343964289506</x:v>
      </x:c>
      <x:c r="AU301" s="60">
        <x:v>3.45</x:v>
      </x:c>
      <x:c r="AV301" s="60">
        <x:v>3.36</x:v>
      </x:c>
      <x:c r="AW301" s="60">
        <x:v>2.1</x:v>
      </x:c>
      <x:c r="AX301" s="49" t="s">
        <x:v>98</x:v>
      </x:c>
      <x:c r="AY301" s="49" t="s">
        <x:v>101</x:v>
      </x:c>
    </x:row>
    <x:row r="302" ht="22" customHeight="1">
      <x:c r="A302" s="49" t="s">
        <x:v>1204</x:v>
      </x:c>
      <x:c r="B302" s="49" t="s">
        <x:v>1269</x:v>
      </x:c>
      <x:c r="C302" s="49" t="s">
        <x:v>1188</x:v>
      </x:c>
      <x:c r="D302" s="49" t="s">
        <x:v>90</x:v>
      </x:c>
      <x:c r="E302" s="49" t="s">
        <x:v>1189</x:v>
      </x:c>
      <x:c r="F302" s="49" t="s">
        <x:v>1270</x:v>
      </x:c>
      <x:c r="G302" s="60">
        <x:v>0.83</x:v>
      </x:c>
      <x:c r="H302" s="60">
        <x:v>0.75</x:v>
      </x:c>
      <x:c r="I302" s="60">
        <x:v>1.06</x:v>
      </x:c>
      <x:c r="J302" s="49" t="s">
        <x:v>1271</x:v>
      </x:c>
      <x:c r="K302" s="49" t="s">
        <x:v>106</x:v>
      </x:c>
      <x:c r="L302" s="49" t="s">
        <x:v>1000</x:v>
      </x:c>
      <x:c r="M302" s="61">
        <x:v>0.585</x:v>
      </x:c>
      <x:c r="N302" s="49" t="s">
        <x:v>96</x:v>
      </x:c>
      <x:c r="O302" s="49" t="s">
        <x:v>197</x:v>
      </x:c>
      <x:c r="P302" s="49" t="s">
        <x:v>30</x:v>
      </x:c>
      <x:c r="Q302" s="49" t="s">
        <x:v>11</x:v>
      </x:c>
      <x:c r="R302" s="50">
        <x:v>0.83</x:v>
      </x:c>
      <x:c r="S302" s="50">
        <x:f t="shared" si="20"/>
        <x:v>0.83</x:v>
      </x:c>
      <x:c r="T302" s="49" t="s">
        <x:v>98</x:v>
      </x:c>
      <x:c r="U302" s="49" t="str">
        <x:f t="shared" si="18"/>
        <x:v>黑</x:v>
      </x:c>
      <x:c r="V302" s="50">
        <x:f t="shared" si="19"/>
        <x:v>1.06</x:v>
      </x:c>
      <x:c r="W302" s="50">
        <x:f t="shared" si="21"/>
        <x:v>-1</x:v>
      </x:c>
      <x:c r="X302" s="62">
        <x:v>1.02</x:v>
      </x:c>
      <x:c r="Y302" s="62">
        <x:v>0.5</x:v>
      </x:c>
      <x:c r="Z302" s="62">
        <x:v>0.86</x:v>
      </x:c>
      <x:c r="AA302" s="62">
        <x:v>-0.5</x:v>
      </x:c>
      <x:c r="AB302" s="62">
        <x:v>1.02</x:v>
      </x:c>
      <x:c r="AC302" s="62">
        <x:v>0.83</x:v>
      </x:c>
      <x:c r="AD302" s="60">
        <x:v>1.91</x:v>
      </x:c>
      <x:c r="AE302" s="60">
        <x:v>3.67</x:v>
      </x:c>
      <x:c r="AF302" s="60">
        <x:v>3.75</x:v>
      </x:c>
      <x:c r="AG302" s="62">
        <x:v>0.0627064401234481</x:v>
      </x:c>
      <x:c r="AH302" s="62">
        <x:v>0.0127064401234481</x:v>
      </x:c>
      <x:c r="AI302" s="62">
        <x:v>0.492666826563378</x:v>
      </x:c>
      <x:c r="AJ302" s="62">
        <x:v>0.256401536440341</x:v>
      </x:c>
      <x:c r="AK302" s="62">
        <x:v>0.250931636996281</x:v>
      </x:c>
      <x:c r="AL302" s="62">
        <x:v>1.54</x:v>
      </x:c>
      <x:c r="AM302" s="62">
        <x:v>1.02</x:v>
      </x:c>
      <x:c r="AN302" s="62">
        <x:v>0.000634233992166336</x:v>
      </x:c>
      <x:c r="AO302" s="62">
        <x:v>1.35742316624811</x:v>
      </x:c>
      <x:c r="AP302" s="62">
        <x:v>-0.527423166248105</x:v>
      </x:c>
      <x:c r="AQ302" s="62" t="s">
        <x:v>99</x:v>
      </x:c>
      <x:c r="AR302" s="49">
        <x:v>-0.75</x:v>
      </x:c>
      <x:c r="AS302" s="62">
        <x:v>0.373183133885215</x:v>
      </x:c>
      <x:c r="AT302" s="62">
        <x:v>0.506567431188859</x:v>
      </x:c>
      <x:c r="AU302" s="60">
        <x:v>1.69</x:v>
      </x:c>
      <x:c r="AV302" s="60">
        <x:v>4.12</x:v>
      </x:c>
      <x:c r="AW302" s="60">
        <x:v>4.68</x:v>
      </x:c>
      <x:c r="AX302" s="49" t="s">
        <x:v>98</x:v>
      </x:c>
      <x:c r="AY302" s="49" t="s">
        <x:v>101</x:v>
      </x:c>
    </x:row>
    <x:row r="303" ht="22" customHeight="1">
      <x:c r="A303" s="49" t="s">
        <x:v>1204</x:v>
      </x:c>
      <x:c r="B303" s="49" t="s">
        <x:v>1269</x:v>
      </x:c>
      <x:c r="C303" s="49" t="s">
        <x:v>1188</x:v>
      </x:c>
      <x:c r="D303" s="49" t="s">
        <x:v>90</x:v>
      </x:c>
      <x:c r="E303" s="49" t="s">
        <x:v>1189</x:v>
      </x:c>
      <x:c r="F303" s="49" t="s">
        <x:v>1272</x:v>
      </x:c>
      <x:c r="G303" s="60">
        <x:v>0.85</x:v>
      </x:c>
      <x:c r="H303" s="60">
        <x:v>-1</x:v>
      </x:c>
      <x:c r="I303" s="60">
        <x:v>1.04</x:v>
      </x:c>
      <x:c r="J303" s="49" t="s">
        <x:v>1273</x:v>
      </x:c>
      <x:c r="K303" s="49" t="s">
        <x:v>189</x:v>
      </x:c>
      <x:c r="L303" s="49" t="s">
        <x:v>1274</x:v>
      </x:c>
      <x:c r="M303" s="61">
        <x:v>0.532</x:v>
      </x:c>
      <x:c r="N303" s="49" t="s">
        <x:v>96</x:v>
      </x:c>
      <x:c r="O303" s="49" t="s">
        <x:v>191</x:v>
      </x:c>
      <x:c r="P303" s="49" t="s">
        <x:v>30</x:v>
      </x:c>
      <x:c r="Q303" s="49" t="s">
        <x:v>17</x:v>
      </x:c>
      <x:c r="R303" s="50">
        <x:v>1.04</x:v>
      </x:c>
      <x:c r="S303" s="50">
        <x:f t="shared" si="20"/>
        <x:v>0</x:v>
      </x:c>
      <x:c r="T303" s="49" t="s">
        <x:v>98</x:v>
      </x:c>
      <x:c r="U303" s="49" t="str">
        <x:f t="shared" ref="U303:U366" si="22">IF(Q303="","",IF(Q303="待结算","待结算",IF(Q303="红","黑",IF(Q303="半红","半黑",IF(Q303="走","走",IF(Q303="半黑","半红","红"))))))</x:f>
        <x:v>走</x:v>
      </x:c>
      <x:c r="V303" s="50" t="n">
        <x:f t="shared" ref="V303:V366" si="23">IF(OR(Q303="",Q303="待结算"),"",IF(L303=LEFT(F303,FIND(" vs ",F303)-1),I303,G303))</x:f>
        <x:v>0.85</x:v>
      </x:c>
      <x:c r="W303" s="50">
        <x:f t="shared" si="21"/>
        <x:v>0</x:v>
      </x:c>
      <x:c r="X303" s="62">
        <x:v>0.98</x:v>
      </x:c>
      <x:c r="Y303" s="62">
        <x:v>-0.5</x:v>
      </x:c>
      <x:c r="Z303" s="62">
        <x:v>0.9</x:v>
      </x:c>
      <x:c r="AA303" s="62">
        <x:v>-0.5</x:v>
      </x:c>
      <x:c r="AB303" s="62">
        <x:v>0.9</x:v>
      </x:c>
      <x:c r="AC303" s="62">
        <x:v>1.04</x:v>
      </x:c>
      <x:c r="AD303" s="60">
        <x:v>3.91</x:v>
      </x:c>
      <x:c r="AE303" s="60">
        <x:v>3.58</x:v>
      </x:c>
      <x:c r="AF303" s="60">
        <x:v>1.94</x:v>
      </x:c>
      <x:c r="AG303" s="62">
        <x:v>0.0505480021676457</x:v>
      </x:c>
      <x:c r="AH303" s="62">
        <x:v>0.000548002167645653</x:v>
      </x:c>
      <x:c r="AI303" s="62">
        <x:v>0.243448633642265</x:v>
      </x:c>
      <x:c r="AJ303" s="62">
        <x:v>0.265889429480798</x:v>
      </x:c>
      <x:c r="AK303" s="62">
        <x:v>0.490661936876937</x:v>
      </x:c>
      <x:c r="AL303" s="62">
        <x:v>0.94</x:v>
      </x:c>
      <x:c r="AM303" s="62">
        <x:v>1.45</x:v>
      </x:c>
      <x:c r="AN303" s="62">
        <x:v>0.000921043541462234</x:v>
      </x:c>
      <x:c r="AO303" s="62">
        <x:v>2.10139541355293</x:v>
      </x:c>
      <x:c r="AP303" s="62">
        <x:v>-1.06139541355293</x:v>
      </x:c>
      <x:c r="AQ303" s="62" t="s">
        <x:v>99</x:v>
      </x:c>
      <x:c r="AR303" s="49">
        <x:v>-1</x:v>
      </x:c>
      <x:c r="AS303" s="62">
        <x:v>0.242961192199147</x:v>
      </x:c>
      <x:c r="AT303" s="62">
        <x:v>0.510557534958639</x:v>
      </x:c>
      <x:c r="AU303" s="60">
        <x:v>5.89</x:v>
      </x:c>
      <x:c r="AV303" s="60">
        <x:v>3.88</x:v>
      </x:c>
      <x:c r="AW303" s="60">
        <x:v>1.61</x:v>
      </x:c>
      <x:c r="AX303" s="49" t="s">
        <x:v>98</x:v>
      </x:c>
      <x:c r="AY303" s="49" t="s">
        <x:v>101</x:v>
      </x:c>
    </x:row>
    <x:row r="304" ht="22" customHeight="1">
      <x:c r="A304" s="49" t="s">
        <x:v>1204</x:v>
      </x:c>
      <x:c r="B304" s="49" t="s">
        <x:v>1269</x:v>
      </x:c>
      <x:c r="C304" s="49" t="s">
        <x:v>333</x:v>
      </x:c>
      <x:c r="D304" s="49" t="s">
        <x:v>116</x:v>
      </x:c>
      <x:c r="E304" s="49" t="s">
        <x:v>156</x:v>
      </x:c>
      <x:c r="F304" s="49" t="s">
        <x:v>1275</x:v>
      </x:c>
      <x:c r="G304" s="60">
        <x:v>1.04</x:v>
      </x:c>
      <x:c r="H304" s="60">
        <x:v>-0.25</x:v>
      </x:c>
      <x:c r="I304" s="60">
        <x:v>0.84</x:v>
      </x:c>
      <x:c r="J304" s="49" t="s">
        <x:v>1164</x:v>
      </x:c>
      <x:c r="K304" s="49" t="s">
        <x:v>106</x:v>
      </x:c>
      <x:c r="L304" s="49" t="s">
        <x:v>1276</x:v>
      </x:c>
      <x:c r="M304" s="61">
        <x:v>0.587</x:v>
      </x:c>
      <x:c r="N304" s="49" t="s">
        <x:v>96</x:v>
      </x:c>
      <x:c r="O304" s="49" t="s">
        <x:v>149</x:v>
      </x:c>
      <x:c r="P304" s="49" t="s">
        <x:v>30</x:v>
      </x:c>
      <x:c r="Q304" s="49" t="s">
        <x:v>20</x:v>
      </x:c>
      <x:c r="R304" s="50">
        <x:v>0.84</x:v>
      </x:c>
      <x:c r="S304" s="50">
        <x:f t="shared" si="20"/>
        <x:v>-0.5</x:v>
      </x:c>
      <x:c r="T304" s="49" t="s">
        <x:v>98</x:v>
      </x:c>
      <x:c r="U304" s="49" t="str">
        <x:f t="shared" si="22"/>
        <x:v>半红</x:v>
      </x:c>
      <x:c r="V304" s="50">
        <x:f t="shared" si="23"/>
        <x:v>1.04</x:v>
      </x:c>
      <x:c r="W304" s="50">
        <x:f t="shared" si="21"/>
        <x:v>0.52</x:v>
      </x:c>
      <x:c r="X304" s="62">
        <x:v>0.89</x:v>
      </x:c>
      <x:c r="Y304" s="62">
        <x:v>-0.25</x:v>
      </x:c>
      <x:c r="Z304" s="62">
        <x:v>0.99</x:v>
      </x:c>
      <x:c r="AA304" s="62">
        <x:v>-0.25</x:v>
      </x:c>
      <x:c r="AB304" s="62">
        <x:v>0.99</x:v>
      </x:c>
      <x:c r="AC304" s="62">
        <x:v>0.84</x:v>
      </x:c>
      <x:c r="AD304" s="60">
        <x:v>2.95</x:v>
      </x:c>
      <x:c r="AE304" s="60">
        <x:v>3.32</x:v>
      </x:c>
      <x:c r="AF304" s="60">
        <x:v>2.32</x:v>
      </x:c>
      <x:c r="AG304" s="62">
        <x:v>0.0712223528831868</x:v>
      </x:c>
      <x:c r="AH304" s="62">
        <x:v>0.0212223528831868</x:v>
      </x:c>
      <x:c r="AI304" s="62">
        <x:v>0.316445087180161</x:v>
      </x:c>
      <x:c r="AJ304" s="62">
        <x:v>0.281178616620927</x:v>
      </x:c>
      <x:c r="AK304" s="62">
        <x:v>0.402376296198912</x:v>
      </x:c>
      <x:c r="AL304" s="62">
        <x:v>1.07</x:v>
      </x:c>
      <x:c r="AM304" s="62">
        <x:v>1.24</x:v>
      </x:c>
      <x:c r="AN304" s="62">
        <x:v>0.000963143108457399</x:v>
      </x:c>
      <x:c r="AO304" s="62">
        <x:v>1.1424001239087</x:v>
      </x:c>
      <x:c r="AP304" s="62">
        <x:v>-0.302400123908696</x:v>
      </x:c>
      <x:c r="AQ304" s="62" t="s">
        <x:v>99</x:v>
      </x:c>
      <x:c r="AR304" s="49">
        <x:v>-0.25</x:v>
      </x:c>
      <x:c r="AS304" s="62">
        <x:v>0.401033982671873</x:v>
      </x:c>
      <x:c r="AT304" s="62">
        <x:v>0.458141271495946</x:v>
      </x:c>
      <x:c r="AU304" s="60">
        <x:v>3.34</x:v>
      </x:c>
      <x:c r="AV304" s="60">
        <x:v>3.33</x:v>
      </x:c>
      <x:c r="AW304" s="60">
        <x:v>2.16</x:v>
      </x:c>
      <x:c r="AX304" s="49" t="s">
        <x:v>98</x:v>
      </x:c>
      <x:c r="AY304" s="49" t="s">
        <x:v>101</x:v>
      </x:c>
    </x:row>
    <x:row r="305" ht="22" customHeight="1">
      <x:c r="A305" s="49" t="s">
        <x:v>1204</x:v>
      </x:c>
      <x:c r="B305" s="49" t="s">
        <x:v>1269</x:v>
      </x:c>
      <x:c r="C305" s="49" t="s">
        <x:v>333</x:v>
      </x:c>
      <x:c r="D305" s="49" t="s">
        <x:v>90</x:v>
      </x:c>
      <x:c r="E305" s="49" t="s">
        <x:v>1245</x:v>
      </x:c>
      <x:c r="F305" s="49" t="s">
        <x:v>1277</x:v>
      </x:c>
      <x:c r="G305" s="60">
        <x:v>1</x:v>
      </x:c>
      <x:c r="H305" s="60">
        <x:v>0.5</x:v>
      </x:c>
      <x:c r="I305" s="60">
        <x:v>0.82</x:v>
      </x:c>
      <x:c r="J305" s="49" t="s">
        <x:v>1278</x:v>
      </x:c>
      <x:c r="K305" s="49" t="s">
        <x:v>189</x:v>
      </x:c>
      <x:c r="L305" s="49" t="s">
        <x:v>1279</x:v>
      </x:c>
      <x:c r="M305" s="61">
        <x:v>0.527</x:v>
      </x:c>
      <x:c r="N305" s="49" t="s">
        <x:v>96</x:v>
      </x:c>
      <x:c r="O305" s="49" t="s">
        <x:v>149</x:v>
      </x:c>
      <x:c r="P305" s="49" t="s">
        <x:v>30</x:v>
      </x:c>
      <x:c r="Q305" s="49" t="s">
        <x:v>23</x:v>
      </x:c>
      <x:c r="R305" s="50">
        <x:v>1</x:v>
      </x:c>
      <x:c r="S305" s="50">
        <x:f t="shared" si="20"/>
        <x:v>-1</x:v>
      </x:c>
      <x:c r="T305" s="49" t="s">
        <x:v>98</x:v>
      </x:c>
      <x:c r="U305" s="49" t="str">
        <x:f t="shared" si="22"/>
        <x:v>红</x:v>
      </x:c>
      <x:c r="V305" s="50">
        <x:f t="shared" si="23"/>
        <x:v>0.82</x:v>
      </x:c>
      <x:c r="W305" s="50">
        <x:f t="shared" si="21"/>
        <x:v>0.82</x:v>
      </x:c>
      <x:c r="X305" s="62">
        <x:v>0.75</x:v>
      </x:c>
      <x:c r="Y305" s="62">
        <x:v>0</x:v>
      </x:c>
      <x:c r="Z305" s="62">
        <x:v>1.01</x:v>
      </x:c>
      <x:c r="AA305" s="62">
        <x:v>0</x:v>
      </x:c>
      <x:c r="AB305" s="62">
        <x:v>0.75</x:v>
      </x:c>
      <x:c r="AC305" s="62">
        <x:v>1</x:v>
      </x:c>
      <x:c r="AD305" s="60">
        <x:v>2.32</x:v>
      </x:c>
      <x:c r="AE305" s="60">
        <x:v>3.23</x:v>
      </x:c>
      <x:c r="AF305" s="60">
        <x:v>2.74</x:v>
      </x:c>
      <x:c r="AG305" s="62">
        <x:v>0.10559550962807</x:v>
      </x:c>
      <x:c r="AH305" s="62">
        <x:v>0.0555955096280701</x:v>
      </x:c>
      <x:c r="AI305" s="62">
        <x:v>0.389866347145009</x:v>
      </x:c>
      <x:c r="AJ305" s="62">
        <x:v>0.280027840673815</x:v>
      </x:c>
      <x:c r="AK305" s="62">
        <x:v>0.330105812181176</x:v>
      </x:c>
      <x:c r="AL305" s="62">
        <x:v>1.23</x:v>
      </x:c>
      <x:c r="AM305" s="62">
        <x:v>1.11</x:v>
      </x:c>
      <x:c r="AN305" s="62">
        <x:v>0.000399023733575457</x:v>
      </x:c>
      <x:c r="AO305" s="62">
        <x:v>1.56854193579001</x:v>
      </x:c>
      <x:c r="AP305" s="62">
        <x:v>-0.568541935790012</x:v>
      </x:c>
      <x:c r="AQ305" s="62" t="s">
        <x:v>99</x:v>
      </x:c>
      <x:c r="AR305" s="49">
        <x:v>-0.5</x:v>
      </x:c>
      <x:c r="AS305" s="62">
        <x:v>0.389325938605876</x:v>
      </x:c>
      <x:c r="AT305" s="62">
        <x:v>0.610674061394124</x:v>
      </x:c>
      <x:c r="AU305" s="60">
        <x:v>2.05</x:v>
      </x:c>
      <x:c r="AV305" s="60">
        <x:v>3.41</x:v>
      </x:c>
      <x:c r="AW305" s="60">
        <x:v>3.13</x:v>
      </x:c>
      <x:c r="AX305" s="49" t="s">
        <x:v>98</x:v>
      </x:c>
      <x:c r="AY305" s="49" t="s">
        <x:v>101</x:v>
      </x:c>
    </x:row>
    <x:row r="306" ht="22" customHeight="1">
      <x:c r="A306" s="49" t="s">
        <x:v>1204</x:v>
      </x:c>
      <x:c r="B306" s="49" t="s">
        <x:v>1280</x:v>
      </x:c>
      <x:c r="C306" s="49" t="s">
        <x:v>128</x:v>
      </x:c>
      <x:c r="D306" s="49" t="s">
        <x:v>90</x:v>
      </x:c>
      <x:c r="E306" s="49" t="s">
        <x:v>1281</x:v>
      </x:c>
      <x:c r="F306" s="49" t="s">
        <x:v>1282</x:v>
      </x:c>
      <x:c r="G306" s="60">
        <x:v>0.75</x:v>
      </x:c>
      <x:c r="H306" s="60">
        <x:v>-0.25</x:v>
      </x:c>
      <x:c r="I306" s="60">
        <x:v>0.95</x:v>
      </x:c>
      <x:c r="J306" s="49" t="s">
        <x:v>1283</x:v>
      </x:c>
      <x:c r="K306" s="49" t="s">
        <x:v>195</x:v>
      </x:c>
      <x:c r="L306" s="49" t="s">
        <x:v>1284</x:v>
      </x:c>
      <x:c r="M306" s="61">
        <x:v>0.555</x:v>
      </x:c>
      <x:c r="N306" s="49" t="s">
        <x:v>96</x:v>
      </x:c>
      <x:c r="O306" s="49" t="s">
        <x:v>149</x:v>
      </x:c>
      <x:c r="P306" s="49" t="s">
        <x:v>30</x:v>
      </x:c>
      <x:c r="Q306" s="49" t="s">
        <x:v>20</x:v>
      </x:c>
      <x:c r="R306" s="50">
        <x:v>0.95</x:v>
      </x:c>
      <x:c r="S306" s="50">
        <x:f t="shared" si="20"/>
        <x:v>-0.5</x:v>
      </x:c>
      <x:c r="T306" s="49" t="s">
        <x:v>98</x:v>
      </x:c>
      <x:c r="U306" s="49" t="str">
        <x:f t="shared" si="22"/>
        <x:v>半红</x:v>
      </x:c>
      <x:c r="V306" s="50">
        <x:f t="shared" si="23"/>
        <x:v>0.75</x:v>
      </x:c>
      <x:c r="W306" s="50">
        <x:f t="shared" si="21"/>
        <x:v>0.375</x:v>
      </x:c>
      <x:c r="X306" s="62">
        <x:v>0.75</x:v>
      </x:c>
      <x:c r="Y306" s="62">
        <x:v>-0.25</x:v>
      </x:c>
      <x:c r="Z306" s="62">
        <x:v>0.95</x:v>
      </x:c>
      <x:c r="AA306" s="62">
        <x:v>-0.25</x:v>
      </x:c>
      <x:c r="AB306" s="62">
        <x:v>0.95</x:v>
      </x:c>
      <x:c r="AC306" s="62">
        <x:v>0.95</x:v>
      </x:c>
      <x:c r="AD306" s="60">
        <x:v>2.85</x:v>
      </x:c>
      <x:c r="AE306" s="60">
        <x:v>3.18</x:v>
      </x:c>
      <x:c r="AF306" s="60">
        <x:v>2.26</x:v>
      </x:c>
      <x:c r="AG306" s="62">
        <x:v>0.107820477893682</x:v>
      </x:c>
      <x:c r="AH306" s="62">
        <x:v>0.0578204778936822</x:v>
      </x:c>
      <x:c r="AI306" s="62">
        <x:v>0.316727484266751</x:v>
      </x:c>
      <x:c r="AJ306" s="62">
        <x:v>0.283859537786239</x:v>
      </x:c>
      <x:c r="AK306" s="62">
        <x:v>0.399412977947009</x:v>
      </x:c>
      <x:c r="AL306" s="62">
        <x:v>1.06</x:v>
      </x:c>
      <x:c r="AM306" s="62">
        <x:v>1.23</x:v>
      </x:c>
      <x:c r="AN306" s="62">
        <x:v>0.000765621382476283</x:v>
      </x:c>
      <x:c r="AO306" s="62">
        <x:v>1.1436444240884</x:v>
      </x:c>
      <x:c r="AP306" s="62">
        <x:v>-0.193644424088402</x:v>
      </x:c>
      <x:c r="AQ306" s="62" t="s">
        <x:v>99</x:v>
      </x:c>
      <x:c r="AR306" s="49">
        <x:v>-0.25</x:v>
      </x:c>
      <x:c r="AS306" s="62">
        <x:v>0.400462129837857</x:v>
      </x:c>
      <x:c r="AT306" s="62">
        <x:v>0.457986281847631</x:v>
      </x:c>
      <x:c r="AU306" s="60">
        <x:v>2.88</x:v>
      </x:c>
      <x:c r="AV306" s="60">
        <x:v>3.12</x:v>
      </x:c>
      <x:c r="AW306" s="60">
        <x:v>2.27</x:v>
      </x:c>
      <x:c r="AX306" s="49" t="s">
        <x:v>98</x:v>
      </x:c>
      <x:c r="AY306" s="49" t="s">
        <x:v>101</x:v>
      </x:c>
    </x:row>
    <x:row r="307" ht="22" customHeight="1">
      <x:c r="A307" s="49" t="s">
        <x:v>1204</x:v>
      </x:c>
      <x:c r="B307" s="49" t="s">
        <x:v>1280</x:v>
      </x:c>
      <x:c r="C307" s="49" t="s">
        <x:v>128</x:v>
      </x:c>
      <x:c r="D307" s="49" t="s">
        <x:v>90</x:v>
      </x:c>
      <x:c r="E307" s="49" t="s">
        <x:v>1281</x:v>
      </x:c>
      <x:c r="F307" s="49" t="s">
        <x:v>1285</x:v>
      </x:c>
      <x:c r="G307" s="60">
        <x:v>0.79</x:v>
      </x:c>
      <x:c r="H307" s="60">
        <x:v>0.5</x:v>
      </x:c>
      <x:c r="I307" s="60">
        <x:v>0.91</x:v>
      </x:c>
      <x:c r="J307" s="49" t="s">
        <x:v>968</x:v>
      </x:c>
      <x:c r="K307" s="49" t="s">
        <x:v>106</x:v>
      </x:c>
      <x:c r="L307" s="49" t="s">
        <x:v>1286</x:v>
      </x:c>
      <x:c r="M307" s="61">
        <x:v>0.58</x:v>
      </x:c>
      <x:c r="N307" s="49" t="s">
        <x:v>96</x:v>
      </x:c>
      <x:c r="O307" s="49" t="s">
        <x:v>231</x:v>
      </x:c>
      <x:c r="P307" s="49" t="s">
        <x:v>30</x:v>
      </x:c>
      <x:c r="Q307" s="49" t="s">
        <x:v>11</x:v>
      </x:c>
      <x:c r="R307" s="50">
        <x:v>0.79</x:v>
      </x:c>
      <x:c r="S307" s="50">
        <x:f t="shared" si="20"/>
        <x:v>0.79</x:v>
      </x:c>
      <x:c r="T307" s="49" t="s">
        <x:v>98</x:v>
      </x:c>
      <x:c r="U307" s="49" t="str">
        <x:f t="shared" si="22"/>
        <x:v>黑</x:v>
      </x:c>
      <x:c r="V307" s="50">
        <x:f t="shared" si="23"/>
        <x:v>0.91</x:v>
      </x:c>
      <x:c r="W307" s="50">
        <x:f t="shared" si="21"/>
        <x:v>-1</x:v>
      </x:c>
      <x:c r="X307" s="62">
        <x:v>0.86</x:v>
      </x:c>
      <x:c r="Y307" s="62">
        <x:v>0.5</x:v>
      </x:c>
      <x:c r="Z307" s="62">
        <x:v>0.84</x:v>
      </x:c>
      <x:c r="AA307" s="62">
        <x:v>-0.5</x:v>
      </x:c>
      <x:c r="AB307" s="62">
        <x:v>0.86</x:v>
      </x:c>
      <x:c r="AC307" s="62">
        <x:v>0.79</x:v>
      </x:c>
      <x:c r="AD307" s="60">
        <x:v>1.87</x:v>
      </x:c>
      <x:c r="AE307" s="60">
        <x:v>3.41</x:v>
      </x:c>
      <x:c r="AF307" s="60">
        <x:v>3.54</x:v>
      </x:c>
      <x:c r="AG307" s="62">
        <x:v>0.110500365959794</x:v>
      </x:c>
      <x:c r="AH307" s="62">
        <x:v>0.0605003659597941</x:v>
      </x:c>
      <x:c r="AI307" s="62">
        <x:v>0.481548115318794</x:v>
      </x:c>
      <x:c r="AJ307" s="62">
        <x:v>0.264074772916758</x:v>
      </x:c>
      <x:c r="AK307" s="62">
        <x:v>0.254377111764448</x:v>
      </x:c>
      <x:c r="AL307" s="62">
        <x:v>1.46</x:v>
      </x:c>
      <x:c r="AM307" s="62">
        <x:v>0.98</x:v>
      </x:c>
      <x:c r="AN307" s="62">
        <x:v>0.00070023158306794</x:v>
      </x:c>
      <x:c r="AO307" s="62">
        <x:v>1.07335907981057</x:v>
      </x:c>
      <x:c r="AP307" s="62">
        <x:v>-0.283359079810566</x:v>
      </x:c>
      <x:c r="AQ307" s="62" t="s">
        <x:v>99</x:v>
      </x:c>
      <x:c r="AR307" s="49">
        <x:v>-0.5</x:v>
      </x:c>
      <x:c r="AS307" s="62">
        <x:v>0.482309123266466</x:v>
      </x:c>
      <x:c r="AT307" s="62">
        <x:v>0.517690876733534</x:v>
      </x:c>
      <x:c r="AU307" s="60">
        <x:v>1.85</x:v>
      </x:c>
      <x:c r="AV307" s="60">
        <x:v>3.51</x:v>
      </x:c>
      <x:c r="AW307" s="60">
        <x:v>3.56</x:v>
      </x:c>
      <x:c r="AX307" s="49" t="s">
        <x:v>98</x:v>
      </x:c>
      <x:c r="AY307" s="49" t="s">
        <x:v>101</x:v>
      </x:c>
    </x:row>
    <x:row r="308" ht="22" customHeight="1">
      <x:c r="A308" s="49" t="s">
        <x:v>1204</x:v>
      </x:c>
      <x:c r="B308" s="49" t="s">
        <x:v>1287</x:v>
      </x:c>
      <x:c r="C308" s="49" t="s">
        <x:v>128</x:v>
      </x:c>
      <x:c r="D308" s="49" t="s">
        <x:v>116</x:v>
      </x:c>
      <x:c r="E308" s="49" t="s">
        <x:v>1288</x:v>
      </x:c>
      <x:c r="F308" s="49" t="s">
        <x:v>1289</x:v>
      </x:c>
      <x:c r="G308" s="60">
        <x:v>1</x:v>
      </x:c>
      <x:c r="H308" s="60">
        <x:v>0.25</x:v>
      </x:c>
      <x:c r="I308" s="60">
        <x:v>0.82</x:v>
      </x:c>
      <x:c r="J308" s="49" t="s">
        <x:v>1290</x:v>
      </x:c>
      <x:c r="K308" s="49" t="s">
        <x:v>195</x:v>
      </x:c>
      <x:c r="L308" s="49" t="s">
        <x:v>1291</x:v>
      </x:c>
      <x:c r="M308" s="61">
        <x:v>0.555</x:v>
      </x:c>
      <x:c r="N308" s="49" t="s">
        <x:v>96</x:v>
      </x:c>
      <x:c r="O308" s="49" t="s">
        <x:v>149</x:v>
      </x:c>
      <x:c r="P308" s="49" t="s">
        <x:v>30</x:v>
      </x:c>
      <x:c r="Q308" s="49" t="s">
        <x:v>20</x:v>
      </x:c>
      <x:c r="R308" s="50">
        <x:v>1</x:v>
      </x:c>
      <x:c r="S308" s="50">
        <x:f t="shared" si="20"/>
        <x:v>-0.5</x:v>
      </x:c>
      <x:c r="T308" s="49" t="s">
        <x:v>98</x:v>
      </x:c>
      <x:c r="U308" s="49" t="str">
        <x:f t="shared" si="22"/>
        <x:v>半红</x:v>
      </x:c>
      <x:c r="V308" s="50">
        <x:f t="shared" si="23"/>
        <x:v>0.82</x:v>
      </x:c>
      <x:c r="W308" s="50">
        <x:f t="shared" si="21"/>
        <x:v>0.41</x:v>
      </x:c>
      <x:c r="X308" s="62">
        <x:v>0.95</x:v>
      </x:c>
      <x:c r="Y308" s="62">
        <x:v>0.25</x:v>
      </x:c>
      <x:c r="Z308" s="62">
        <x:v>0.75</x:v>
      </x:c>
      <x:c r="AA308" s="62">
        <x:v>-0.25</x:v>
      </x:c>
      <x:c r="AB308" s="62">
        <x:v>0.95</x:v>
      </x:c>
      <x:c r="AC308" s="62">
        <x:v>1</x:v>
      </x:c>
      <x:c r="AD308" s="60">
        <x:v>2.2</x:v>
      </x:c>
      <x:c r="AE308" s="60">
        <x:v>2.94</x:v>
      </x:c>
      <x:c r="AF308" s="60">
        <x:v>3.3</x:v>
      </x:c>
      <x:c r="AG308" s="62">
        <x:v>0.0977118119975262</x:v>
      </x:c>
      <x:c r="AH308" s="62">
        <x:v>0.0477118119975262</x:v>
      </x:c>
      <x:c r="AI308" s="62">
        <x:v>0.414084507042254</x:v>
      </x:c>
      <x:c r="AJ308" s="62">
        <x:v>0.309859154929577</x:v>
      </x:c>
      <x:c r="AK308" s="62">
        <x:v>0.276056338028169</x:v>
      </x:c>
      <x:c r="AL308" s="62">
        <x:v>1.1</x:v>
      </x:c>
      <x:c r="AM308" s="62">
        <x:v>0.84</x:v>
      </x:c>
      <x:c r="AN308" s="62">
        <x:v>0.00051348503111184</x:v>
      </x:c>
      <x:c r="AO308" s="62">
        <x:v>1.04310312000764</x:v>
      </x:c>
      <x:c r="AP308" s="62">
        <x:v>-0.0431031200076433</x:v>
      </x:c>
      <x:c r="AQ308" s="62" t="s">
        <x:v>174</x:v>
      </x:c>
      <x:c r="AR308" s="49">
        <x:v>-0.25</x:v>
      </x:c>
      <x:c r="AS308" s="62">
        <x:v>0.413464942997747</x:v>
      </x:c>
      <x:c r="AT308" s="62">
        <x:v>0.431286572054733</x:v>
      </x:c>
      <x:c r="AU308" s="60">
        <x:v>2.3</x:v>
      </x:c>
      <x:c r="AV308" s="60">
        <x:v>2.96</x:v>
      </x:c>
      <x:c r="AW308" s="60">
        <x:v>3.07</x:v>
      </x:c>
      <x:c r="AX308" s="49" t="s">
        <x:v>98</x:v>
      </x:c>
      <x:c r="AY308" s="49" t="s">
        <x:v>101</x:v>
      </x:c>
    </x:row>
    <x:row r="309" ht="22" customHeight="1">
      <x:c r="A309" s="49" t="s">
        <x:v>1204</x:v>
      </x:c>
      <x:c r="B309" s="49" t="s">
        <x:v>1292</x:v>
      </x:c>
      <x:c r="C309" s="49" t="s">
        <x:v>128</x:v>
      </x:c>
      <x:c r="D309" s="49" t="s">
        <x:v>116</x:v>
      </x:c>
      <x:c r="E309" s="49" t="s">
        <x:v>1200</x:v>
      </x:c>
      <x:c r="F309" s="49" t="s">
        <x:v>1293</x:v>
      </x:c>
      <x:c r="G309" s="60">
        <x:v>0.97</x:v>
      </x:c>
      <x:c r="H309" s="60">
        <x:v>0</x:v>
      </x:c>
      <x:c r="I309" s="60">
        <x:v>0.73</x:v>
      </x:c>
      <x:c r="J309" s="49" t="s">
        <x:v>1294</x:v>
      </x:c>
      <x:c r="K309" s="49" t="s">
        <x:v>132</x:v>
      </x:c>
      <x:c r="L309" s="49" t="s">
        <x:v>1295</x:v>
      </x:c>
      <x:c r="M309" s="61">
        <x:v>0.583</x:v>
      </x:c>
      <x:c r="N309" s="49" t="s">
        <x:v>96</x:v>
      </x:c>
      <x:c r="O309" s="49" t="s">
        <x:v>231</x:v>
      </x:c>
      <x:c r="P309" s="49" t="s">
        <x:v>30</x:v>
      </x:c>
      <x:c r="Q309" s="49" t="s">
        <x:v>11</x:v>
      </x:c>
      <x:c r="R309" s="50">
        <x:v>0.97</x:v>
      </x:c>
      <x:c r="S309" s="50">
        <x:f t="shared" si="20"/>
        <x:v>0.97</x:v>
      </x:c>
      <x:c r="T309" s="49" t="s">
        <x:v>98</x:v>
      </x:c>
      <x:c r="U309" s="49" t="str">
        <x:f t="shared" si="22"/>
        <x:v>黑</x:v>
      </x:c>
      <x:c r="V309" s="50">
        <x:f t="shared" si="23"/>
        <x:v>0.73</x:v>
      </x:c>
      <x:c r="W309" s="50">
        <x:f t="shared" si="21"/>
        <x:v>-1</x:v>
      </x:c>
      <x:c r="X309" s="62">
        <x:v>0.99</x:v>
      </x:c>
      <x:c r="Y309" s="62">
        <x:v>0.25</x:v>
      </x:c>
      <x:c r="Z309" s="62">
        <x:v>0.71</x:v>
      </x:c>
      <x:c r="AA309" s="62">
        <x:v>-0.25</x:v>
      </x:c>
      <x:c r="AB309" s="62">
        <x:v>0.99</x:v>
      </x:c>
      <x:c r="AC309" s="62">
        <x:v>0.97</x:v>
      </x:c>
      <x:c r="AD309" s="60">
        <x:v>2.47</x:v>
      </x:c>
      <x:c r="AE309" s="60">
        <x:v>3.12</x:v>
      </x:c>
      <x:c r="AF309" s="60">
        <x:v>2.64</x:v>
      </x:c>
      <x:c r="AG309" s="62">
        <x:v>0.104158998895841</x:v>
      </x:c>
      <x:c r="AH309" s="62">
        <x:v>0.0541589988958411</x:v>
      </x:c>
      <x:c r="AI309" s="62">
        <x:v>0.366666666666667</x:v>
      </x:c>
      <x:c r="AJ309" s="62">
        <x:v>0.290277777777778</x:v>
      </x:c>
      <x:c r="AK309" s="62">
        <x:v>0.343055555555556</x:v>
      </x:c>
      <x:c r="AL309" s="62">
        <x:v>1.13</x:v>
      </x:c>
      <x:c r="AM309" s="62">
        <x:v>1.08</x:v>
      </x:c>
      <x:c r="AN309" s="62">
        <x:v>0.000622572928122219</x:v>
      </x:c>
      <x:c r="AO309" s="62">
        <x:v>0.931621405434303</x:v>
      </x:c>
      <x:c r="AP309" s="62">
        <x:v>0.0383785945656974</x:v>
      </x:c>
      <x:c r="AQ309" s="62" t="s">
        <x:v>174</x:v>
      </x:c>
      <x:c r="AR309" s="49">
        <x:v>0</x:v>
      </x:c>
      <x:c r="AS309" s="62">
        <x:v>0.367355484861519</x:v>
      </x:c>
      <x:c r="AT309" s="62">
        <x:v>0.342236233100688</x:v>
      </x:c>
      <x:c r="AU309" s="60">
        <x:v>2.7</x:v>
      </x:c>
      <x:c r="AV309" s="60">
        <x:v>3.04</x:v>
      </x:c>
      <x:c r="AW309" s="60">
        <x:v>2.47</x:v>
      </x:c>
      <x:c r="AX309" s="49" t="s">
        <x:v>98</x:v>
      </x:c>
      <x:c r="AY309" s="49" t="s">
        <x:v>101</x:v>
      </x:c>
    </x:row>
    <x:row r="310" ht="22" customHeight="1">
      <x:c r="A310" s="49" t="s">
        <x:v>1204</x:v>
      </x:c>
      <x:c r="B310" s="49" t="s">
        <x:v>1296</x:v>
      </x:c>
      <x:c r="C310" s="49" t="s">
        <x:v>128</x:v>
      </x:c>
      <x:c r="D310" s="49" t="s">
        <x:v>90</x:v>
      </x:c>
      <x:c r="E310" s="49" t="s">
        <x:v>1297</x:v>
      </x:c>
      <x:c r="F310" s="49" t="s">
        <x:v>1298</x:v>
      </x:c>
      <x:c r="G310" s="60">
        <x:v>0.81</x:v>
      </x:c>
      <x:c r="H310" s="60">
        <x:v>0.25</x:v>
      </x:c>
      <x:c r="I310" s="60">
        <x:v>1.08</x:v>
      </x:c>
      <x:c r="J310" s="49" t="s">
        <x:v>1299</x:v>
      </x:c>
      <x:c r="K310" s="49" t="s">
        <x:v>106</x:v>
      </x:c>
      <x:c r="L310" s="49" t="s">
        <x:v>1300</x:v>
      </x:c>
      <x:c r="M310" s="61">
        <x:v>0.58</x:v>
      </x:c>
      <x:c r="N310" s="49" t="s">
        <x:v>96</x:v>
      </x:c>
      <x:c r="O310" s="49" t="s">
        <x:v>161</x:v>
      </x:c>
      <x:c r="P310" s="49" t="s">
        <x:v>30</x:v>
      </x:c>
      <x:c r="Q310" s="49" t="s">
        <x:v>11</x:v>
      </x:c>
      <x:c r="R310" s="50">
        <x:v>0.81</x:v>
      </x:c>
      <x:c r="S310" s="50">
        <x:f t="shared" si="20"/>
        <x:v>0.81</x:v>
      </x:c>
      <x:c r="T310" s="49" t="s">
        <x:v>1301</x:v>
      </x:c>
      <x:c r="U310" s="49" t="str">
        <x:f t="shared" si="22"/>
        <x:v>黑</x:v>
      </x:c>
      <x:c r="V310" s="50">
        <x:f t="shared" si="23"/>
        <x:v>1.08</x:v>
      </x:c>
      <x:c r="W310" s="50">
        <x:f t="shared" si="21"/>
        <x:v>-1</x:v>
      </x:c>
      <x:c r="X310" s="62">
        <x:v>0.89</x:v>
      </x:c>
      <x:c r="Y310" s="62">
        <x:v>0.25</x:v>
      </x:c>
      <x:c r="Z310" s="62">
        <x:v>0.99</x:v>
      </x:c>
      <x:c r="AA310" s="62">
        <x:v>-0.25</x:v>
      </x:c>
      <x:c r="AB310" s="62">
        <x:v>0.89</x:v>
      </x:c>
      <x:c r="AC310" s="62">
        <x:v>0.81</x:v>
      </x:c>
      <x:c r="AD310" s="60">
        <x:v>2.12</x:v>
      </x:c>
      <x:c r="AE310" s="60">
        <x:v>3.15</x:v>
      </x:c>
      <x:c r="AF310" s="60">
        <x:v>3.42</x:v>
      </x:c>
      <x:c r="AG310" s="62">
        <x:v>0.0815560914865778</x:v>
      </x:c>
      <x:c r="AH310" s="62">
        <x:v>0.0315560914865778</x:v>
      </x:c>
      <x:c r="AI310" s="62">
        <x:v>0.43612912628434</x:v>
      </x:c>
      <x:c r="AJ310" s="62">
        <x:v>0.293521824673905</x:v>
      </x:c>
      <x:c r="AK310" s="62">
        <x:v>0.270349049041755</x:v>
      </x:c>
      <x:c r="AL310" s="62">
        <x:v>1.22</x:v>
      </x:c>
      <x:c r="AM310" s="62">
        <x:v>0.89</x:v>
      </x:c>
      <x:c r="AN310" s="62">
        <x:v>0.0010018010011287</x:v>
      </x:c>
      <x:c r="AO310" s="62">
        <x:v>0.950702351351629</x:v>
      </x:c>
      <x:c r="AP310" s="62">
        <x:v>-0.140702351351629</x:v>
      </x:c>
      <x:c r="AQ310" s="62" t="s">
        <x:v>99</x:v>
      </x:c>
      <x:c r="AR310" s="49">
        <x:v>-0.25</x:v>
      </x:c>
      <x:c r="AS310" s="62">
        <x:v>0.437476118741234</x:v>
      </x:c>
      <x:c r="AT310" s="62">
        <x:v>0.415909574747476</x:v>
      </x:c>
      <x:c r="AU310" s="60">
        <x:v>2.13</x:v>
      </x:c>
      <x:c r="AV310" s="60">
        <x:v>3.05</x:v>
      </x:c>
      <x:c r="AW310" s="60">
        <x:v>3.68</x:v>
      </x:c>
      <x:c r="AX310" s="49" t="s">
        <x:v>98</x:v>
      </x:c>
      <x:c r="AY310" s="49" t="s">
        <x:v>101</x:v>
      </x:c>
    </x:row>
    <x:row r="311" ht="22" customHeight="1">
      <x:c r="A311" s="49" t="s">
        <x:v>1204</x:v>
      </x:c>
      <x:c r="B311" s="49" t="s">
        <x:v>1296</x:v>
      </x:c>
      <x:c r="C311" s="49" t="s">
        <x:v>128</x:v>
      </x:c>
      <x:c r="D311" s="49" t="s">
        <x:v>90</x:v>
      </x:c>
      <x:c r="E311" s="49" t="s">
        <x:v>1195</x:v>
      </x:c>
      <x:c r="F311" s="49" t="s">
        <x:v>1302</x:v>
      </x:c>
      <x:c r="G311" s="60">
        <x:v>0.87</x:v>
      </x:c>
      <x:c r="H311" s="60">
        <x:v>1.25</x:v>
      </x:c>
      <x:c r="I311" s="60">
        <x:v>1.02</x:v>
      </x:c>
      <x:c r="J311" s="49" t="s">
        <x:v>1303</x:v>
      </x:c>
      <x:c r="K311" s="49" t="s">
        <x:v>132</x:v>
      </x:c>
      <x:c r="L311" s="49" t="s">
        <x:v>1304</x:v>
      </x:c>
      <x:c r="M311" s="61">
        <x:v>0.583</x:v>
      </x:c>
      <x:c r="N311" s="49" t="s">
        <x:v>96</x:v>
      </x:c>
      <x:c r="O311" s="49" t="s">
        <x:v>201</x:v>
      </x:c>
      <x:c r="P311" s="49" t="s">
        <x:v>30</x:v>
      </x:c>
      <x:c r="Q311" s="49" t="s">
        <x:v>20</x:v>
      </x:c>
      <x:c r="R311" s="50">
        <x:v>0.87</x:v>
      </x:c>
      <x:c r="S311" s="50">
        <x:f t="shared" si="20"/>
        <x:v>-0.5</x:v>
      </x:c>
      <x:c r="T311" s="49" t="s">
        <x:v>1305</x:v>
      </x:c>
      <x:c r="U311" s="49" t="str">
        <x:f t="shared" si="22"/>
        <x:v>半红</x:v>
      </x:c>
      <x:c r="V311" s="50">
        <x:f t="shared" si="23"/>
        <x:v>1.02</x:v>
      </x:c>
      <x:c r="W311" s="50">
        <x:f t="shared" si="21"/>
        <x:v>0.51</x:v>
      </x:c>
      <x:c r="X311" s="62">
        <x:v>0.86</x:v>
      </x:c>
      <x:c r="Y311" s="62">
        <x:v>1.5</x:v>
      </x:c>
      <x:c r="Z311" s="62">
        <x:v>1.02</x:v>
      </x:c>
      <x:c r="AA311" s="62">
        <x:v>-1.5</x:v>
      </x:c>
      <x:c r="AB311" s="62">
        <x:v>0.86</x:v>
      </x:c>
      <x:c r="AC311" s="62">
        <x:v>0.87</x:v>
      </x:c>
      <x:c r="AD311" s="60">
        <x:v>1.27</x:v>
      </x:c>
      <x:c r="AE311" s="60">
        <x:v>4.87</x:v>
      </x:c>
      <x:c r="AF311" s="60">
        <x:v>13.15</x:v>
      </x:c>
      <x:c r="AG311" s="62">
        <x:v>0.0687860112144829</x:v>
      </x:c>
      <x:c r="AH311" s="62">
        <x:v>0.0187860112144829</x:v>
      </x:c>
      <x:c r="AI311" s="62">
        <x:v>0.736725187774875</x:v>
      </x:c>
      <x:c r="AJ311" s="62">
        <x:v>0.192123406257514</x:v>
      </x:c>
      <x:c r="AK311" s="62">
        <x:v>0.0711514059676115</x:v>
      </x:c>
      <x:c r="AL311" s="62">
        <x:v>1.9</x:v>
      </x:c>
      <x:c r="AM311" s="62">
        <x:v>0.41</x:v>
      </x:c>
      <x:c r="AN311" s="62">
        <x:v>0.000675248165134168</x:v>
      </x:c>
      <x:c r="AO311" s="62">
        <x:v>0.862838798919449</x:v>
      </x:c>
      <x:c r="AP311" s="62">
        <x:v>0.00716120108055085</x:v>
      </x:c>
      <x:c r="AQ311" s="62" t="s">
        <x:v>174</x:v>
      </x:c>
      <x:c r="AR311" s="49">
        <x:v>-1.25</x:v>
      </x:c>
      <x:c r="AS311" s="62">
        <x:v>0.463744925857131</x:v>
      </x:c>
      <x:c r="AT311" s="62">
        <x:v>0.400137114831556</x:v>
      </x:c>
      <x:c r="AU311" s="60">
        <x:v>1.33</x:v>
      </x:c>
      <x:c r="AV311" s="60">
        <x:v>4.65</x:v>
      </x:c>
      <x:c r="AW311" s="60">
        <x:v>9.97</x:v>
      </x:c>
      <x:c r="AX311" s="49" t="s">
        <x:v>98</x:v>
      </x:c>
      <x:c r="AY311" s="49" t="s">
        <x:v>101</x:v>
      </x:c>
    </x:row>
    <x:row r="312" ht="22" customHeight="1">
      <x:c r="A312" s="49" t="s">
        <x:v>1204</x:v>
      </x:c>
      <x:c r="B312" s="49" t="s">
        <x:v>1296</x:v>
      </x:c>
      <x:c r="C312" s="49" t="s">
        <x:v>128</x:v>
      </x:c>
      <x:c r="D312" s="49" t="s">
        <x:v>90</x:v>
      </x:c>
      <x:c r="E312" s="49" t="s">
        <x:v>1306</x:v>
      </x:c>
      <x:c r="F312" s="49" t="s">
        <x:v>1307</x:v>
      </x:c>
      <x:c r="G312" s="60">
        <x:v>0.82</x:v>
      </x:c>
      <x:c r="H312" s="60">
        <x:v>0.25</x:v>
      </x:c>
      <x:c r="I312" s="60">
        <x:v>1</x:v>
      </x:c>
      <x:c r="J312" s="49" t="s">
        <x:v>721</x:v>
      </x:c>
      <x:c r="K312" s="49" t="s">
        <x:v>106</x:v>
      </x:c>
      <x:c r="L312" s="49" t="s">
        <x:v>1308</x:v>
      </x:c>
      <x:c r="M312" s="61">
        <x:v>0.58</x:v>
      </x:c>
      <x:c r="N312" s="49" t="s">
        <x:v>96</x:v>
      </x:c>
      <x:c r="O312" s="49" t="s">
        <x:v>126</x:v>
      </x:c>
      <x:c r="P312" s="49" t="s">
        <x:v>30</x:v>
      </x:c>
      <x:c r="Q312" s="49" t="s">
        <x:v>20</x:v>
      </x:c>
      <x:c r="R312" s="50">
        <x:v>0.82</x:v>
      </x:c>
      <x:c r="S312" s="50">
        <x:f t="shared" si="20"/>
        <x:v>-0.5</x:v>
      </x:c>
      <x:c r="T312" s="49" t="s">
        <x:v>1309</x:v>
      </x:c>
      <x:c r="U312" s="49" t="str">
        <x:f t="shared" si="22"/>
        <x:v>半红</x:v>
      </x:c>
      <x:c r="V312" s="50">
        <x:f t="shared" si="23"/>
        <x:v>1</x:v>
      </x:c>
      <x:c r="W312" s="50">
        <x:f t="shared" si="21"/>
        <x:v>0.5</x:v>
      </x:c>
      <x:c r="X312" s="62">
        <x:v>1.11</x:v>
      </x:c>
      <x:c r="Y312" s="62">
        <x:v>0.25</x:v>
      </x:c>
      <x:c r="Z312" s="62">
        <x:v>0.78</x:v>
      </x:c>
      <x:c r="AA312" s="62">
        <x:v>-0.25</x:v>
      </x:c>
      <x:c r="AB312" s="62">
        <x:v>1.11</x:v>
      </x:c>
      <x:c r="AC312" s="62">
        <x:v>0.82</x:v>
      </x:c>
      <x:c r="AD312" s="60">
        <x:v>2.46</x:v>
      </x:c>
      <x:c r="AE312" s="60">
        <x:v>2.88</x:v>
      </x:c>
      <x:c r="AF312" s="60">
        <x:v>2.98</x:v>
      </x:c>
      <x:c r="AG312" s="62">
        <x:v>0.0892967570615304</x:v>
      </x:c>
      <x:c r="AH312" s="62">
        <x:v>0.0392967570615304</x:v>
      </x:c>
      <x:c r="AI312" s="62">
        <x:v>0.373180276545787</x:v>
      </x:c>
      <x:c r="AJ312" s="62">
        <x:v>0.318758152882859</x:v>
      </x:c>
      <x:c r="AK312" s="62">
        <x:v>0.308061570571354</x:v>
      </x:c>
      <x:c r="AL312" s="62">
        <x:v>1</x:v>
      </x:c>
      <x:c r="AM312" s="62">
        <x:v>0.88</x:v>
      </x:c>
      <x:c r="AN312" s="62">
        <x:v>0.000576683692963304</x:v>
      </x:c>
      <x:c r="AO312" s="62">
        <x:v>1.25591369490295</x:v>
      </x:c>
      <x:c r="AP312" s="62">
        <x:v>-0.43591369490295</x:v>
      </x:c>
      <x:c r="AQ312" s="62" t="s">
        <x:v>99</x:v>
      </x:c>
      <x:c r="AR312" s="49">
        <x:v>-0.25</x:v>
      </x:c>
      <x:c r="AS312" s="62">
        <x:v>0.372473482705227</x:v>
      </x:c>
      <x:c r="AT312" s="62">
        <x:v>0.467794547917691</x:v>
      </x:c>
      <x:c r="AU312" s="60">
        <x:v>2.23</x:v>
      </x:c>
      <x:c r="AV312" s="60">
        <x:v>2.82</x:v>
      </x:c>
      <x:c r="AW312" s="60">
        <x:v>3.62</x:v>
      </x:c>
      <x:c r="AX312" s="49" t="s">
        <x:v>98</x:v>
      </x:c>
      <x:c r="AY312" s="49" t="s">
        <x:v>101</x:v>
      </x:c>
    </x:row>
    <x:row r="313" ht="22" customHeight="1">
      <x:c r="A313" s="49" t="s">
        <x:v>1204</x:v>
      </x:c>
      <x:c r="B313" s="49" t="s">
        <x:v>1310</x:v>
      </x:c>
      <x:c r="C313" s="49" t="s">
        <x:v>128</x:v>
      </x:c>
      <x:c r="D313" s="49" t="s">
        <x:v>90</x:v>
      </x:c>
      <x:c r="E313" s="49" t="s">
        <x:v>1311</x:v>
      </x:c>
      <x:c r="F313" s="49" t="s">
        <x:v>1312</x:v>
      </x:c>
      <x:c r="G313" s="60">
        <x:v>0.82</x:v>
      </x:c>
      <x:c r="H313" s="60">
        <x:v>-0.25</x:v>
      </x:c>
      <x:c r="I313" s="60">
        <x:v>1</x:v>
      </x:c>
      <x:c r="J313" s="49" t="s">
        <x:v>1313</x:v>
      </x:c>
      <x:c r="K313" s="49" t="s">
        <x:v>195</x:v>
      </x:c>
      <x:c r="L313" s="49" t="s">
        <x:v>1113</x:v>
      </x:c>
      <x:c r="M313" s="61">
        <x:v>0.555</x:v>
      </x:c>
      <x:c r="N313" s="49" t="s">
        <x:v>96</x:v>
      </x:c>
      <x:c r="O313" s="49" t="s">
        <x:v>169</x:v>
      </x:c>
      <x:c r="P313" s="49" t="s">
        <x:v>30</x:v>
      </x:c>
      <x:c r="Q313" s="49" t="s">
        <x:v>11</x:v>
      </x:c>
      <x:c r="R313" s="50">
        <x:v>1</x:v>
      </x:c>
      <x:c r="S313" s="50">
        <x:f t="shared" si="20"/>
        <x:v>1</x:v>
      </x:c>
      <x:c r="T313" s="49" t="s">
        <x:v>1314</x:v>
      </x:c>
      <x:c r="U313" s="49" t="str">
        <x:f t="shared" si="22"/>
        <x:v>黑</x:v>
      </x:c>
      <x:c r="V313" s="50">
        <x:f t="shared" si="23"/>
        <x:v>0.82</x:v>
      </x:c>
      <x:c r="W313" s="50">
        <x:f t="shared" si="21"/>
        <x:v>-1</x:v>
      </x:c>
      <x:c r="X313" s="62">
        <x:v>0.8</x:v>
      </x:c>
      <x:c r="Y313" s="62">
        <x:v>-0.25</x:v>
      </x:c>
      <x:c r="Z313" s="62">
        <x:v>1.02</x:v>
      </x:c>
      <x:c r="AA313" s="62">
        <x:v>-0.25</x:v>
      </x:c>
      <x:c r="AB313" s="62">
        <x:v>1.02</x:v>
      </x:c>
      <x:c r="AC313" s="62">
        <x:v>1</x:v>
      </x:c>
      <x:c r="AD313" s="60">
        <x:v>3.01</x:v>
      </x:c>
      <x:c r="AE313" s="60">
        <x:v>3.03</x:v>
      </x:c>
      <x:c r="AF313" s="60">
        <x:v>2.28</x:v>
      </x:c>
      <x:c r="AG313" s="62">
        <x:v>0.100855408149663</x:v>
      </x:c>
      <x:c r="AH313" s="62">
        <x:v>0.0508554081496626</x:v>
      </x:c>
      <x:c r="AI313" s="62">
        <x:v>0.301788873599371</x:v>
      </x:c>
      <x:c r="AJ313" s="62">
        <x:v>0.299796867833038</x:v>
      </x:c>
      <x:c r="AK313" s="62">
        <x:v>0.398414258567591</x:v>
      </x:c>
      <x:c r="AL313" s="62">
        <x:v>0.94</x:v>
      </x:c>
      <x:c r="AM313" s="62">
        <x:v>1.13</x:v>
      </x:c>
      <x:c r="AN313" s="62">
        <x:v>0.000647008717137256</x:v>
      </x:c>
      <x:c r="AO313" s="62">
        <x:v>1.13090933863925</x:v>
      </x:c>
      <x:c r="AP313" s="62">
        <x:v>-0.130909338639248</x:v>
      </x:c>
      <x:c r="AQ313" s="62" t="s">
        <x:v>99</x:v>
      </x:c>
      <x:c r="AR313" s="49">
        <x:v>-0.25</x:v>
      </x:c>
      <x:c r="AS313" s="62">
        <x:v>0.398819167329891</x:v>
      </x:c>
      <x:c r="AT313" s="62">
        <x:v>0.451028320761703</x:v>
      </x:c>
      <x:c r="AU313" s="60">
        <x:v>2.95</x:v>
      </x:c>
      <x:c r="AV313" s="60">
        <x:v>2.95</x:v>
      </x:c>
      <x:c r="AW313" s="60">
        <x:v>2.4</x:v>
      </x:c>
      <x:c r="AX313" s="49" t="s">
        <x:v>98</x:v>
      </x:c>
      <x:c r="AY313" s="49" t="s">
        <x:v>101</x:v>
      </x:c>
    </x:row>
    <x:row r="314" ht="22" customHeight="1">
      <x:c r="A314" s="49" t="s">
        <x:v>1204</x:v>
      </x:c>
      <x:c r="B314" s="49" t="s">
        <x:v>1315</x:v>
      </x:c>
      <x:c r="C314" s="49" t="s">
        <x:v>128</x:v>
      </x:c>
      <x:c r="D314" s="49" t="s">
        <x:v>116</x:v>
      </x:c>
      <x:c r="E314" s="49" t="s">
        <x:v>1200</x:v>
      </x:c>
      <x:c r="F314" s="49" t="s">
        <x:v>1316</x:v>
      </x:c>
      <x:c r="G314" s="60">
        <x:v>0.96</x:v>
      </x:c>
      <x:c r="H314" s="60">
        <x:v>0.25</x:v>
      </x:c>
      <x:c r="I314" s="60">
        <x:v>0.74</x:v>
      </x:c>
      <x:c r="J314" s="49" t="s">
        <x:v>209</x:v>
      </x:c>
      <x:c r="K314" s="49" t="s">
        <x:v>195</x:v>
      </x:c>
      <x:c r="L314" s="49" t="s">
        <x:v>1317</x:v>
      </x:c>
      <x:c r="M314" s="61">
        <x:v>0.555</x:v>
      </x:c>
      <x:c r="N314" s="49" t="s">
        <x:v>96</x:v>
      </x:c>
      <x:c r="O314" s="49" t="s">
        <x:v>126</x:v>
      </x:c>
      <x:c r="P314" s="49" t="s">
        <x:v>30</x:v>
      </x:c>
      <x:c r="Q314" s="49" t="s">
        <x:v>20</x:v>
      </x:c>
      <x:c r="R314" s="50">
        <x:v>0.96</x:v>
      </x:c>
      <x:c r="S314" s="50">
        <x:f t="shared" si="20"/>
        <x:v>-0.5</x:v>
      </x:c>
      <x:c r="T314" s="49" t="s">
        <x:v>1318</x:v>
      </x:c>
      <x:c r="U314" s="49" t="str">
        <x:f t="shared" si="22"/>
        <x:v>半红</x:v>
      </x:c>
      <x:c r="V314" s="50">
        <x:f t="shared" si="23"/>
        <x:v>0.74</x:v>
      </x:c>
      <x:c r="W314" s="50">
        <x:f t="shared" si="21"/>
        <x:v>0.37</x:v>
      </x:c>
      <x:c r="X314" s="62">
        <x:v>0.85</x:v>
      </x:c>
      <x:c r="Y314" s="62">
        <x:v>0.25</x:v>
      </x:c>
      <x:c r="Z314" s="62">
        <x:v>0.85</x:v>
      </x:c>
      <x:c r="AA314" s="62">
        <x:v>-0.25</x:v>
      </x:c>
      <x:c r="AB314" s="62">
        <x:v>0.85</x:v>
      </x:c>
      <x:c r="AC314" s="62">
        <x:v>0.96</x:v>
      </x:c>
      <x:c r="AD314" s="60">
        <x:v>2.31</x:v>
      </x:c>
      <x:c r="AE314" s="60">
        <x:v>3.22</x:v>
      </x:c>
      <x:c r="AF314" s="60">
        <x:v>2.79</x:v>
      </x:c>
      <x:c r="AG314" s="62">
        <x:v>0.101882378179713</x:v>
      </x:c>
      <x:c r="AH314" s="62">
        <x:v>0.0518823781797133</x:v>
      </x:c>
      <x:c r="AI314" s="62">
        <x:v>0.392873542106713</x:v>
      </x:c>
      <x:c r="AJ314" s="62">
        <x:v>0.281844062815686</x:v>
      </x:c>
      <x:c r="AK314" s="62">
        <x:v>0.325282395077601</x:v>
      </x:c>
      <x:c r="AL314" s="62">
        <x:v>1.23</x:v>
      </x:c>
      <x:c r="AM314" s="62">
        <x:v>1.09</x:v>
      </x:c>
      <x:c r="AN314" s="62">
        <x:v>0.000619919250381325</x:v>
      </x:c>
      <x:c r="AO314" s="62">
        <x:v>1.18242405506286</x:v>
      </x:c>
      <x:c r="AP314" s="62">
        <x:v>-0.222424055062861</x:v>
      </x:c>
      <x:c r="AQ314" s="62" t="s">
        <x:v>99</x:v>
      </x:c>
      <x:c r="AR314" s="49">
        <x:v>-0.25</x:v>
      </x:c>
      <x:c r="AS314" s="62">
        <x:v>0.39374782166403</x:v>
      </x:c>
      <x:c r="AT314" s="62">
        <x:v>0.46557689596415</x:v>
      </x:c>
      <x:c r="AU314" s="60">
        <x:v>2.3</x:v>
      </x:c>
      <x:c r="AV314" s="60">
        <x:v>3.36</x:v>
      </x:c>
      <x:c r="AW314" s="60">
        <x:v>2.72</x:v>
      </x:c>
      <x:c r="AX314" s="49" t="s">
        <x:v>98</x:v>
      </x:c>
      <x:c r="AY314" s="49" t="s">
        <x:v>101</x:v>
      </x:c>
    </x:row>
    <x:row r="315" ht="22" customHeight="1">
      <x:c r="A315" s="49" t="s">
        <x:v>1204</x:v>
      </x:c>
      <x:c r="B315" s="49" t="s">
        <x:v>1315</x:v>
      </x:c>
      <x:c r="C315" s="49" t="s">
        <x:v>447</x:v>
      </x:c>
      <x:c r="D315" s="49" t="s">
        <x:v>116</x:v>
      </x:c>
      <x:c r="E315" s="49" t="s">
        <x:v>1006</x:v>
      </x:c>
      <x:c r="F315" s="49" t="s">
        <x:v>1319</x:v>
      </x:c>
      <x:c r="G315" s="60">
        <x:v>0.83</x:v>
      </x:c>
      <x:c r="H315" s="60">
        <x:v>0</x:v>
      </x:c>
      <x:c r="I315" s="60">
        <x:v>1.06</x:v>
      </x:c>
      <x:c r="J315" s="49" t="s">
        <x:v>1320</x:v>
      </x:c>
      <x:c r="K315" s="49" t="s">
        <x:v>132</x:v>
      </x:c>
      <x:c r="L315" s="49" t="s">
        <x:v>1321</x:v>
      </x:c>
      <x:c r="M315" s="61">
        <x:v>0.574</x:v>
      </x:c>
      <x:c r="N315" s="49" t="s">
        <x:v>96</x:v>
      </x:c>
      <x:c r="O315" s="49" t="s">
        <x:v>169</x:v>
      </x:c>
      <x:c r="P315" s="49" t="s">
        <x:v>30</x:v>
      </x:c>
      <x:c r="Q315" s="49" t="s">
        <x:v>23</x:v>
      </x:c>
      <x:c r="R315" s="50">
        <x:v>0.83</x:v>
      </x:c>
      <x:c r="S315" s="50">
        <x:f t="shared" si="20"/>
        <x:v>-1</x:v>
      </x:c>
      <x:c r="T315" s="49" t="s">
        <x:v>1322</x:v>
      </x:c>
      <x:c r="U315" s="49" t="str">
        <x:f t="shared" si="22"/>
        <x:v>红</x:v>
      </x:c>
      <x:c r="V315" s="50">
        <x:f t="shared" si="23"/>
        <x:v>1.06</x:v>
      </x:c>
      <x:c r="W315" s="50">
        <x:f t="shared" si="21"/>
        <x:v>1.06</x:v>
      </x:c>
      <x:c r="X315" s="62">
        <x:v>0.98</x:v>
      </x:c>
      <x:c r="Y315" s="62">
        <x:v>0.25</x:v>
      </x:c>
      <x:c r="Z315" s="62">
        <x:v>0.9</x:v>
      </x:c>
      <x:c r="AA315" s="62">
        <x:v>-0.25</x:v>
      </x:c>
      <x:c r="AB315" s="62">
        <x:v>0.98</x:v>
      </x:c>
      <x:c r="AC315" s="62">
        <x:v>0.83</x:v>
      </x:c>
      <x:c r="AD315" s="60">
        <x:v>2.25</x:v>
      </x:c>
      <x:c r="AE315" s="60">
        <x:v>3.67</x:v>
      </x:c>
      <x:c r="AF315" s="60">
        <x:v>2.76</x:v>
      </x:c>
      <x:c r="AG315" s="62">
        <x:v>0.0792428490568522</x:v>
      </x:c>
      <x:c r="AH315" s="62">
        <x:v>0.0292428490568522</x:v>
      </x:c>
      <x:c r="AI315" s="62">
        <x:v>0.411811340545683</x:v>
      </x:c>
      <x:c r="AJ315" s="62">
        <x:v>0.252472892705119</x:v>
      </x:c>
      <x:c r="AK315" s="62">
        <x:v>0.335715766749198</x:v>
      </x:c>
      <x:c r="AL315" s="62">
        <x:v>1.48</x:v>
      </x:c>
      <x:c r="AM315" s="62">
        <x:v>1.31</x:v>
      </x:c>
      <x:c r="AN315" s="62">
        <x:v>0.000443300533481336</x:v>
      </x:c>
      <x:c r="AO315" s="62">
        <x:v>0.81297458748167</x:v>
      </x:c>
      <x:c r="AP315" s="62">
        <x:v>0.0170254125183305</x:v>
      </x:c>
      <x:c r="AQ315" s="62" t="s">
        <x:v>174</x:v>
      </x:c>
      <x:c r="AR315" s="49">
        <x:v>0</x:v>
      </x:c>
      <x:c r="AS315" s="62">
        <x:v>0.412422420952554</x:v>
      </x:c>
      <x:c r="AT315" s="62">
        <x:v>0.335288947542094</x:v>
      </x:c>
      <x:c r="AU315" s="60">
        <x:v>2.31</x:v>
      </x:c>
      <x:c r="AV315" s="60">
        <x:v>3.73</x:v>
      </x:c>
      <x:c r="AW315" s="60">
        <x:v>2.71</x:v>
      </x:c>
      <x:c r="AX315" s="49" t="s">
        <x:v>98</x:v>
      </x:c>
      <x:c r="AY315" s="49" t="s">
        <x:v>101</x:v>
      </x:c>
    </x:row>
    <x:row r="316" ht="22" customHeight="1">
      <x:c r="A316" s="49" t="s">
        <x:v>1204</x:v>
      </x:c>
      <x:c r="B316" s="49" t="s">
        <x:v>1315</x:v>
      </x:c>
      <x:c r="C316" s="49" t="s">
        <x:v>447</x:v>
      </x:c>
      <x:c r="D316" s="49" t="s">
        <x:v>116</x:v>
      </x:c>
      <x:c r="E316" s="49" t="s">
        <x:v>1006</x:v>
      </x:c>
      <x:c r="F316" s="49" t="s">
        <x:v>1323</x:v>
      </x:c>
      <x:c r="G316" s="60">
        <x:v>0.83</x:v>
      </x:c>
      <x:c r="H316" s="60">
        <x:v>-0.5</x:v>
      </x:c>
      <x:c r="I316" s="60">
        <x:v>1.06</x:v>
      </x:c>
      <x:c r="J316" s="49" t="s">
        <x:v>271</x:v>
      </x:c>
      <x:c r="K316" s="49" t="s">
        <x:v>189</x:v>
      </x:c>
      <x:c r="L316" s="49" t="s">
        <x:v>1324</x:v>
      </x:c>
      <x:c r="M316" s="61">
        <x:v>0.523</x:v>
      </x:c>
      <x:c r="N316" s="49" t="s">
        <x:v>96</x:v>
      </x:c>
      <x:c r="O316" s="49" t="s">
        <x:v>231</x:v>
      </x:c>
      <x:c r="P316" s="49" t="s">
        <x:v>30</x:v>
      </x:c>
      <x:c r="Q316" s="49" t="s">
        <x:v>23</x:v>
      </x:c>
      <x:c r="R316" s="50">
        <x:v>1.06</x:v>
      </x:c>
      <x:c r="S316" s="50">
        <x:f t="shared" si="20"/>
        <x:v>-1</x:v>
      </x:c>
      <x:c r="T316" s="49" t="s">
        <x:v>1325</x:v>
      </x:c>
      <x:c r="U316" s="49" t="str">
        <x:f t="shared" si="22"/>
        <x:v>红</x:v>
      </x:c>
      <x:c r="V316" s="50">
        <x:f t="shared" si="23"/>
        <x:v>0.83</x:v>
      </x:c>
      <x:c r="W316" s="50">
        <x:f t="shared" si="21"/>
        <x:v>0.83</x:v>
      </x:c>
      <x:c r="X316" s="62">
        <x:v>0.94</x:v>
      </x:c>
      <x:c r="Y316" s="62">
        <x:v>-0.25</x:v>
      </x:c>
      <x:c r="Z316" s="62">
        <x:v>0.94</x:v>
      </x:c>
      <x:c r="AA316" s="62">
        <x:v>-0.25</x:v>
      </x:c>
      <x:c r="AB316" s="62">
        <x:v>0.94</x:v>
      </x:c>
      <x:c r="AC316" s="62">
        <x:v>1.06</x:v>
      </x:c>
      <x:c r="AD316" s="60">
        <x:v>2.94</x:v>
      </x:c>
      <x:c r="AE316" s="60">
        <x:v>3.56</x:v>
      </x:c>
      <x:c r="AF316" s="60">
        <x:v>2.18</x:v>
      </x:c>
      <x:c r="AG316" s="62">
        <x:v>0.0797505271565382</x:v>
      </x:c>
      <x:c r="AH316" s="62">
        <x:v>0.0297505271565382</x:v>
      </x:c>
      <x:c r="AI316" s="62">
        <x:v>0.315013557175561</x:v>
      </x:c>
      <x:c r="AJ316" s="62">
        <x:v>0.260151645532627</x:v>
      </x:c>
      <x:c r="AK316" s="62">
        <x:v>0.424834797291812</x:v>
      </x:c>
      <x:c r="AL316" s="62">
        <x:v>1.19</x:v>
      </x:c>
      <x:c r="AM316" s="62">
        <x:v>1.43</x:v>
      </x:c>
      <x:c r="AN316" s="62">
        <x:v>0.000846728586107033</x:v>
      </x:c>
      <x:c r="AO316" s="62">
        <x:v>1.34932329250346</x:v>
      </x:c>
      <x:c r="AP316" s="62">
        <x:v>-0.289323292503458</x:v>
      </x:c>
      <x:c r="AQ316" s="62" t="s">
        <x:v>99</x:v>
      </x:c>
      <x:c r="AR316" s="49">
        <x:v>-0.5</x:v>
      </x:c>
      <x:c r="AS316" s="62">
        <x:v>0.425654486630655</x:v>
      </x:c>
      <x:c r="AT316" s="62">
        <x:v>0.574345513369345</x:v>
      </x:c>
      <x:c r="AU316" s="60">
        <x:v>3.31</x:v>
      </x:c>
      <x:c r="AV316" s="60">
        <x:v>3.56</x:v>
      </x:c>
      <x:c r="AW316" s="60">
        <x:v>2.06</x:v>
      </x:c>
      <x:c r="AX316" s="49" t="s">
        <x:v>98</x:v>
      </x:c>
      <x:c r="AY316" s="49" t="s">
        <x:v>101</x:v>
      </x:c>
    </x:row>
    <x:row r="317" ht="22" customHeight="1">
      <x:c r="A317" s="49" t="s">
        <x:v>1204</x:v>
      </x:c>
      <x:c r="B317" s="49" t="s">
        <x:v>1315</x:v>
      </x:c>
      <x:c r="C317" s="49" t="s">
        <x:v>447</x:v>
      </x:c>
      <x:c r="D317" s="49" t="s">
        <x:v>116</x:v>
      </x:c>
      <x:c r="E317" s="49" t="s">
        <x:v>1006</x:v>
      </x:c>
      <x:c r="F317" s="49" t="s">
        <x:v>1326</x:v>
      </x:c>
      <x:c r="G317" s="60">
        <x:v>0.85</x:v>
      </x:c>
      <x:c r="H317" s="60">
        <x:v>0.75</x:v>
      </x:c>
      <x:c r="I317" s="60">
        <x:v>1.04</x:v>
      </x:c>
      <x:c r="J317" s="49" t="s">
        <x:v>1327</x:v>
      </x:c>
      <x:c r="K317" s="49" t="s">
        <x:v>276</x:v>
      </x:c>
      <x:c r="L317" s="49" t="s">
        <x:v>1328</x:v>
      </x:c>
      <x:c r="M317" s="61">
        <x:v>0.561</x:v>
      </x:c>
      <x:c r="N317" s="49" t="s">
        <x:v>96</x:v>
      </x:c>
      <x:c r="O317" s="49" t="s">
        <x:v>317</x:v>
      </x:c>
      <x:c r="P317" s="49" t="s">
        <x:v>30</x:v>
      </x:c>
      <x:c r="Q317" s="49" t="s">
        <x:v>23</x:v>
      </x:c>
      <x:c r="R317" s="50">
        <x:v>1.04</x:v>
      </x:c>
      <x:c r="S317" s="50">
        <x:f t="shared" si="20"/>
        <x:v>-1</x:v>
      </x:c>
      <x:c r="T317" s="49" t="s">
        <x:v>1329</x:v>
      </x:c>
      <x:c r="U317" s="49" t="str">
        <x:f t="shared" si="22"/>
        <x:v>红</x:v>
      </x:c>
      <x:c r="V317" s="50">
        <x:f t="shared" si="23"/>
        <x:v>0.85</x:v>
      </x:c>
      <x:c r="W317" s="50">
        <x:f t="shared" si="21"/>
        <x:v>0.85</x:v>
      </x:c>
      <x:c r="X317" s="62">
        <x:v>0.84</x:v>
      </x:c>
      <x:c r="Y317" s="62">
        <x:v>0.75</x:v>
      </x:c>
      <x:c r="Z317" s="62">
        <x:v>1.04</x:v>
      </x:c>
      <x:c r="AA317" s="62">
        <x:v>0.75</x:v>
      </x:c>
      <x:c r="AB317" s="62">
        <x:v>1.04</x:v>
      </x:c>
      <x:c r="AC317" s="62">
        <x:v>1.04</x:v>
      </x:c>
      <x:c r="AD317" s="60">
        <x:v>1.68</x:v>
      </x:c>
      <x:c r="AE317" s="60">
        <x:v>4.22</x:v>
      </x:c>
      <x:c r="AF317" s="60">
        <x:v>4.05</x:v>
      </x:c>
      <x:c r="AG317" s="62">
        <x:v>0.0791185001295587</x:v>
      </x:c>
      <x:c r="AH317" s="62">
        <x:v>0.0291185001295587</x:v>
      </x:c>
      <x:c r="AI317" s="62">
        <x:v>0.551596599601092</x:v>
      </x:c>
      <x:c r="AJ317" s="62">
        <x:v>0.219592959082899</x:v>
      </x:c>
      <x:c r="AK317" s="62">
        <x:v>0.228810441316009</x:v>
      </x:c>
      <x:c r="AL317" s="62">
        <x:v>1.94</x:v>
      </x:c>
      <x:c r="AM317" s="62">
        <x:v>1.18</x:v>
      </x:c>
      <x:c r="AN317" s="62">
        <x:v>0.000700608263390255</x:v>
      </x:c>
      <x:c r="AO317" s="62">
        <x:v>0.970270085617878</x:v>
      </x:c>
      <x:c r="AP317" s="62">
        <x:v>0.0697299143821222</x:v>
      </x:c>
      <x:c r="AQ317" s="62" t="s">
        <x:v>142</x:v>
      </x:c>
      <x:c r="AR317" s="49">
        <x:v>0.75</x:v>
      </x:c>
      <x:c r="AS317" s="62">
        <x:v>0.44939360356564</x:v>
      </x:c>
      <x:c r="AT317" s="62">
        <x:v>0.43603317020776</x:v>
      </x:c>
      <x:c r="AU317" s="60">
        <x:v>1.66</x:v>
      </x:c>
      <x:c r="AV317" s="60">
        <x:v>4.36</x:v>
      </x:c>
      <x:c r="AW317" s="60">
        <x:v>4.2</x:v>
      </x:c>
      <x:c r="AX317" s="49" t="s">
        <x:v>98</x:v>
      </x:c>
      <x:c r="AY317" s="49" t="s">
        <x:v>101</x:v>
      </x:c>
    </x:row>
    <x:row r="318" ht="22" customHeight="1">
      <x:c r="A318" s="49" t="s">
        <x:v>1204</x:v>
      </x:c>
      <x:c r="B318" s="49" t="s">
        <x:v>1330</x:v>
      </x:c>
      <x:c r="C318" s="49" t="s">
        <x:v>128</x:v>
      </x:c>
      <x:c r="D318" s="49" t="s">
        <x:v>90</x:v>
      </x:c>
      <x:c r="E318" s="49" t="s">
        <x:v>1311</x:v>
      </x:c>
      <x:c r="F318" s="49" t="s">
        <x:v>1331</x:v>
      </x:c>
      <x:c r="G318" s="60">
        <x:v>0.91</x:v>
      </x:c>
      <x:c r="H318" s="60">
        <x:v>1</x:v>
      </x:c>
      <x:c r="I318" s="60">
        <x:v>0.91</x:v>
      </x:c>
      <x:c r="J318" s="49" t="s">
        <x:v>1332</x:v>
      </x:c>
      <x:c r="K318" s="49" t="s">
        <x:v>132</x:v>
      </x:c>
      <x:c r="L318" s="49" t="s">
        <x:v>1333</x:v>
      </x:c>
      <x:c r="M318" s="61">
        <x:v>0.583</x:v>
      </x:c>
      <x:c r="N318" s="49" t="s">
        <x:v>96</x:v>
      </x:c>
      <x:c r="O318" s="49" t="s">
        <x:v>201</x:v>
      </x:c>
      <x:c r="P318" s="49" t="s">
        <x:v>30</x:v>
      </x:c>
      <x:c r="Q318" s="49" t="s">
        <x:v>17</x:v>
      </x:c>
      <x:c r="R318" s="50">
        <x:v>0.91</x:v>
      </x:c>
      <x:c r="S318" s="50">
        <x:f t="shared" si="20"/>
        <x:v>0</x:v>
      </x:c>
      <x:c r="T318" s="49" t="s">
        <x:v>1334</x:v>
      </x:c>
      <x:c r="U318" s="49" t="str">
        <x:f t="shared" si="22"/>
        <x:v>走</x:v>
      </x:c>
      <x:c r="V318" s="50">
        <x:f t="shared" si="23"/>
        <x:v>0.91</x:v>
      </x:c>
      <x:c r="W318" s="50">
        <x:f t="shared" si="21"/>
        <x:v>0</x:v>
      </x:c>
      <x:c r="X318" s="62">
        <x:v>0.97</x:v>
      </x:c>
      <x:c r="Y318" s="62">
        <x:v>1.25</x:v>
      </x:c>
      <x:c r="Z318" s="62">
        <x:v>0.85</x:v>
      </x:c>
      <x:c r="AA318" s="62">
        <x:v>-1.25</x:v>
      </x:c>
      <x:c r="AB318" s="62">
        <x:v>0.97</x:v>
      </x:c>
      <x:c r="AC318" s="62">
        <x:v>0.91</x:v>
      </x:c>
      <x:c r="AD318" s="60">
        <x:v>1.46</x:v>
      </x:c>
      <x:c r="AE318" s="60">
        <x:v>3.92</x:v>
      </x:c>
      <x:c r="AF318" s="60">
        <x:v>6.62</x:v>
      </x:c>
      <x:c r="AG318" s="62">
        <x:v>0.0910909494783305</x:v>
      </x:c>
      <x:c r="AH318" s="62">
        <x:v>0.0410909494783305</x:v>
      </x:c>
      <x:c r="AI318" s="62">
        <x:v>0.627749233165936</x:v>
      </x:c>
      <x:c r="AJ318" s="62">
        <x:v>0.233804561332211</x:v>
      </x:c>
      <x:c r="AK318" s="62">
        <x:v>0.138446205501853</x:v>
      </x:c>
      <x:c r="AL318" s="62">
        <x:v>1.7</x:v>
      </x:c>
      <x:c r="AM318" s="62">
        <x:v>0.65</x:v>
      </x:c>
      <x:c r="AN318" s="62">
        <x:v>8.65951419575567e-5</x:v>
      </x:c>
      <x:c r="AO318" s="62">
        <x:v>1.03994870626142</x:v>
      </x:c>
      <x:c r="AP318" s="62">
        <x:v>-0.129948706261417</x:v>
      </x:c>
      <x:c r="AQ318" s="62" t="s">
        <x:v>99</x:v>
      </x:c>
      <x:c r="AR318" s="49">
        <x:v>-1</x:v>
      </x:c>
      <x:c r="AS318" s="62">
        <x:v>0.357947198957247</x:v>
      </x:c>
      <x:c r="AT318" s="62">
        <x:v>0.372246726465487</x:v>
      </x:c>
      <x:c r="AU318" s="60">
        <x:v>1.47</x:v>
      </x:c>
      <x:c r="AV318" s="60">
        <x:v>3.83</x:v>
      </x:c>
      <x:c r="AW318" s="60">
        <x:v>6.52</x:v>
      </x:c>
      <x:c r="AX318" s="49" t="s">
        <x:v>98</x:v>
      </x:c>
      <x:c r="AY318" s="49" t="s">
        <x:v>101</x:v>
      </x:c>
    </x:row>
    <x:row r="319" ht="22" customHeight="1">
      <x:c r="A319" s="49" t="s">
        <x:v>1204</x:v>
      </x:c>
      <x:c r="B319" s="49" t="s">
        <x:v>1330</x:v>
      </x:c>
      <x:c r="C319" s="49" t="s">
        <x:v>447</x:v>
      </x:c>
      <x:c r="D319" s="49" t="s">
        <x:v>116</x:v>
      </x:c>
      <x:c r="E319" s="49" t="s">
        <x:v>1006</x:v>
      </x:c>
      <x:c r="F319" s="49" t="s">
        <x:v>1335</x:v>
      </x:c>
      <x:c r="G319" s="60">
        <x:v>0.9</x:v>
      </x:c>
      <x:c r="H319" s="60">
        <x:v>0</x:v>
      </x:c>
      <x:c r="I319" s="60">
        <x:v>0.99</x:v>
      </x:c>
      <x:c r="J319" s="49" t="s">
        <x:v>1040</x:v>
      </x:c>
      <x:c r="K319" s="49" t="s">
        <x:v>132</x:v>
      </x:c>
      <x:c r="L319" s="49" t="s">
        <x:v>1336</x:v>
      </x:c>
      <x:c r="M319" s="61">
        <x:v>0.574</x:v>
      </x:c>
      <x:c r="N319" s="49" t="s">
        <x:v>96</x:v>
      </x:c>
      <x:c r="O319" s="49" t="s">
        <x:v>169</x:v>
      </x:c>
      <x:c r="P319" s="49" t="s">
        <x:v>30</x:v>
      </x:c>
      <x:c r="Q319" s="49" t="s">
        <x:v>23</x:v>
      </x:c>
      <x:c r="R319" s="50">
        <x:v>0.9</x:v>
      </x:c>
      <x:c r="S319" s="50">
        <x:f t="shared" si="20"/>
        <x:v>-1</x:v>
      </x:c>
      <x:c r="T319" s="49" t="s">
        <x:v>1337</x:v>
      </x:c>
      <x:c r="U319" s="49" t="str">
        <x:f t="shared" si="22"/>
        <x:v>红</x:v>
      </x:c>
      <x:c r="V319" s="50">
        <x:f t="shared" si="23"/>
        <x:v>0.99</x:v>
      </x:c>
      <x:c r="W319" s="50">
        <x:f t="shared" si="21"/>
        <x:v>0.99</x:v>
      </x:c>
      <x:c r="X319" s="62">
        <x:v>0.91</x:v>
      </x:c>
      <x:c r="Y319" s="62">
        <x:v>0.25</x:v>
      </x:c>
      <x:c r="Z319" s="62">
        <x:v>0.97</x:v>
      </x:c>
      <x:c r="AA319" s="62">
        <x:v>-0.25</x:v>
      </x:c>
      <x:c r="AB319" s="62">
        <x:v>0.91</x:v>
      </x:c>
      <x:c r="AC319" s="62">
        <x:v>0.9</x:v>
      </x:c>
      <x:c r="AD319" s="60">
        <x:v>2.08</x:v>
      </x:c>
      <x:c r="AE319" s="60">
        <x:v>3.57</x:v>
      </x:c>
      <x:c r="AF319" s="60">
        <x:v>3.14</x:v>
      </x:c>
      <x:c r="AG319" s="62">
        <x:v>0.0793526131667757</x:v>
      </x:c>
      <x:c r="AH319" s="62">
        <x:v>0.0293526131667757</x:v>
      </x:c>
      <x:c r="AI319" s="62">
        <x:v>0.445423696486613</x:v>
      </x:c>
      <x:c r="AJ319" s="62">
        <x:v>0.259518568261108</x:v>
      </x:c>
      <x:c r="AK319" s="62">
        <x:v>0.295057735252279</x:v>
      </x:c>
      <x:c r="AL319" s="62">
        <x:v>1.46</x:v>
      </x:c>
      <x:c r="AM319" s="62">
        <x:v>1.14</x:v>
      </x:c>
      <x:c r="AN319" s="62">
        <x:v>0.000517319688406547</x:v>
      </x:c>
      <x:c r="AO319" s="62">
        <x:v>0.664286056112769</x:v>
      </x:c>
      <x:c r="AP319" s="62">
        <x:v>0.235713943887231</x:v>
      </x:c>
      <x:c r="AQ319" s="62" t="s">
        <x:v>135</x:v>
      </x:c>
      <x:c r="AR319" s="49">
        <x:v>0</x:v>
      </x:c>
      <x:c r="AS319" s="62">
        <x:v>0.444692472983953</x:v>
      </x:c>
      <x:c r="AT319" s="62">
        <x:v>0.295403009061544</x:v>
      </x:c>
      <x:c r="AU319" s="60">
        <x:v>2.41</x:v>
      </x:c>
      <x:c r="AV319" s="60">
        <x:v>3.51</x:v>
      </x:c>
      <x:c r="AW319" s="60">
        <x:v>2.7</x:v>
      </x:c>
      <x:c r="AX319" s="49" t="s">
        <x:v>98</x:v>
      </x:c>
      <x:c r="AY319" s="49" t="s">
        <x:v>101</x:v>
      </x:c>
    </x:row>
    <x:row r="320" ht="22" customHeight="1">
      <x:c r="A320" s="49" t="s">
        <x:v>1204</x:v>
      </x:c>
      <x:c r="B320" s="49" t="s">
        <x:v>1338</x:v>
      </x:c>
      <x:c r="C320" s="49" t="s">
        <x:v>128</x:v>
      </x:c>
      <x:c r="D320" s="49" t="s">
        <x:v>90</x:v>
      </x:c>
      <x:c r="E320" s="49" t="s">
        <x:v>1339</x:v>
      </x:c>
      <x:c r="F320" s="49" t="s">
        <x:v>1340</x:v>
      </x:c>
      <x:c r="G320" s="60">
        <x:v>0.91</x:v>
      </x:c>
      <x:c r="H320" s="60">
        <x:v>1.25</x:v>
      </x:c>
      <x:c r="I320" s="60">
        <x:v>0.79</x:v>
      </x:c>
      <x:c r="J320" s="49" t="s">
        <x:v>1341</x:v>
      </x:c>
      <x:c r="K320" s="49" t="s">
        <x:v>195</x:v>
      </x:c>
      <x:c r="L320" s="49" t="s">
        <x:v>1342</x:v>
      </x:c>
      <x:c r="M320" s="61">
        <x:v>0.555</x:v>
      </x:c>
      <x:c r="N320" s="49" t="s">
        <x:v>96</x:v>
      </x:c>
      <x:c r="O320" s="49" t="s">
        <x:v>1241</x:v>
      </x:c>
      <x:c r="P320" s="49" t="s">
        <x:v>30</x:v>
      </x:c>
      <x:c r="Q320" s="49" t="s">
        <x:v>11</x:v>
      </x:c>
      <x:c r="R320" s="50">
        <x:v>0.91</x:v>
      </x:c>
      <x:c r="S320" s="50">
        <x:f t="shared" si="20"/>
        <x:v>0.91</x:v>
      </x:c>
      <x:c r="T320" s="49" t="s">
        <x:v>1343</x:v>
      </x:c>
      <x:c r="U320" s="49" t="str">
        <x:f t="shared" si="22"/>
        <x:v>黑</x:v>
      </x:c>
      <x:c r="V320" s="50">
        <x:f t="shared" si="23"/>
        <x:v>0.79</x:v>
      </x:c>
      <x:c r="W320" s="50">
        <x:f t="shared" si="21"/>
        <x:v>-1</x:v>
      </x:c>
      <x:c r="X320" s="62">
        <x:v>0.86</x:v>
      </x:c>
      <x:c r="Y320" s="62">
        <x:v>1.25</x:v>
      </x:c>
      <x:c r="Z320" s="62">
        <x:v>0.84</x:v>
      </x:c>
      <x:c r="AA320" s="62">
        <x:v>-1.25</x:v>
      </x:c>
      <x:c r="AB320" s="62">
        <x:v>0.86</x:v>
      </x:c>
      <x:c r="AC320" s="62">
        <x:v>0.91</x:v>
      </x:c>
      <x:c r="AD320" s="60">
        <x:v>1.41</x:v>
      </x:c>
      <x:c r="AE320" s="60">
        <x:v>4.43</x:v>
      </x:c>
      <x:c r="AF320" s="60">
        <x:v>5.92</x:v>
      </x:c>
      <x:c r="AG320" s="62">
        <x:v>0.10387241138646</x:v>
      </x:c>
      <x:c r="AH320" s="62">
        <x:v>0.0538724113864597</x:v>
      </x:c>
      <x:c r="AI320" s="62">
        <x:v>0.642483543243237</x:v>
      </x:c>
      <x:c r="AJ320" s="62">
        <x:v>0.204492504734303</x:v>
      </x:c>
      <x:c r="AK320" s="62">
        <x:v>0.15302395202246</x:v>
      </x:c>
      <x:c r="AL320" s="62">
        <x:v>2.04</x:v>
      </x:c>
      <x:c r="AM320" s="62">
        <x:v>0.88</x:v>
      </x:c>
      <x:c r="AN320" s="62">
        <x:v>0.000424756770553995</x:v>
      </x:c>
      <x:c r="AO320" s="62">
        <x:v>1.19735462920614</x:v>
      </x:c>
      <x:c r="AP320" s="62">
        <x:v>-0.287354629206137</x:v>
      </x:c>
      <x:c r="AQ320" s="62" t="s">
        <x:v>99</x:v>
      </x:c>
      <x:c r="AR320" s="49">
        <x:v>-1.25</x:v>
      </x:c>
      <x:c r="AS320" s="62">
        <x:v>0.399759449698475</x:v>
      </x:c>
      <x:c r="AT320" s="62">
        <x:v>0.478653827665367</x:v>
      </x:c>
      <x:c r="AU320" s="60">
        <x:v>1.4</x:v>
      </x:c>
      <x:c r="AV320" s="60">
        <x:v>4.48</x:v>
      </x:c>
      <x:c r="AW320" s="60">
        <x:v>5.92</x:v>
      </x:c>
      <x:c r="AX320" s="49" t="s">
        <x:v>98</x:v>
      </x:c>
      <x:c r="AY320" s="49" t="s">
        <x:v>101</x:v>
      </x:c>
    </x:row>
    <x:row r="321" ht="22" customHeight="1">
      <x:c r="A321" s="49" t="s">
        <x:v>1204</x:v>
      </x:c>
      <x:c r="B321" s="49" t="s">
        <x:v>1338</x:v>
      </x:c>
      <x:c r="C321" s="49" t="s">
        <x:v>447</x:v>
      </x:c>
      <x:c r="D321" s="49" t="s">
        <x:v>116</x:v>
      </x:c>
      <x:c r="E321" s="49" t="s">
        <x:v>1006</x:v>
      </x:c>
      <x:c r="F321" s="49" t="s">
        <x:v>1344</x:v>
      </x:c>
      <x:c r="G321" s="60">
        <x:v>0.96</x:v>
      </x:c>
      <x:c r="H321" s="60">
        <x:v>0.5</x:v>
      </x:c>
      <x:c r="I321" s="60">
        <x:v>0.93</x:v>
      </x:c>
      <x:c r="J321" s="49" t="s">
        <x:v>262</x:v>
      </x:c>
      <x:c r="K321" s="49" t="s">
        <x:v>132</x:v>
      </x:c>
      <x:c r="L321" s="49" t="s">
        <x:v>1345</x:v>
      </x:c>
      <x:c r="M321" s="61">
        <x:v>0.574</x:v>
      </x:c>
      <x:c r="N321" s="49" t="s">
        <x:v>96</x:v>
      </x:c>
      <x:c r="O321" s="49" t="s">
        <x:v>231</x:v>
      </x:c>
      <x:c r="P321" s="49" t="s">
        <x:v>30</x:v>
      </x:c>
      <x:c r="Q321" s="49" t="s">
        <x:v>11</x:v>
      </x:c>
      <x:c r="R321" s="50">
        <x:v>0.96</x:v>
      </x:c>
      <x:c r="S321" s="50">
        <x:f t="shared" si="20"/>
        <x:v>0.96</x:v>
      </x:c>
      <x:c r="T321" s="49" t="s">
        <x:v>1346</x:v>
      </x:c>
      <x:c r="U321" s="49" t="str">
        <x:f t="shared" si="22"/>
        <x:v>黑</x:v>
      </x:c>
      <x:c r="V321" s="50">
        <x:f t="shared" si="23"/>
        <x:v>0.93</x:v>
      </x:c>
      <x:c r="W321" s="50">
        <x:f t="shared" si="21"/>
        <x:v>-1</x:v>
      </x:c>
      <x:c r="X321" s="62">
        <x:v>1.01</x:v>
      </x:c>
      <x:c r="Y321" s="62">
        <x:v>0.75</x:v>
      </x:c>
      <x:c r="Z321" s="62">
        <x:v>0.87</x:v>
      </x:c>
      <x:c r="AA321" s="62">
        <x:v>-0.75</x:v>
      </x:c>
      <x:c r="AB321" s="62">
        <x:v>1.01</x:v>
      </x:c>
      <x:c r="AC321" s="62">
        <x:v>0.96</x:v>
      </x:c>
      <x:c r="AD321" s="60">
        <x:v>1.71</x:v>
      </x:c>
      <x:c r="AE321" s="60">
        <x:v>3.87</x:v>
      </x:c>
      <x:c r="AF321" s="60">
        <x:v>4.26</x:v>
      </x:c>
      <x:c r="AG321" s="62">
        <x:v>0.0779350384915229</x:v>
      </x:c>
      <x:c r="AH321" s="62">
        <x:v>0.0279350384915229</x:v>
      </x:c>
      <x:c r="AI321" s="62">
        <x:v>0.542514438027543</x:v>
      </x:c>
      <x:c r="AJ321" s="62">
        <x:v>0.239715681919147</x:v>
      </x:c>
      <x:c r="AK321" s="62">
        <x:v>0.21776988005331</x:v>
      </x:c>
      <x:c r="AL321" s="62">
        <x:v>1.71</x:v>
      </x:c>
      <x:c r="AM321" s="62">
        <x:v>0.99</x:v>
      </x:c>
      <x:c r="AN321" s="62">
        <x:v>0.000355924611775714</x:v>
      </x:c>
      <x:c r="AO321" s="62">
        <x:v>0.842366596063802</x:v>
      </x:c>
      <x:c r="AP321" s="62">
        <x:v>0.117633403936198</x:v>
      </x:c>
      <x:c r="AQ321" s="62" t="s">
        <x:v>165</x:v>
      </x:c>
      <x:c r="AR321" s="49">
        <x:v>-0.5</x:v>
      </x:c>
      <x:c r="AS321" s="62">
        <x:v>0.542780140573809</x:v>
      </x:c>
      <x:c r="AT321" s="62">
        <x:v>0.457219859426191</x:v>
      </x:c>
      <x:c r="AU321" s="60">
        <x:v>1.92</x:v>
      </x:c>
      <x:c r="AV321" s="60">
        <x:v>3.67</x:v>
      </x:c>
      <x:c r="AW321" s="60">
        <x:v>3.62</x:v>
      </x:c>
      <x:c r="AX321" s="49" t="s">
        <x:v>98</x:v>
      </x:c>
      <x:c r="AY321" s="49" t="s">
        <x:v>101</x:v>
      </x:c>
    </x:row>
    <x:row r="322" ht="22" customHeight="1">
      <x:c r="A322" s="49" t="s">
        <x:v>1204</x:v>
      </x:c>
      <x:c r="B322" s="49" t="s">
        <x:v>1347</x:v>
      </x:c>
      <x:c r="C322" s="49" t="s">
        <x:v>128</x:v>
      </x:c>
      <x:c r="D322" s="49" t="s">
        <x:v>90</x:v>
      </x:c>
      <x:c r="E322" s="49" t="s">
        <x:v>1311</x:v>
      </x:c>
      <x:c r="F322" s="49" t="s">
        <x:v>1348</x:v>
      </x:c>
      <x:c r="G322" s="60">
        <x:v>0.98</x:v>
      </x:c>
      <x:c r="H322" s="60">
        <x:v>-0.25</x:v>
      </x:c>
      <x:c r="I322" s="60">
        <x:v>0.84</x:v>
      </x:c>
      <x:c r="J322" s="49" t="s">
        <x:v>661</x:v>
      </x:c>
      <x:c r="K322" s="49" t="s">
        <x:v>106</x:v>
      </x:c>
      <x:c r="L322" s="49" t="s">
        <x:v>1349</x:v>
      </x:c>
      <x:c r="M322" s="61">
        <x:v>0.58</x:v>
      </x:c>
      <x:c r="N322" s="49" t="s">
        <x:v>96</x:v>
      </x:c>
      <x:c r="O322" s="49" t="s">
        <x:v>353</x:v>
      </x:c>
      <x:c r="P322" s="49" t="s">
        <x:v>30</x:v>
      </x:c>
      <x:c r="Q322" s="49" t="s">
        <x:v>11</x:v>
      </x:c>
      <x:c r="R322" s="50">
        <x:v>0.84</x:v>
      </x:c>
      <x:c r="S322" s="50">
        <x:f t="shared" si="20"/>
        <x:v>0.84</x:v>
      </x:c>
      <x:c r="T322" s="49" t="s">
        <x:v>1350</x:v>
      </x:c>
      <x:c r="U322" s="49" t="str">
        <x:f t="shared" si="22"/>
        <x:v>黑</x:v>
      </x:c>
      <x:c r="V322" s="50">
        <x:f t="shared" si="23"/>
        <x:v>0.98</x:v>
      </x:c>
      <x:c r="W322" s="50">
        <x:f t="shared" si="21"/>
        <x:v>-1</x:v>
      </x:c>
      <x:c r="X322" s="62">
        <x:v>0.9</x:v>
      </x:c>
      <x:c r="Y322" s="62">
        <x:v>-0.25</x:v>
      </x:c>
      <x:c r="Z322" s="62">
        <x:v>0.92</x:v>
      </x:c>
      <x:c r="AA322" s="62">
        <x:v>-0.25</x:v>
      </x:c>
      <x:c r="AB322" s="62">
        <x:v>0.92</x:v>
      </x:c>
      <x:c r="AC322" s="62">
        <x:v>0.84</x:v>
      </x:c>
      <x:c r="AD322" s="60">
        <x:v>3.27</x:v>
      </x:c>
      <x:c r="AE322" s="60">
        <x:v>3.05</x:v>
      </x:c>
      <x:c r="AF322" s="60">
        <x:v>2.15</x:v>
      </x:c>
      <x:c r="AG322" s="62">
        <x:v>0.0987955290823006</x:v>
      </x:c>
      <x:c r="AH322" s="62">
        <x:v>0.0487955290823006</x:v>
      </x:c>
      <x:c r="AI322" s="62">
        <x:v>0.278314199011099</x:v>
      </x:c>
      <x:c r="AJ322" s="62">
        <x:v>0.298389321562719</x:v>
      </x:c>
      <x:c r="AK322" s="62">
        <x:v>0.423296479426182</x:v>
      </x:c>
      <x:c r="AL322" s="62">
        <x:v>0.89</x:v>
      </x:c>
      <x:c r="AM322" s="62">
        <x:v>1.17</x:v>
      </x:c>
      <x:c r="AN322" s="62">
        <x:v>0.000501126483143822</x:v>
      </x:c>
      <x:c r="AO322" s="62">
        <x:v>1.01221635484812</x:v>
      </x:c>
      <x:c r="AP322" s="62">
        <x:v>-0.172216354848121</x:v>
      </x:c>
      <x:c r="AQ322" s="62" t="s">
        <x:v>99</x:v>
      </x:c>
      <x:c r="AR322" s="49">
        <x:v>-0.25</x:v>
      </x:c>
      <x:c r="AS322" s="62">
        <x:v>0.422670683583659</x:v>
      </x:c>
      <x:c r="AT322" s="62">
        <x:v>0.427834178638215</x:v>
      </x:c>
      <x:c r="AU322" s="60">
        <x:v>3.55</x:v>
      </x:c>
      <x:c r="AV322" s="60">
        <x:v>3.08</x:v>
      </x:c>
      <x:c r="AW322" s="60">
        <x:v>2.05</x:v>
      </x:c>
      <x:c r="AX322" s="49" t="s">
        <x:v>98</x:v>
      </x:c>
      <x:c r="AY322" s="49" t="s">
        <x:v>101</x:v>
      </x:c>
    </x:row>
    <x:row r="323" ht="22" customHeight="1">
      <x:c r="A323" s="49" t="s">
        <x:v>1351</x:v>
      </x:c>
      <x:c r="B323" s="49" t="s">
        <x:v>1352</x:v>
      </x:c>
      <x:c r="C323" s="49" t="s">
        <x:v>447</x:v>
      </x:c>
      <x:c r="D323" s="49" t="s">
        <x:v>116</x:v>
      </x:c>
      <x:c r="E323" s="49" t="s">
        <x:v>1006</x:v>
      </x:c>
      <x:c r="F323" s="49" t="s">
        <x:v>1353</x:v>
      </x:c>
      <x:c r="G323" s="60">
        <x:v>0.91</x:v>
      </x:c>
      <x:c r="H323" s="60">
        <x:v>0</x:v>
      </x:c>
      <x:c r="I323" s="60">
        <x:v>0.98</x:v>
      </x:c>
      <x:c r="J323" s="49" t="s">
        <x:v>1354</x:v>
      </x:c>
      <x:c r="K323" s="49" t="s">
        <x:v>132</x:v>
      </x:c>
      <x:c r="L323" s="49" t="s">
        <x:v>1009</x:v>
      </x:c>
      <x:c r="M323" s="61">
        <x:v>0.565</x:v>
      </x:c>
      <x:c r="N323" s="49" t="s">
        <x:v>96</x:v>
      </x:c>
      <x:c r="O323" s="49" t="s">
        <x:v>273</x:v>
      </x:c>
      <x:c r="P323" s="49" t="s">
        <x:v>30</x:v>
      </x:c>
      <x:c r="Q323" s="49" t="s">
        <x:v>17</x:v>
      </x:c>
      <x:c r="R323" s="50">
        <x:v>0.91</x:v>
      </x:c>
      <x:c r="S323" s="50">
        <x:f t="shared" si="20"/>
        <x:v>0</x:v>
      </x:c>
      <x:c r="T323" s="49" t="s">
        <x:v>1355</x:v>
      </x:c>
      <x:c r="U323" s="49" t="str">
        <x:f t="shared" si="22"/>
        <x:v>走</x:v>
      </x:c>
      <x:c r="V323" s="50">
        <x:f t="shared" si="23"/>
        <x:v>0.98</x:v>
      </x:c>
      <x:c r="W323" s="50">
        <x:f t="shared" si="21"/>
        <x:v>0</x:v>
      </x:c>
      <x:c r="X323" s="62">
        <x:v>0.93</x:v>
      </x:c>
      <x:c r="Y323" s="62">
        <x:v>0.25</x:v>
      </x:c>
      <x:c r="Z323" s="62">
        <x:v>0.95</x:v>
      </x:c>
      <x:c r="AA323" s="62">
        <x:v>-0.25</x:v>
      </x:c>
      <x:c r="AB323" s="62">
        <x:v>0.93</x:v>
      </x:c>
      <x:c r="AC323" s="62">
        <x:v>0.91</x:v>
      </x:c>
      <x:c r="AD323" s="60">
        <x:v>2.09</x:v>
      </x:c>
      <x:c r="AE323" s="60">
        <x:v>3.72</x:v>
      </x:c>
      <x:c r="AF323" s="60">
        <x:v>3.04</x:v>
      </x:c>
      <x:c r="AG323" s="62">
        <x:v>0.0762334722436591</x:v>
      </x:c>
      <x:c r="AH323" s="62">
        <x:v>0.0262334722436591</x:v>
      </x:c>
      <x:c r="AI323" s="62">
        <x:v>0.444577233343293</x:v>
      </x:c>
      <x:c r="AJ323" s="62">
        <x:v>0.249775918733194</x:v>
      </x:c>
      <x:c r="AK323" s="62">
        <x:v>0.305646847923514</x:v>
      </x:c>
      <x:c r="AL323" s="62">
        <x:v>1.55</x:v>
      </x:c>
      <x:c r="AM323" s="62">
        <x:v>1.24</x:v>
      </x:c>
      <x:c r="AN323" s="62">
        <x:v>0.000552314819312881</x:v>
      </x:c>
      <x:c r="AO323" s="62">
        <x:v>0.684922622829324</x:v>
      </x:c>
      <x:c r="AP323" s="62">
        <x:v>0.225077377170676</x:v>
      </x:c>
      <x:c r="AQ323" s="62" t="s">
        <x:v>135</x:v>
      </x:c>
      <x:c r="AR323" s="49">
        <x:v>0</x:v>
      </x:c>
      <x:c r="AS323" s="62">
        <x:v>0.445193445712518</x:v>
      </x:c>
      <x:c r="AT323" s="62">
        <x:v>0.304923062503842</x:v>
      </x:c>
      <x:c r="AU323" s="60">
        <x:v>2.4</x:v>
      </x:c>
      <x:c r="AV323" s="60">
        <x:v>3.8</x:v>
      </x:c>
      <x:c r="AW323" s="60">
        <x:v>2.57</x:v>
      </x:c>
      <x:c r="AX323" s="49" t="s">
        <x:v>1356</x:v>
      </x:c>
      <x:c r="AY323" s="49" t="s">
        <x:v>101</x:v>
      </x:c>
    </x:row>
    <x:row r="324" ht="22" customHeight="1">
      <x:c r="A324" s="49" t="s">
        <x:v>1351</x:v>
      </x:c>
      <x:c r="B324" s="49" t="s">
        <x:v>1357</x:v>
      </x:c>
      <x:c r="C324" s="49" t="s">
        <x:v>136</x:v>
      </x:c>
      <x:c r="D324" s="49" t="s">
        <x:v>116</x:v>
      </x:c>
      <x:c r="E324" s="49" t="s">
        <x:v>1358</x:v>
      </x:c>
      <x:c r="F324" s="49" t="s">
        <x:v>1359</x:v>
      </x:c>
      <x:c r="G324" s="60">
        <x:v>0.84</x:v>
      </x:c>
      <x:c r="H324" s="60">
        <x:v>0</x:v>
      </x:c>
      <x:c r="I324" s="60">
        <x:v>1</x:v>
      </x:c>
      <x:c r="J324" s="49" t="s">
        <x:v>1360</x:v>
      </x:c>
      <x:c r="K324" s="49" t="s">
        <x:v>195</x:v>
      </x:c>
      <x:c r="L324" s="49" t="s">
        <x:v>1361</x:v>
      </x:c>
      <x:c r="M324" s="61">
        <x:v>0.552</x:v>
      </x:c>
      <x:c r="N324" s="49" t="s">
        <x:v>96</x:v>
      </x:c>
      <x:c r="O324" s="49" t="s">
        <x:v>169</x:v>
      </x:c>
      <x:c r="P324" s="49" t="s">
        <x:v>30</x:v>
      </x:c>
      <x:c r="Q324" s="49" t="s">
        <x:v>11</x:v>
      </x:c>
      <x:c r="R324" s="50">
        <x:v>1</x:v>
      </x:c>
      <x:c r="S324" s="50" t="n">
        <x:f t="shared" ref="S324:S387" si="24">IF(OR(Q324="",Q324="待结算"),"",IF(Q324="红",R324,IF(Q324="半红",R324*0.5,IF(Q324="走",0,IF(Q324="半黑",-0.5,-1)))))</x:f>
        <x:v>1</x:v>
      </x:c>
      <x:c r="T324" s="49" t="s">
        <x:v>1362</x:v>
      </x:c>
      <x:c r="U324" s="49" t="str">
        <x:f t="shared" si="22"/>
        <x:v>黑</x:v>
      </x:c>
      <x:c r="V324" s="50">
        <x:f t="shared" si="23"/>
        <x:v>0.84</x:v>
      </x:c>
      <x:c r="W324" s="50" t="n">
        <x:f t="shared" ref="W324:W387" si="25">IF(OR(U324="",U324="待结算"),"",IF(U324="红",V324,IF(U324="半红",V324*0.5,IF(U324="走",0,IF(U324="半黑",-0.5,-1)))))</x:f>
        <x:v>-1</x:v>
      </x:c>
      <x:c r="X324" s="62">
        <x:v>0.8</x:v>
      </x:c>
      <x:c r="Y324" s="62">
        <x:v>0</x:v>
      </x:c>
      <x:c r="Z324" s="62">
        <x:v>0.96</x:v>
      </x:c>
      <x:c r="AA324" s="62">
        <x:v>0</x:v>
      </x:c>
      <x:c r="AB324" s="62">
        <x:v>0.96</x:v>
      </x:c>
      <x:c r="AC324" s="62">
        <x:v>1</x:v>
      </x:c>
      <x:c r="AD324" s="60">
        <x:v>2.71</x:v>
      </x:c>
      <x:c r="AE324" s="60">
        <x:v>2.98</x:v>
      </x:c>
      <x:c r="AF324" s="60">
        <x:v>2.49</x:v>
      </x:c>
      <x:c r="AG324" s="62">
        <x:v>0.106180585538369</x:v>
      </x:c>
      <x:c r="AH324" s="62">
        <x:v>0.0561805855383693</x:v>
      </x:c>
      <x:c r="AI324" s="62">
        <x:v>0.333583589208727</x:v>
      </x:c>
      <x:c r="AJ324" s="62">
        <x:v>0.303359572736795</x:v>
      </x:c>
      <x:c r="AK324" s="62">
        <x:v>0.363056838054478</x:v>
      </x:c>
      <x:c r="AL324" s="62">
        <x:v>1</x:v>
      </x:c>
      <x:c r="AM324" s="62">
        <x:v>1.06</x:v>
      </x:c>
      <x:c r="AN324" s="62">
        <x:v>0.000729001520007978</x:v>
      </x:c>
      <x:c r="AO324" s="62">
        <x:v>0.914745096361734</x:v>
      </x:c>
      <x:c r="AP324" s="62">
        <x:v>0.0852549036382663</x:v>
      </x:c>
      <x:c r="AQ324" s="62" t="s">
        <x:v>135</x:v>
      </x:c>
      <x:c r="AR324" s="49">
        <x:v>0</x:v>
      </x:c>
      <x:c r="AS324" s="62">
        <x:v>0.364087517264273</x:v>
      </x:c>
      <x:c r="AT324" s="62">
        <x:v>0.333047271064012</x:v>
      </x:c>
      <x:c r="AU324" s="60">
        <x:v>2.58</x:v>
      </x:c>
      <x:c r="AV324" s="60">
        <x:v>2.82</x:v>
      </x:c>
      <x:c r="AW324" s="60">
        <x:v>2.73</x:v>
      </x:c>
      <x:c r="AX324" s="49" t="s">
        <x:v>1356</x:v>
      </x:c>
      <x:c r="AY324" s="49" t="s">
        <x:v>101</x:v>
      </x:c>
    </x:row>
    <x:row r="325" ht="22" customHeight="1">
      <x:c r="A325" s="49" t="s">
        <x:v>1351</x:v>
      </x:c>
      <x:c r="B325" s="49" t="s">
        <x:v>1363</x:v>
      </x:c>
      <x:c r="C325" s="49" t="s">
        <x:v>136</x:v>
      </x:c>
      <x:c r="D325" s="49" t="s">
        <x:v>116</x:v>
      </x:c>
      <x:c r="E325" s="49" t="s">
        <x:v>1358</x:v>
      </x:c>
      <x:c r="F325" s="49" t="s">
        <x:v>1364</x:v>
      </x:c>
      <x:c r="G325" s="60">
        <x:v>1</x:v>
      </x:c>
      <x:c r="H325" s="60">
        <x:v>-0.25</x:v>
      </x:c>
      <x:c r="I325" s="60">
        <x:v>0.84</x:v>
      </x:c>
      <x:c r="J325" s="49" t="s">
        <x:v>1365</x:v>
      </x:c>
      <x:c r="K325" s="49" t="s">
        <x:v>106</x:v>
      </x:c>
      <x:c r="L325" s="49" t="s">
        <x:v>1366</x:v>
      </x:c>
      <x:c r="M325" s="61">
        <x:v>0.59</x:v>
      </x:c>
      <x:c r="N325" s="49" t="s">
        <x:v>96</x:v>
      </x:c>
      <x:c r="O325" s="49" t="s">
        <x:v>126</x:v>
      </x:c>
      <x:c r="P325" s="49" t="s">
        <x:v>30</x:v>
      </x:c>
      <x:c r="Q325" s="49" t="s">
        <x:v>20</x:v>
      </x:c>
      <x:c r="R325" s="50">
        <x:v>0.84</x:v>
      </x:c>
      <x:c r="S325" s="50">
        <x:f t="shared" si="24"/>
        <x:v>-0.5</x:v>
      </x:c>
      <x:c r="T325" s="49" t="s">
        <x:v>1367</x:v>
      </x:c>
      <x:c r="U325" s="49" t="str">
        <x:f t="shared" si="22"/>
        <x:v>半红</x:v>
      </x:c>
      <x:c r="V325" s="50">
        <x:f t="shared" si="23"/>
        <x:v>1</x:v>
      </x:c>
      <x:c r="W325" s="50">
        <x:f t="shared" si="25"/>
        <x:v>0.5</x:v>
      </x:c>
      <x:c r="X325" s="62">
        <x:v>0.95</x:v>
      </x:c>
      <x:c r="Y325" s="62">
        <x:v>-0.25</x:v>
      </x:c>
      <x:c r="Z325" s="62">
        <x:v>0.81</x:v>
      </x:c>
      <x:c r="AA325" s="62">
        <x:v>-0.25</x:v>
      </x:c>
      <x:c r="AB325" s="62">
        <x:v>0.81</x:v>
      </x:c>
      <x:c r="AC325" s="62">
        <x:v>0.84</x:v>
      </x:c>
      <x:c r="AD325" s="60">
        <x:v>3.63</x:v>
      </x:c>
      <x:c r="AE325" s="60">
        <x:v>3.03</x:v>
      </x:c>
      <x:c r="AF325" s="60">
        <x:v>1.98</x:v>
      </x:c>
      <x:c r="AG325" s="62">
        <x:v>0.110565602014747</x:v>
      </x:c>
      <x:c r="AH325" s="62">
        <x:v>0.060565602014747</x:v>
      </x:c>
      <x:c r="AI325" s="62">
        <x:v>0.248055669259108</x:v>
      </x:c>
      <x:c r="AJ325" s="62">
        <x:v>0.297175603765862</x:v>
      </x:c>
      <x:c r="AK325" s="62">
        <x:v>0.454768726975031</x:v>
      </x:c>
      <x:c r="AL325" s="62">
        <x:v>0.82</x:v>
      </x:c>
      <x:c r="AM325" s="62">
        <x:v>1.22</x:v>
      </x:c>
      <x:c r="AN325" s="62">
        <x:v>0.000525356629409299</x:v>
      </x:c>
      <x:c r="AO325" s="62">
        <x:v>0.872590173693023</x:v>
      </x:c>
      <x:c r="AP325" s="62">
        <x:v>-0.0325901736930233</x:v>
      </x:c>
      <x:c r="AQ325" s="62" t="s">
        <x:v>174</x:v>
      </x:c>
      <x:c r="AR325" s="49">
        <x:v>-0.25</x:v>
      </x:c>
      <x:c r="AS325" s="62">
        <x:v>0.454852788125988</x:v>
      </x:c>
      <x:c r="AT325" s="62">
        <x:v>0.396900073395612</x:v>
      </x:c>
      <x:c r="AU325" s="60">
        <x:v>3.67</x:v>
      </x:c>
      <x:c r="AV325" s="60">
        <x:v>2.79</x:v>
      </x:c>
      <x:c r="AW325" s="60">
        <x:v>2.11</x:v>
      </x:c>
      <x:c r="AX325" s="49" t="s">
        <x:v>1356</x:v>
      </x:c>
      <x:c r="AY325" s="49" t="s">
        <x:v>101</x:v>
      </x:c>
    </x:row>
    <x:row r="326" ht="22" customHeight="1">
      <x:c r="A326" s="49" t="s">
        <x:v>1351</x:v>
      </x:c>
      <x:c r="B326" s="49" t="s">
        <x:v>1368</x:v>
      </x:c>
      <x:c r="C326" s="49" t="s">
        <x:v>136</x:v>
      </x:c>
      <x:c r="D326" s="49" t="s">
        <x:v>116</x:v>
      </x:c>
      <x:c r="E326" s="49" t="s">
        <x:v>769</x:v>
      </x:c>
      <x:c r="F326" s="49" t="s">
        <x:v>1369</x:v>
      </x:c>
      <x:c r="G326" s="60">
        <x:v>1.02</x:v>
      </x:c>
      <x:c r="H326" s="60">
        <x:v>-0.25</x:v>
      </x:c>
      <x:c r="I326" s="60">
        <x:v>0.8</x:v>
      </x:c>
      <x:c r="J326" s="49" t="s">
        <x:v>676</x:v>
      </x:c>
      <x:c r="K326" s="49" t="s">
        <x:v>106</x:v>
      </x:c>
      <x:c r="L326" s="49" t="s">
        <x:v>1370</x:v>
      </x:c>
      <x:c r="M326" s="61">
        <x:v>0.59</x:v>
      </x:c>
      <x:c r="N326" s="49" t="s">
        <x:v>96</x:v>
      </x:c>
      <x:c r="O326" s="49" t="s">
        <x:v>149</x:v>
      </x:c>
      <x:c r="P326" s="49" t="s">
        <x:v>30</x:v>
      </x:c>
      <x:c r="Q326" s="49" t="s">
        <x:v>20</x:v>
      </x:c>
      <x:c r="R326" s="50">
        <x:v>0.8</x:v>
      </x:c>
      <x:c r="S326" s="50">
        <x:f t="shared" si="24"/>
        <x:v>-0.5</x:v>
      </x:c>
      <x:c r="T326" s="49" t="s">
        <x:v>1371</x:v>
      </x:c>
      <x:c r="U326" s="49" t="str">
        <x:f t="shared" si="22"/>
        <x:v>半红</x:v>
      </x:c>
      <x:c r="V326" s="50">
        <x:f t="shared" si="23"/>
        <x:v>1.02</x:v>
      </x:c>
      <x:c r="W326" s="50">
        <x:f t="shared" si="25"/>
        <x:v>0.51</x:v>
      </x:c>
      <x:c r="X326" s="62">
        <x:v>0.81</x:v>
      </x:c>
      <x:c r="Y326" s="62">
        <x:v>-0.25</x:v>
      </x:c>
      <x:c r="Z326" s="62">
        <x:v>0.95</x:v>
      </x:c>
      <x:c r="AA326" s="62">
        <x:v>-0.25</x:v>
      </x:c>
      <x:c r="AB326" s="62">
        <x:v>0.95</x:v>
      </x:c>
      <x:c r="AC326" s="62">
        <x:v>0.8</x:v>
      </x:c>
      <x:c r="AD326" s="60">
        <x:v>2.88</x:v>
      </x:c>
      <x:c r="AE326" s="60">
        <x:v>3.4</x:v>
      </x:c>
      <x:c r="AF326" s="60">
        <x:v>2.17</x:v>
      </x:c>
      <x:c r="AG326" s="62">
        <x:v>0.102169362368603</x:v>
      </x:c>
      <x:c r="AH326" s="62">
        <x:v>0.0521693623686033</x:v>
      </x:c>
      <x:c r="AI326" s="62">
        <x:v>0.315035269603238</x:v>
      </x:c>
      <x:c r="AJ326" s="62">
        <x:v>0.26685340484039</x:v>
      </x:c>
      <x:c r="AK326" s="62">
        <x:v>0.418111325556372</x:v>
      </x:c>
      <x:c r="AL326" s="62">
        <x:v>1.15</x:v>
      </x:c>
      <x:c r="AM326" s="62">
        <x:v>1.37</x:v>
      </x:c>
      <x:c r="AN326" s="62">
        <x:v>0.000491650799283048</x:v>
      </x:c>
      <x:c r="AO326" s="62">
        <x:v>1.06956034227189</x:v>
      </x:c>
      <x:c r="AP326" s="62">
        <x:v>-0.26956034227189</x:v>
      </x:c>
      <x:c r="AQ326" s="62" t="s">
        <x:v>99</x:v>
      </x:c>
      <x:c r="AR326" s="49">
        <x:v>-0.25</x:v>
      </x:c>
      <x:c r="AS326" s="62">
        <x:v>0.418733704207826</x:v>
      </x:c>
      <x:c r="AT326" s="62">
        <x:v>0.447860963993298</x:v>
      </x:c>
      <x:c r="AU326" s="60">
        <x:v>3.23</x:v>
      </x:c>
      <x:c r="AV326" s="60">
        <x:v>3.29</x:v>
      </x:c>
      <x:c r="AW326" s="60">
        <x:v>2.07</x:v>
      </x:c>
      <x:c r="AX326" s="49" t="s">
        <x:v>1356</x:v>
      </x:c>
      <x:c r="AY326" s="49" t="s">
        <x:v>101</x:v>
      </x:c>
    </x:row>
    <x:row r="327" ht="22" customHeight="1">
      <x:c r="A327" s="49" t="s">
        <x:v>1351</x:v>
      </x:c>
      <x:c r="B327" s="49" t="s">
        <x:v>1372</x:v>
      </x:c>
      <x:c r="C327" s="49" t="s">
        <x:v>89</x:v>
      </x:c>
      <x:c r="D327" s="49" t="s">
        <x:v>90</x:v>
      </x:c>
      <x:c r="E327" s="49" t="s">
        <x:v>1373</x:v>
      </x:c>
      <x:c r="F327" s="49" t="s">
        <x:v>1374</x:v>
      </x:c>
      <x:c r="G327" s="60">
        <x:v>0.98</x:v>
      </x:c>
      <x:c r="H327" s="60">
        <x:v>-2.75</x:v>
      </x:c>
      <x:c r="I327" s="60">
        <x:v>0.84</x:v>
      </x:c>
      <x:c r="J327" s="49" t="s">
        <x:v>1375</x:v>
      </x:c>
      <x:c r="K327" s="49" t="s">
        <x:v>106</x:v>
      </x:c>
      <x:c r="L327" s="49" t="s">
        <x:v>1376</x:v>
      </x:c>
      <x:c r="M327" s="61">
        <x:v>0.581</x:v>
      </x:c>
      <x:c r="N327" s="49" t="s">
        <x:v>685</x:v>
      </x:c>
      <x:c r="O327" s="49" t="s">
        <x:v>1377</x:v>
      </x:c>
      <x:c r="P327" s="49" t="s">
        <x:v>30</x:v>
      </x:c>
      <x:c r="Q327" s="49" t="s">
        <x:v>11</x:v>
      </x:c>
      <x:c r="R327" s="50">
        <x:v>0.84</x:v>
      </x:c>
      <x:c r="S327" s="50">
        <x:f t="shared" si="24"/>
        <x:v>0.84</x:v>
      </x:c>
      <x:c r="T327" s="49" t="s">
        <x:v>1378</x:v>
      </x:c>
      <x:c r="U327" s="49" t="str">
        <x:f t="shared" si="22"/>
        <x:v>黑</x:v>
      </x:c>
      <x:c r="V327" s="50">
        <x:f t="shared" si="23"/>
        <x:v>0.98</x:v>
      </x:c>
      <x:c r="W327" s="50">
        <x:f t="shared" si="25"/>
        <x:v>-1</x:v>
      </x:c>
      <x:c r="X327" s="62">
        <x:v>0.92</x:v>
      </x:c>
      <x:c r="Y327" s="62">
        <x:v>-2.75</x:v>
      </x:c>
      <x:c r="Z327" s="62">
        <x:v>0.78</x:v>
      </x:c>
      <x:c r="AA327" s="62">
        <x:v>-2.75</x:v>
      </x:c>
      <x:c r="AB327" s="62">
        <x:v>0.78</x:v>
      </x:c>
      <x:c r="AC327" s="62">
        <x:v>0.84</x:v>
      </x:c>
      <x:c r="AD327" s="60">
        <x:v>25.28</x:v>
      </x:c>
      <x:c r="AE327" s="60">
        <x:v>8.2</x:v>
      </x:c>
      <x:c r="AF327" s="60">
        <x:v>1.07</x:v>
      </x:c>
      <x:c r="AG327" s="62">
        <x:v>0.096087620789848</x:v>
      </x:c>
      <x:c r="AH327" s="62">
        <x:v>0.046087620789848</x:v>
      </x:c>
      <x:c r="AI327" s="62">
        <x:v>0.0360892334472416</x:v>
      </x:c>
      <x:c r="AJ327" s="62">
        <x:v>0.111260466042228</x:v>
      </x:c>
      <x:c r="AK327" s="62">
        <x:v>0.852650300510531</x:v>
      </x:c>
      <x:c r="AL327" s="62">
        <x:v>0.4</x:v>
      </x:c>
      <x:c r="AM327" s="62">
        <x:v>2.67</x:v>
      </x:c>
      <x:c r="AN327" s="62">
        <x:v>0.000253219243694446</x:v>
      </x:c>
      <x:c r="AO327" s="62">
        <x:v>1.81444132758775</x:v>
      </x:c>
      <x:c r="AP327" s="62">
        <x:v>-0.974441327587752</x:v>
      </x:c>
      <x:c r="AQ327" s="62" t="s">
        <x:v>99</x:v>
      </x:c>
      <x:c r="AR327" s="49">
        <x:v>-2.75</x:v>
      </x:c>
      <x:c r="AS327" s="62">
        <x:v>0.321370445016691</x:v>
      </x:c>
      <x:c r="AT327" s="62">
        <x:v>0.583107816903551</x:v>
      </x:c>
      <x:c r="AU327" s="60">
        <x:v>27.94</x:v>
      </x:c>
      <x:c r="AV327" s="60">
        <x:v>9.36</x:v>
      </x:c>
      <x:c r="AW327" s="60">
        <x:v>1.05</x:v>
      </x:c>
      <x:c r="AX327" s="49" t="s">
        <x:v>1356</x:v>
      </x:c>
      <x:c r="AY327" s="49" t="s">
        <x:v>101</x:v>
      </x:c>
    </x:row>
    <x:row r="328" ht="22" customHeight="1">
      <x:c r="A328" s="49" t="s">
        <x:v>1351</x:v>
      </x:c>
      <x:c r="B328" s="49" t="s">
        <x:v>1372</x:v>
      </x:c>
      <x:c r="C328" s="49" t="s">
        <x:v>89</x:v>
      </x:c>
      <x:c r="D328" s="49" t="s">
        <x:v>116</x:v>
      </x:c>
      <x:c r="E328" s="49" t="s">
        <x:v>1379</x:v>
      </x:c>
      <x:c r="F328" s="49" t="s">
        <x:v>1380</x:v>
      </x:c>
      <x:c r="G328" s="60">
        <x:v>0.82</x:v>
      </x:c>
      <x:c r="H328" s="60">
        <x:v>0.25</x:v>
      </x:c>
      <x:c r="I328" s="60">
        <x:v>1.04</x:v>
      </x:c>
      <x:c r="J328" s="49" t="s">
        <x:v>1381</x:v>
      </x:c>
      <x:c r="K328" s="49" t="s">
        <x:v>106</x:v>
      </x:c>
      <x:c r="L328" s="49" t="s">
        <x:v>1382</x:v>
      </x:c>
      <x:c r="M328" s="61">
        <x:v>0.581</x:v>
      </x:c>
      <x:c r="N328" s="49" t="s">
        <x:v>685</x:v>
      </x:c>
      <x:c r="O328" s="49" t="s">
        <x:v>201</x:v>
      </x:c>
      <x:c r="P328" s="49" t="s">
        <x:v>30</x:v>
      </x:c>
      <x:c r="Q328" s="49" t="s">
        <x:v>11</x:v>
      </x:c>
      <x:c r="R328" s="50">
        <x:v>0.82</x:v>
      </x:c>
      <x:c r="S328" s="50">
        <x:f t="shared" si="24"/>
        <x:v>0.82</x:v>
      </x:c>
      <x:c r="T328" s="49" t="s">
        <x:v>1383</x:v>
      </x:c>
      <x:c r="U328" s="49" t="str">
        <x:f t="shared" si="22"/>
        <x:v>黑</x:v>
      </x:c>
      <x:c r="V328" s="50">
        <x:f t="shared" si="23"/>
        <x:v>1.04</x:v>
      </x:c>
      <x:c r="W328" s="50">
        <x:f t="shared" si="25"/>
        <x:v>-1</x:v>
      </x:c>
      <x:c r="X328" s="62">
        <x:v>0.77</x:v>
      </x:c>
      <x:c r="Y328" s="62">
        <x:v>0.25</x:v>
      </x:c>
      <x:c r="Z328" s="62">
        <x:v>0.99</x:v>
      </x:c>
      <x:c r="AA328" s="62">
        <x:v>-0.25</x:v>
      </x:c>
      <x:c r="AB328" s="62">
        <x:v>0.77</x:v>
      </x:c>
      <x:c r="AC328" s="62">
        <x:v>0.82</x:v>
      </x:c>
      <x:c r="AD328" s="60">
        <x:v>2.32</x:v>
      </x:c>
      <x:c r="AE328" s="60">
        <x:v>3.32</x:v>
      </x:c>
      <x:c r="AF328" s="60">
        <x:v>2.66</x:v>
      </x:c>
      <x:c r="AG328" s="62">
        <x:v>0.108179151659789</x:v>
      </x:c>
      <x:c r="AH328" s="62">
        <x:v>0.0581791516597894</x:v>
      </x:c>
      <x:c r="AI328" s="62">
        <x:v>0.388957401078186</x:v>
      </x:c>
      <x:c r="AJ328" s="62">
        <x:v>0.271801557379937</x:v>
      </x:c>
      <x:c r="AK328" s="62">
        <x:v>0.339241041541877</x:v>
      </x:c>
      <x:c r="AL328" s="62">
        <x:v>1.28</x:v>
      </x:c>
      <x:c r="AM328" s="62">
        <x:v>1.18</x:v>
      </x:c>
      <x:c r="AN328" s="62">
        <x:v>0.000764285987911196</x:v>
      </x:c>
      <x:c r="AO328" s="62">
        <x:v>1.22718916668427</x:v>
      </x:c>
      <x:c r="AP328" s="62">
        <x:v>-0.407189166684266</x:v>
      </x:c>
      <x:c r="AQ328" s="62" t="s">
        <x:v>99</x:v>
      </x:c>
      <x:c r="AR328" s="49">
        <x:v>-0.25</x:v>
      </x:c>
      <x:c r="AS328" s="62">
        <x:v>0.387888103094588</x:v>
      </x:c>
      <x:c r="AT328" s="62">
        <x:v>0.476012078003388</x:v>
      </x:c>
      <x:c r="AU328" s="60">
        <x:v>2.1</x:v>
      </x:c>
      <x:c r="AV328" s="60">
        <x:v>3.48</x:v>
      </x:c>
      <x:c r="AW328" s="60">
        <x:v>2.97</x:v>
      </x:c>
      <x:c r="AX328" s="49" t="s">
        <x:v>1356</x:v>
      </x:c>
      <x:c r="AY328" s="49" t="s">
        <x:v>101</x:v>
      </x:c>
    </x:row>
    <x:row r="329" ht="22" customHeight="1">
      <x:c r="A329" s="49" t="s">
        <x:v>1351</x:v>
      </x:c>
      <x:c r="B329" s="49" t="s">
        <x:v>1384</x:v>
      </x:c>
      <x:c r="C329" s="49" t="s">
        <x:v>136</x:v>
      </x:c>
      <x:c r="D329" s="49" t="s">
        <x:v>116</x:v>
      </x:c>
      <x:c r="E329" s="49" t="s">
        <x:v>563</x:v>
      </x:c>
      <x:c r="F329" s="49" t="s">
        <x:v>1385</x:v>
      </x:c>
      <x:c r="G329" s="60">
        <x:v>0.8</x:v>
      </x:c>
      <x:c r="H329" s="60">
        <x:v>0.75</x:v>
      </x:c>
      <x:c r="I329" s="60">
        <x:v>1.02</x:v>
      </x:c>
      <x:c r="J329" s="49" t="s">
        <x:v>450</x:v>
      </x:c>
      <x:c r="K329" s="49" t="s">
        <x:v>106</x:v>
      </x:c>
      <x:c r="L329" s="49" t="s">
        <x:v>1386</x:v>
      </x:c>
      <x:c r="M329" s="61">
        <x:v>0.59</x:v>
      </x:c>
      <x:c r="N329" s="49" t="s">
        <x:v>96</x:v>
      </x:c>
      <x:c r="O329" s="49" t="s">
        <x:v>273</x:v>
      </x:c>
      <x:c r="P329" s="49" t="s">
        <x:v>30</x:v>
      </x:c>
      <x:c r="Q329" s="49" t="s">
        <x:v>23</x:v>
      </x:c>
      <x:c r="R329" s="50">
        <x:v>0.8</x:v>
      </x:c>
      <x:c r="S329" s="50">
        <x:f t="shared" si="24"/>
        <x:v>-1</x:v>
      </x:c>
      <x:c r="T329" s="49" t="s">
        <x:v>1387</x:v>
      </x:c>
      <x:c r="U329" s="49" t="str">
        <x:f t="shared" si="22"/>
        <x:v>红</x:v>
      </x:c>
      <x:c r="V329" s="50">
        <x:f t="shared" si="23"/>
        <x:v>1.02</x:v>
      </x:c>
      <x:c r="W329" s="50">
        <x:f t="shared" si="25"/>
        <x:v>1.02</x:v>
      </x:c>
      <x:c r="X329" s="62">
        <x:v>0.83</x:v>
      </x:c>
      <x:c r="Y329" s="62">
        <x:v>0.75</x:v>
      </x:c>
      <x:c r="Z329" s="62">
        <x:v>0.93</x:v>
      </x:c>
      <x:c r="AA329" s="62">
        <x:v>-0.75</x:v>
      </x:c>
      <x:c r="AB329" s="62">
        <x:v>0.83</x:v>
      </x:c>
      <x:c r="AC329" s="62">
        <x:v>0.8</x:v>
      </x:c>
      <x:c r="AD329" s="60">
        <x:v>1.65</x:v>
      </x:c>
      <x:c r="AE329" s="60">
        <x:v>3.95</x:v>
      </x:c>
      <x:c r="AF329" s="60">
        <x:v>4.16</x:v>
      </x:c>
      <x:c r="AG329" s="62">
        <x:v>0.0996097784072467</x:v>
      </x:c>
      <x:c r="AH329" s="62">
        <x:v>0.0496097784072467</x:v>
      </x:c>
      <x:c r="AI329" s="62">
        <x:v>0.551159709527563</x:v>
      </x:c>
      <x:c r="AJ329" s="62">
        <x:v>0.230231271068476</x:v>
      </x:c>
      <x:c r="AK329" s="62">
        <x:v>0.218609019403961</x:v>
      </x:c>
      <x:c r="AL329" s="62">
        <x:v>1.81</x:v>
      </x:c>
      <x:c r="AM329" s="62">
        <x:v>1.05</x:v>
      </x:c>
      <x:c r="AN329" s="62">
        <x:v>0.000458608472009495</x:v>
      </x:c>
      <x:c r="AO329" s="62">
        <x:v>1.03672147879082</x:v>
      </x:c>
      <x:c r="AP329" s="62">
        <x:v>-0.236721478790824</x:v>
      </x:c>
      <x:c r="AQ329" s="62" t="s">
        <x:v>99</x:v>
      </x:c>
      <x:c r="AR329" s="49">
        <x:v>-0.75</x:v>
      </x:c>
      <x:c r="AS329" s="62">
        <x:v>0.432362089800123</x:v>
      </x:c>
      <x:c r="AT329" s="62">
        <x:v>0.448239065110675</x:v>
      </x:c>
      <x:c r="AU329" s="60">
        <x:v>1.63</x:v>
      </x:c>
      <x:c r="AV329" s="60">
        <x:v>3.99</x:v>
      </x:c>
      <x:c r="AW329" s="60">
        <x:v>4.33</x:v>
      </x:c>
      <x:c r="AX329" s="49" t="s">
        <x:v>1356</x:v>
      </x:c>
      <x:c r="AY329" s="49" t="s">
        <x:v>101</x:v>
      </x:c>
    </x:row>
    <x:row r="330" ht="22" customHeight="1">
      <x:c r="A330" s="49" t="s">
        <x:v>1351</x:v>
      </x:c>
      <x:c r="B330" s="49" t="s">
        <x:v>1388</x:v>
      </x:c>
      <x:c r="C330" s="49" t="s">
        <x:v>1188</x:v>
      </x:c>
      <x:c r="D330" s="49" t="s">
        <x:v>90</x:v>
      </x:c>
      <x:c r="E330" s="49" t="s">
        <x:v>1189</x:v>
      </x:c>
      <x:c r="F330" s="49" t="s">
        <x:v>1389</x:v>
      </x:c>
      <x:c r="G330" s="60">
        <x:v>1.08</x:v>
      </x:c>
      <x:c r="H330" s="60">
        <x:v>-0.25</x:v>
      </x:c>
      <x:c r="I330" s="60">
        <x:v>0.81</x:v>
      </x:c>
      <x:c r="J330" s="49" t="s">
        <x:v>1390</x:v>
      </x:c>
      <x:c r="K330" s="49" t="s">
        <x:v>106</x:v>
      </x:c>
      <x:c r="L330" s="49" t="s">
        <x:v>1391</x:v>
      </x:c>
      <x:c r="M330" s="61">
        <x:v>0.593</x:v>
      </x:c>
      <x:c r="N330" s="49" t="s">
        <x:v>96</x:v>
      </x:c>
      <x:c r="O330" s="49" t="s">
        <x:v>126</x:v>
      </x:c>
      <x:c r="P330" s="49" t="s">
        <x:v>30</x:v>
      </x:c>
      <x:c r="Q330" s="49" t="s">
        <x:v>20</x:v>
      </x:c>
      <x:c r="R330" s="50">
        <x:v>0.81</x:v>
      </x:c>
      <x:c r="S330" s="50">
        <x:f t="shared" si="24"/>
        <x:v>-0.5</x:v>
      </x:c>
      <x:c r="T330" s="49" t="s">
        <x:v>1392</x:v>
      </x:c>
      <x:c r="U330" s="49" t="str">
        <x:f t="shared" si="22"/>
        <x:v>半红</x:v>
      </x:c>
      <x:c r="V330" s="50">
        <x:f t="shared" si="23"/>
        <x:v>1.08</x:v>
      </x:c>
      <x:c r="W330" s="50">
        <x:f t="shared" si="25"/>
        <x:v>0.54</x:v>
      </x:c>
      <x:c r="X330" s="62">
        <x:v>0.82</x:v>
      </x:c>
      <x:c r="Y330" s="62">
        <x:v>0</x:v>
      </x:c>
      <x:c r="Z330" s="62">
        <x:v>1.06</x:v>
      </x:c>
      <x:c r="AA330" s="62">
        <x:v>0</x:v>
      </x:c>
      <x:c r="AB330" s="62">
        <x:v>1.06</x:v>
      </x:c>
      <x:c r="AC330" s="62">
        <x:v>0.81</x:v>
      </x:c>
      <x:c r="AD330" s="60">
        <x:v>2.74</x:v>
      </x:c>
      <x:c r="AE330" s="60">
        <x:v>3.39</x:v>
      </x:c>
      <x:c r="AF330" s="60">
        <x:v>2.53</x:v>
      </x:c>
      <x:c r="AG330" s="62">
        <x:v>0.0552056713831455</x:v>
      </x:c>
      <x:c r="AH330" s="62">
        <x:v>0.00520567138314547</x:v>
      </x:c>
      <x:c r="AI330" s="62">
        <x:v>0.345869543300736</x:v>
      </x:c>
      <x:c r="AJ330" s="62">
        <x:v>0.279552374231273</x:v>
      </x:c>
      <x:c r="AK330" s="62">
        <x:v>0.374578082467991</x:v>
      </x:c>
      <x:c r="AL330" s="62">
        <x:v>1.15</x:v>
      </x:c>
      <x:c r="AM330" s="62">
        <x:v>1.21</x:v>
      </x:c>
      <x:c r="AN330" s="62">
        <x:v>0.000336362840524324</x:v>
      </x:c>
      <x:c r="AO330" s="62">
        <x:v>1.29410645535298</x:v>
      </x:c>
      <x:c r="AP330" s="62">
        <x:v>-0.484106455352979</x:v>
      </x:c>
      <x:c r="AQ330" s="62" t="s">
        <x:v>99</x:v>
      </x:c>
      <x:c r="AR330" s="49">
        <x:v>-0.25</x:v>
      </x:c>
      <x:c r="AS330" s="62">
        <x:v>0.375041761272356</x:v>
      </x:c>
      <x:c r="AT330" s="62">
        <x:v>0.485343964289506</x:v>
      </x:c>
      <x:c r="AU330" s="60">
        <x:v>3.38</x:v>
      </x:c>
      <x:c r="AV330" s="60">
        <x:v>3.58</x:v>
      </x:c>
      <x:c r="AW330" s="60">
        <x:v>2.11</x:v>
      </x:c>
      <x:c r="AX330" s="49" t="s">
        <x:v>1356</x:v>
      </x:c>
      <x:c r="AY330" s="49" t="s">
        <x:v>101</x:v>
      </x:c>
    </x:row>
    <x:row r="331" ht="22" customHeight="1">
      <x:c r="A331" s="49" t="s">
        <x:v>1351</x:v>
      </x:c>
      <x:c r="B331" s="49" t="s">
        <x:v>1393</x:v>
      </x:c>
      <x:c r="C331" s="49" t="s">
        <x:v>89</x:v>
      </x:c>
      <x:c r="D331" s="49" t="s">
        <x:v>116</x:v>
      </x:c>
      <x:c r="E331" s="49" t="s">
        <x:v>587</x:v>
      </x:c>
      <x:c r="F331" s="49" t="s">
        <x:v>1394</x:v>
      </x:c>
      <x:c r="G331" s="60">
        <x:v>0.97</x:v>
      </x:c>
      <x:c r="H331" s="60">
        <x:v>0.5</x:v>
      </x:c>
      <x:c r="I331" s="60">
        <x:v>0.92</x:v>
      </x:c>
      <x:c r="J331" s="49" t="s">
        <x:v>1395</x:v>
      </x:c>
      <x:c r="K331" s="49" t="s">
        <x:v>132</x:v>
      </x:c>
      <x:c r="L331" s="49" t="s">
        <x:v>892</x:v>
      </x:c>
      <x:c r="M331" s="61">
        <x:v>0.559</x:v>
      </x:c>
      <x:c r="N331" s="49" t="s">
        <x:v>685</x:v>
      </x:c>
      <x:c r="O331" s="49" t="s">
        <x:v>126</x:v>
      </x:c>
      <x:c r="P331" s="49" t="s">
        <x:v>30</x:v>
      </x:c>
      <x:c r="Q331" s="49" t="s">
        <x:v>11</x:v>
      </x:c>
      <x:c r="R331" s="50">
        <x:v>0.92</x:v>
      </x:c>
      <x:c r="S331" s="50">
        <x:f t="shared" si="24"/>
        <x:v>0.92</x:v>
      </x:c>
      <x:c r="T331" s="49" t="s">
        <x:v>1396</x:v>
      </x:c>
      <x:c r="U331" s="49" t="str">
        <x:f t="shared" si="22"/>
        <x:v>黑</x:v>
      </x:c>
      <x:c r="V331" s="50">
        <x:f t="shared" si="23"/>
        <x:v>0.97</x:v>
      </x:c>
      <x:c r="W331" s="50">
        <x:f t="shared" si="25"/>
        <x:v>-1</x:v>
      </x:c>
      <x:c r="X331" s="62">
        <x:v>1.04</x:v>
      </x:c>
      <x:c r="Y331" s="62">
        <x:v>0.75</x:v>
      </x:c>
      <x:c r="Z331" s="62">
        <x:v>0.84</x:v>
      </x:c>
      <x:c r="AA331" s="62">
        <x:v>0.75</x:v>
      </x:c>
      <x:c r="AB331" s="62">
        <x:v>0.84</x:v>
      </x:c>
      <x:c r="AC331" s="62">
        <x:v>0.92</x:v>
      </x:c>
      <x:c r="AD331" s="60">
        <x:v>1.74</x:v>
      </x:c>
      <x:c r="AE331" s="60">
        <x:v>3.65</x:v>
      </x:c>
      <x:c r="AF331" s="60">
        <x:v>4.1</x:v>
      </x:c>
      <x:c r="AG331" s="62">
        <x:v>0.0925876854422771</x:v>
      </x:c>
      <x:c r="AH331" s="62">
        <x:v>0.0425876854422771</x:v>
      </x:c>
      <x:c r="AI331" s="62">
        <x:v>0.526010544815466</x:v>
      </x:c>
      <x:c r="AJ331" s="62">
        <x:v>0.250755711775044</x:v>
      </x:c>
      <x:c r="AK331" s="62">
        <x:v>0.22323374340949</x:v>
      </x:c>
      <x:c r="AL331" s="62">
        <x:v>1.59</x:v>
      </x:c>
      <x:c r="AM331" s="62">
        <x:v>0.94</x:v>
      </x:c>
      <x:c r="AN331" s="62">
        <x:v>0.000405742171381642</x:v>
      </x:c>
      <x:c r="AO331" s="62">
        <x:v>1.10819099197835</x:v>
      </x:c>
      <x:c r="AP331" s="62">
        <x:v>-0.18819099197835</x:v>
      </x:c>
      <x:c r="AQ331" s="62" t="s">
        <x:v>289</x:v>
      </x:c>
      <x:c r="AR331" s="49">
        <x:v>0.5</x:v>
      </x:c>
      <x:c r="AS331" s="62">
        <x:v>0.474340324859082</x:v>
      </x:c>
      <x:c r="AT331" s="62">
        <x:v>0.525659675140918</x:v>
      </x:c>
      <x:c r="AU331" s="60">
        <x:v>1.86</x:v>
      </x:c>
      <x:c r="AV331" s="60">
        <x:v>3.54</x:v>
      </x:c>
      <x:c r="AW331" s="60">
        <x:v>3.75</x:v>
      </x:c>
      <x:c r="AX331" s="49" t="s">
        <x:v>1356</x:v>
      </x:c>
      <x:c r="AY331" s="49" t="s">
        <x:v>101</x:v>
      </x:c>
    </x:row>
    <x:row r="332" ht="22" customHeight="1">
      <x:c r="A332" s="49" t="s">
        <x:v>1351</x:v>
      </x:c>
      <x:c r="B332" s="49" t="s">
        <x:v>1397</x:v>
      </x:c>
      <x:c r="C332" s="49" t="s">
        <x:v>128</x:v>
      </x:c>
      <x:c r="D332" s="49" t="s">
        <x:v>90</x:v>
      </x:c>
      <x:c r="E332" s="49" t="s">
        <x:v>129</x:v>
      </x:c>
      <x:c r="F332" s="49" t="s">
        <x:v>1398</x:v>
      </x:c>
      <x:c r="G332" s="60">
        <x:v>0.84</x:v>
      </x:c>
      <x:c r="H332" s="60">
        <x:v>0.25</x:v>
      </x:c>
      <x:c r="I332" s="60">
        <x:v>0.98</x:v>
      </x:c>
      <x:c r="J332" s="49" t="s">
        <x:v>1247</x:v>
      </x:c>
      <x:c r="K332" s="49" t="s">
        <x:v>106</x:v>
      </x:c>
      <x:c r="L332" s="49" t="s">
        <x:v>1399</x:v>
      </x:c>
      <x:c r="M332" s="61">
        <x:v>0.589</x:v>
      </x:c>
      <x:c r="N332" s="49" t="s">
        <x:v>96</x:v>
      </x:c>
      <x:c r="O332" s="49" t="s">
        <x:v>114</x:v>
      </x:c>
      <x:c r="P332" s="49" t="s">
        <x:v>30</x:v>
      </x:c>
      <x:c r="Q332" s="49" t="s">
        <x:v>23</x:v>
      </x:c>
      <x:c r="R332" s="50">
        <x:v>0.84</x:v>
      </x:c>
      <x:c r="S332" s="50">
        <x:f t="shared" si="24"/>
        <x:v>-1</x:v>
      </x:c>
      <x:c r="T332" s="49" t="s">
        <x:v>1400</x:v>
      </x:c>
      <x:c r="U332" s="49" t="str">
        <x:f t="shared" si="22"/>
        <x:v>红</x:v>
      </x:c>
      <x:c r="V332" s="50">
        <x:f t="shared" si="23"/>
        <x:v>0.98</x:v>
      </x:c>
      <x:c r="W332" s="50">
        <x:f t="shared" si="25"/>
        <x:v>0.98</x:v>
      </x:c>
      <x:c r="X332" s="62">
        <x:v>0.89</x:v>
      </x:c>
      <x:c r="Y332" s="62">
        <x:v>0.25</x:v>
      </x:c>
      <x:c r="Z332" s="62">
        <x:v>0.81</x:v>
      </x:c>
      <x:c r="AA332" s="62">
        <x:v>-0.25</x:v>
      </x:c>
      <x:c r="AB332" s="62">
        <x:v>0.89</x:v>
      </x:c>
      <x:c r="AC332" s="62">
        <x:v>0.84</x:v>
      </x:c>
      <x:c r="AD332" s="60">
        <x:v>2.12</x:v>
      </x:c>
      <x:c r="AE332" s="60">
        <x:v>3.07</x:v>
      </x:c>
      <x:c r="AF332" s="60">
        <x:v>3.22</x:v>
      </x:c>
      <x:c r="AG332" s="62">
        <x:v>0.107990018441529</x:v>
      </x:c>
      <x:c r="AH332" s="62">
        <x:v>0.0579900184415285</x:v>
      </x:c>
      <x:c r="AI332" s="62">
        <x:v>0.425724153969389</x:v>
      </x:c>
      <x:c r="AJ332" s="62">
        <x:v>0.293985409255734</x:v>
      </x:c>
      <x:c r="AK332" s="62">
        <x:v>0.280290436774877</x:v>
      </x:c>
      <x:c r="AL332" s="62">
        <x:v>1.2</x:v>
      </x:c>
      <x:c r="AM332" s="62">
        <x:v>0.91</x:v>
      </x:c>
      <x:c r="AN332" s="62">
        <x:v>0.00109098973543685</x:v>
      </x:c>
      <x:c r="AO332" s="62">
        <x:v>0.998278016811879</x:v>
      </x:c>
      <x:c r="AP332" s="62">
        <x:v>-0.158278016811879</x:v>
      </x:c>
      <x:c r="AQ332" s="62" t="s">
        <x:v>99</x:v>
      </x:c>
      <x:c r="AR332" s="49">
        <x:v>-0.25</x:v>
      </x:c>
      <x:c r="AS332" s="62">
        <x:v>0.426749695281953</x:v>
      </x:c>
      <x:c r="AT332" s="62">
        <x:v>0.426014839481141</x:v>
      </x:c>
      <x:c r="AU332" s="60">
        <x:v>2.11</x:v>
      </x:c>
      <x:c r="AV332" s="60">
        <x:v>2.95</x:v>
      </x:c>
      <x:c r="AW332" s="60">
        <x:v>3.44</x:v>
      </x:c>
      <x:c r="AX332" s="49" t="s">
        <x:v>1356</x:v>
      </x:c>
      <x:c r="AY332" s="49" t="s">
        <x:v>101</x:v>
      </x:c>
    </x:row>
    <x:row r="333" ht="22" customHeight="1">
      <x:c r="A333" s="49" t="s">
        <x:v>1351</x:v>
      </x:c>
      <x:c r="B333" s="49" t="s">
        <x:v>1397</x:v>
      </x:c>
      <x:c r="C333" s="49" t="s">
        <x:v>1188</x:v>
      </x:c>
      <x:c r="D333" s="49" t="s">
        <x:v>90</x:v>
      </x:c>
      <x:c r="E333" s="49" t="s">
        <x:v>1189</x:v>
      </x:c>
      <x:c r="F333" s="49" t="s">
        <x:v>1401</x:v>
      </x:c>
      <x:c r="G333" s="60">
        <x:v>0.85</x:v>
      </x:c>
      <x:c r="H333" s="60">
        <x:v>3</x:v>
      </x:c>
      <x:c r="I333" s="60">
        <x:v>1.04</x:v>
      </x:c>
      <x:c r="J333" s="49" t="s">
        <x:v>1402</x:v>
      </x:c>
      <x:c r="K333" s="49" t="s">
        <x:v>106</x:v>
      </x:c>
      <x:c r="L333" s="49" t="s">
        <x:v>406</x:v>
      </x:c>
      <x:c r="M333" s="61">
        <x:v>0.593</x:v>
      </x:c>
      <x:c r="N333" s="49" t="s">
        <x:v>96</x:v>
      </x:c>
      <x:c r="O333" s="49" t="s">
        <x:v>317</x:v>
      </x:c>
      <x:c r="P333" s="49" t="s">
        <x:v>30</x:v>
      </x:c>
      <x:c r="Q333" s="49" t="s">
        <x:v>11</x:v>
      </x:c>
      <x:c r="R333" s="50">
        <x:v>0.85</x:v>
      </x:c>
      <x:c r="S333" s="50">
        <x:f t="shared" si="24"/>
        <x:v>0.85</x:v>
      </x:c>
      <x:c r="T333" s="49" t="s">
        <x:v>1403</x:v>
      </x:c>
      <x:c r="U333" s="49" t="str">
        <x:f t="shared" si="22"/>
        <x:v>黑</x:v>
      </x:c>
      <x:c r="V333" s="50">
        <x:f t="shared" si="23"/>
        <x:v>1.04</x:v>
      </x:c>
      <x:c r="W333" s="50">
        <x:f t="shared" si="25"/>
        <x:v>-1</x:v>
      </x:c>
      <x:c r="X333" s="62">
        <x:v>0.96</x:v>
      </x:c>
      <x:c r="Y333" s="62">
        <x:v>2.5</x:v>
      </x:c>
      <x:c r="Z333" s="62">
        <x:v>0.92</x:v>
      </x:c>
      <x:c r="AA333" s="62">
        <x:v>-2.5</x:v>
      </x:c>
      <x:c r="AB333" s="62">
        <x:v>0.96</x:v>
      </x:c>
      <x:c r="AC333" s="62">
        <x:v>0.85</x:v>
      </x:c>
      <x:c r="AD333" s="60">
        <x:v>1.15</x:v>
      </x:c>
      <x:c r="AE333" s="60">
        <x:v>9.02</x:v>
      </x:c>
      <x:c r="AF333" s="60">
        <x:v>14.05</x:v>
      </x:c>
      <x:c r="AG333" s="62">
        <x:v>0.0516043396265902</x:v>
      </x:c>
      <x:c r="AH333" s="62">
        <x:v>0.00160433962659016</x:v>
      </x:c>
      <x:c r="AI333" s="62">
        <x:v>0.826893903556993</x:v>
      </x:c>
      <x:c r="AJ333" s="62">
        <x:v>0.105424389034428</x:v>
      </x:c>
      <x:c r="AK333" s="62">
        <x:v>0.0676817074085794</x:v>
      </x:c>
      <x:c r="AL333" s="62">
        <x:v>3.35</x:v>
      </x:c>
      <x:c r="AM333" s="62">
        <x:v>0.94</x:v>
      </x:c>
      <x:c r="AN333" s="62">
        <x:v>0.000131537157191772</x:v>
      </x:c>
      <x:c r="AO333" s="62">
        <x:v>1.89884862629321</x:v>
      </x:c>
      <x:c r="AP333" s="62">
        <x:v>-1.04884862629321</x:v>
      </x:c>
      <x:c r="AQ333" s="62" t="s">
        <x:v>99</x:v>
      </x:c>
      <x:c r="AR333" s="49">
        <x:v>-3</x:v>
      </x:c>
      <x:c r="AS333" s="62">
        <x:v>0.28323206452356</x:v>
      </x:c>
      <x:c r="AT333" s="62">
        <x:v>0.537814816642753</x:v>
      </x:c>
      <x:c r="AU333" s="60">
        <x:v>1.09</x:v>
      </x:c>
      <x:c r="AV333" s="60">
        <x:v>12.34</x:v>
      </x:c>
      <x:c r="AW333" s="60">
        <x:v>22.74</x:v>
      </x:c>
      <x:c r="AX333" s="49" t="s">
        <x:v>1356</x:v>
      </x:c>
      <x:c r="AY333" s="49" t="s">
        <x:v>101</x:v>
      </x:c>
    </x:row>
    <x:row r="334" ht="22" customHeight="1">
      <x:c r="A334" s="49" t="s">
        <x:v>1351</x:v>
      </x:c>
      <x:c r="B334" s="49" t="s">
        <x:v>1397</x:v>
      </x:c>
      <x:c r="C334" s="49" t="s">
        <x:v>1188</x:v>
      </x:c>
      <x:c r="D334" s="49" t="s">
        <x:v>90</x:v>
      </x:c>
      <x:c r="E334" s="49" t="s">
        <x:v>1189</x:v>
      </x:c>
      <x:c r="F334" s="49" t="s">
        <x:v>1404</x:v>
      </x:c>
      <x:c r="G334" s="60">
        <x:v>0.84</x:v>
      </x:c>
      <x:c r="H334" s="60">
        <x:v>2.75</x:v>
      </x:c>
      <x:c r="I334" s="60">
        <x:v>1.05</x:v>
      </x:c>
      <x:c r="J334" s="49" t="s">
        <x:v>1405</x:v>
      </x:c>
      <x:c r="K334" s="49" t="s">
        <x:v>106</x:v>
      </x:c>
      <x:c r="L334" s="49" t="s">
        <x:v>1042</x:v>
      </x:c>
      <x:c r="M334" s="61">
        <x:v>0.593</x:v>
      </x:c>
      <x:c r="N334" s="49" t="s">
        <x:v>96</x:v>
      </x:c>
      <x:c r="O334" s="49" t="s">
        <x:v>108</x:v>
      </x:c>
      <x:c r="P334" s="49" t="s">
        <x:v>30</x:v>
      </x:c>
      <x:c r="Q334" s="49" t="s">
        <x:v>11</x:v>
      </x:c>
      <x:c r="R334" s="50">
        <x:v>0.84</x:v>
      </x:c>
      <x:c r="S334" s="50">
        <x:f t="shared" si="24"/>
        <x:v>0.84</x:v>
      </x:c>
      <x:c r="T334" s="49" t="s">
        <x:v>1406</x:v>
      </x:c>
      <x:c r="U334" s="49" t="str">
        <x:f t="shared" si="22"/>
        <x:v>黑</x:v>
      </x:c>
      <x:c r="V334" s="50">
        <x:f t="shared" si="23"/>
        <x:v>1.05</x:v>
      </x:c>
      <x:c r="W334" s="50">
        <x:f t="shared" si="25"/>
        <x:v>-1</x:v>
      </x:c>
      <x:c r="X334" s="62">
        <x:v>0.86</x:v>
      </x:c>
      <x:c r="Y334" s="62">
        <x:v>2.5</x:v>
      </x:c>
      <x:c r="Z334" s="62">
        <x:v>1.02</x:v>
      </x:c>
      <x:c r="AA334" s="62">
        <x:v>-2.5</x:v>
      </x:c>
      <x:c r="AB334" s="62">
        <x:v>0.86</x:v>
      </x:c>
      <x:c r="AC334" s="62">
        <x:v>0.84</x:v>
      </x:c>
      <x:c r="AD334" s="60">
        <x:v>1.12</x:v>
      </x:c>
      <x:c r="AE334" s="60">
        <x:v>8.82</x:v>
      </x:c>
      <x:c r="AF334" s="60">
        <x:v>20</x:v>
      </x:c>
      <x:c r="AG334" s="62">
        <x:v>0.0562358276643991</x:v>
      </x:c>
      <x:c r="AH334" s="62">
        <x:v>0.00623582766439905</x:v>
      </x:c>
      <x:c r="AI334" s="62">
        <x:v>0.845319879776728</x:v>
      </x:c>
      <x:c r="AJ334" s="62">
        <x:v>0.107342206955775</x:v>
      </x:c>
      <x:c r="AK334" s="62">
        <x:v>0.0473379132674968</x:v>
      </x:c>
      <x:c r="AL334" s="62">
        <x:v>2.92</x:v>
      </x:c>
      <x:c r="AM334" s="62">
        <x:v>0.58</x:v>
      </x:c>
      <x:c r="AN334" s="62">
        <x:v>0.000249214661291184</x:v>
      </x:c>
      <x:c r="AO334" s="62">
        <x:v>1.62563120551365</x:v>
      </x:c>
      <x:c r="AP334" s="62">
        <x:v>-0.785631205513652</x:v>
      </x:c>
      <x:c r="AQ334" s="62" t="s">
        <x:v>99</x:v>
      </x:c>
      <x:c r="AR334" s="49">
        <x:v>-2.75</x:v>
      </x:c>
      <x:c r="AS334" s="62">
        <x:v>0.345013286736893</x:v>
      </x:c>
      <x:c r="AT334" s="62">
        <x:v>0.560864365236322</x:v>
      </x:c>
      <x:c r="AU334" s="60">
        <x:v>1.09</x:v>
      </x:c>
      <x:c r="AV334" s="60">
        <x:v>10.98</x:v>
      </x:c>
      <x:c r="AW334" s="60">
        <x:v>26.16</x:v>
      </x:c>
      <x:c r="AX334" s="49" t="s">
        <x:v>1356</x:v>
      </x:c>
      <x:c r="AY334" s="49" t="s">
        <x:v>101</x:v>
      </x:c>
    </x:row>
    <x:row r="335" ht="22" customHeight="1">
      <x:c r="A335" s="49" t="s">
        <x:v>1351</x:v>
      </x:c>
      <x:c r="B335" s="49" t="s">
        <x:v>1407</x:v>
      </x:c>
      <x:c r="C335" s="49" t="s">
        <x:v>128</x:v>
      </x:c>
      <x:c r="D335" s="49" t="s">
        <x:v>116</x:v>
      </x:c>
      <x:c r="E335" s="49" t="s">
        <x:v>1288</x:v>
      </x:c>
      <x:c r="F335" s="49" t="s">
        <x:v>1408</x:v>
      </x:c>
      <x:c r="G335" s="60">
        <x:v>0.77</x:v>
      </x:c>
      <x:c r="H335" s="60">
        <x:v>0.5</x:v>
      </x:c>
      <x:c r="I335" s="60">
        <x:v>0.99</x:v>
      </x:c>
      <x:c r="J335" s="49" t="s">
        <x:v>1409</x:v>
      </x:c>
      <x:c r="K335" s="49" t="s">
        <x:v>106</x:v>
      </x:c>
      <x:c r="L335" s="49" t="s">
        <x:v>1410</x:v>
      </x:c>
      <x:c r="M335" s="61">
        <x:v>0.589</x:v>
      </x:c>
      <x:c r="N335" s="49" t="s">
        <x:v>96</x:v>
      </x:c>
      <x:c r="O335" s="49" t="s">
        <x:v>114</x:v>
      </x:c>
      <x:c r="P335" s="49" t="s">
        <x:v>30</x:v>
      </x:c>
      <x:c r="Q335" s="49" t="s">
        <x:v>23</x:v>
      </x:c>
      <x:c r="R335" s="50">
        <x:v>0.77</x:v>
      </x:c>
      <x:c r="S335" s="50">
        <x:f t="shared" si="24"/>
        <x:v>-1</x:v>
      </x:c>
      <x:c r="T335" s="49" t="s">
        <x:v>1411</x:v>
      </x:c>
      <x:c r="U335" s="49" t="str">
        <x:f t="shared" si="22"/>
        <x:v>红</x:v>
      </x:c>
      <x:c r="V335" s="50">
        <x:f t="shared" si="23"/>
        <x:v>0.99</x:v>
      </x:c>
      <x:c r="W335" s="50">
        <x:f t="shared" si="25"/>
        <x:v>0.99</x:v>
      </x:c>
      <x:c r="X335" s="62">
        <x:v>0.84</x:v>
      </x:c>
      <x:c r="Y335" s="62">
        <x:v>0.25</x:v>
      </x:c>
      <x:c r="Z335" s="62">
        <x:v>0.86</x:v>
      </x:c>
      <x:c r="AA335" s="62">
        <x:v>-0.25</x:v>
      </x:c>
      <x:c r="AB335" s="62">
        <x:v>0.84</x:v>
      </x:c>
      <x:c r="AC335" s="62">
        <x:v>0.77</x:v>
      </x:c>
      <x:c r="AD335" s="60">
        <x:v>1.77</x:v>
      </x:c>
      <x:c r="AE335" s="60">
        <x:v>3.19</x:v>
      </x:c>
      <x:c r="AF335" s="60">
        <x:v>4.65</x:v>
      </x:c>
      <x:c r="AG335" s="62">
        <x:v>0.093505138677741</x:v>
      </x:c>
      <x:c r="AH335" s="62">
        <x:v>0.043505138677741</x:v>
      </x:c>
      <x:c r="AI335" s="62">
        <x:v>0.516661267907336</x:v>
      </x:c>
      <x:c r="AJ335" s="62">
        <x:v>0.286674120437613</x:v>
      </x:c>
      <x:c r="AK335" s="62">
        <x:v>0.196664611655051</x:v>
      </x:c>
      <x:c r="AL335" s="62">
        <x:v>1.32</x:v>
      </x:c>
      <x:c r="AM335" s="62">
        <x:v>0.7</x:v>
      </x:c>
      <x:c r="AN335" s="62">
        <x:v>0.00105593731976064</x:v>
      </x:c>
      <x:c r="AO335" s="62">
        <x:v>0.940265569366768</x:v>
      </x:c>
      <x:c r="AP335" s="62">
        <x:v>-0.170265569366768</x:v>
      </x:c>
      <x:c r="AQ335" s="62" t="s">
        <x:v>99</x:v>
      </x:c>
      <x:c r="AR335" s="49">
        <x:v>-0.5</x:v>
      </x:c>
      <x:c r="AS335" s="62">
        <x:v>0.515393364593056</x:v>
      </x:c>
      <x:c r="AT335" s="62">
        <x:v>0.484606635406944</x:v>
      </x:c>
      <x:c r="AU335" s="60">
        <x:v>1.91</x:v>
      </x:c>
      <x:c r="AV335" s="60">
        <x:v>2.98</x:v>
      </x:c>
      <x:c r="AW335" s="60">
        <x:v>4.15</x:v>
      </x:c>
      <x:c r="AX335" s="49" t="s">
        <x:v>1356</x:v>
      </x:c>
      <x:c r="AY335" s="49" t="s">
        <x:v>101</x:v>
      </x:c>
    </x:row>
    <x:row r="336" ht="22" customHeight="1">
      <x:c r="A336" s="49" t="s">
        <x:v>1351</x:v>
      </x:c>
      <x:c r="B336" s="49" t="s">
        <x:v>1407</x:v>
      </x:c>
      <x:c r="C336" s="49" t="s">
        <x:v>128</x:v>
      </x:c>
      <x:c r="D336" s="49" t="s">
        <x:v>116</x:v>
      </x:c>
      <x:c r="E336" s="49" t="s">
        <x:v>1288</x:v>
      </x:c>
      <x:c r="F336" s="49" t="s">
        <x:v>1412</x:v>
      </x:c>
      <x:c r="G336" s="60">
        <x:v>0.99</x:v>
      </x:c>
      <x:c r="H336" s="60">
        <x:v>1</x:v>
      </x:c>
      <x:c r="I336" s="60">
        <x:v>0.77</x:v>
      </x:c>
      <x:c r="J336" s="49" t="s">
        <x:v>1413</x:v>
      </x:c>
      <x:c r="K336" s="49" t="s">
        <x:v>94</x:v>
      </x:c>
      <x:c r="L336" s="49" t="s">
        <x:v>1414</x:v>
      </x:c>
      <x:c r="M336" s="61">
        <x:v>0.528</x:v>
      </x:c>
      <x:c r="N336" s="49" t="s">
        <x:v>96</x:v>
      </x:c>
      <x:c r="O336" s="49" t="s">
        <x:v>197</x:v>
      </x:c>
      <x:c r="P336" s="49" t="s">
        <x:v>30</x:v>
      </x:c>
      <x:c r="Q336" s="49" t="s">
        <x:v>11</x:v>
      </x:c>
      <x:c r="R336" s="50">
        <x:v>0.99</x:v>
      </x:c>
      <x:c r="S336" s="50">
        <x:f t="shared" si="24"/>
        <x:v>0.99</x:v>
      </x:c>
      <x:c r="T336" s="49" t="s">
        <x:v>1415</x:v>
      </x:c>
      <x:c r="U336" s="49" t="str">
        <x:f t="shared" si="22"/>
        <x:v>黑</x:v>
      </x:c>
      <x:c r="V336" s="50">
        <x:f t="shared" si="23"/>
        <x:v>0.77</x:v>
      </x:c>
      <x:c r="W336" s="50">
        <x:f t="shared" si="25"/>
        <x:v>-1</x:v>
      </x:c>
      <x:c r="X336" s="62">
        <x:v>0.75</x:v>
      </x:c>
      <x:c r="Y336" s="62">
        <x:v>0.75</x:v>
      </x:c>
      <x:c r="Z336" s="62">
        <x:v>0.95</x:v>
      </x:c>
      <x:c r="AA336" s="62">
        <x:v>-0.75</x:v>
      </x:c>
      <x:c r="AB336" s="62">
        <x:v>0.75</x:v>
      </x:c>
      <x:c r="AC336" s="62">
        <x:v>0.99</x:v>
      </x:c>
      <x:c r="AD336" s="60">
        <x:v>1.56</x:v>
      </x:c>
      <x:c r="AE336" s="60">
        <x:v>3.58</x:v>
      </x:c>
      <x:c r="AF336" s="60">
        <x:v>5.32</x:v>
      </x:c>
      <x:c r="AG336" s="62">
        <x:v>0.108325174776219</x:v>
      </x:c>
      <x:c r="AH336" s="62">
        <x:v>0.0583251747762186</x:v>
      </x:c>
      <x:c r="AI336" s="62">
        <x:v>0.57837325688742</x:v>
      </x:c>
      <x:c r="AJ336" s="62">
        <x:v>0.252028570040328</x:v>
      </x:c>
      <x:c r="AK336" s="62">
        <x:v>0.169598173072251</x:v>
      </x:c>
      <x:c r="AL336" s="62">
        <x:v>1.57</x:v>
      </x:c>
      <x:c r="AM336" s="62">
        <x:v>0.72</x:v>
      </x:c>
      <x:c r="AN336" s="62">
        <x:v>0.000757040146528157</x:v>
      </x:c>
      <x:c r="AO336" s="62">
        <x:v>1.36420505137127</x:v>
      </x:c>
      <x:c r="AP336" s="62">
        <x:v>-0.374205051371268</x:v>
      </x:c>
      <x:c r="AQ336" s="62" t="s">
        <x:v>99</x:v>
      </x:c>
      <x:c r="AR336" s="49">
        <x:v>-1</x:v>
      </x:c>
      <x:c r="AS336" s="62">
        <x:v>0.309843418009679</x:v>
      </x:c>
      <x:c r="AT336" s="62">
        <x:v>0.422689955982944</x:v>
      </x:c>
      <x:c r="AU336" s="60">
        <x:v>1.55</x:v>
      </x:c>
      <x:c r="AV336" s="60">
        <x:v>3.76</x:v>
      </x:c>
      <x:c r="AW336" s="60">
        <x:v>5.3</x:v>
      </x:c>
      <x:c r="AX336" s="49" t="s">
        <x:v>1356</x:v>
      </x:c>
      <x:c r="AY336" s="49" t="s">
        <x:v>101</x:v>
      </x:c>
    </x:row>
    <x:row r="337" ht="22" customHeight="1">
      <x:c r="A337" s="49" t="s">
        <x:v>1351</x:v>
      </x:c>
      <x:c r="B337" s="49" t="s">
        <x:v>1416</x:v>
      </x:c>
      <x:c r="C337" s="49" t="s">
        <x:v>128</x:v>
      </x:c>
      <x:c r="D337" s="49" t="s">
        <x:v>116</x:v>
      </x:c>
      <x:c r="E337" s="49" t="s">
        <x:v>212</x:v>
      </x:c>
      <x:c r="F337" s="49" t="s">
        <x:v>1417</x:v>
      </x:c>
      <x:c r="G337" s="60">
        <x:v>1.01</x:v>
      </x:c>
      <x:c r="H337" s="60">
        <x:v>0.75</x:v>
      </x:c>
      <x:c r="I337" s="60">
        <x:v>0.87</x:v>
      </x:c>
      <x:c r="J337" s="49" t="s">
        <x:v>1418</x:v>
      </x:c>
      <x:c r="K337" s="49" t="s">
        <x:v>189</x:v>
      </x:c>
      <x:c r="L337" s="49" t="s">
        <x:v>1419</x:v>
      </x:c>
      <x:c r="M337" s="61">
        <x:v>0.522</x:v>
      </x:c>
      <x:c r="N337" s="49" t="s">
        <x:v>96</x:v>
      </x:c>
      <x:c r="O337" s="49" t="s">
        <x:v>169</x:v>
      </x:c>
      <x:c r="P337" s="49" t="s">
        <x:v>30</x:v>
      </x:c>
      <x:c r="Q337" s="49" t="s">
        <x:v>23</x:v>
      </x:c>
      <x:c r="R337" s="50">
        <x:v>1.01</x:v>
      </x:c>
      <x:c r="S337" s="50">
        <x:f t="shared" si="24"/>
        <x:v>-1</x:v>
      </x:c>
      <x:c r="T337" s="49" t="s">
        <x:v>1420</x:v>
      </x:c>
      <x:c r="U337" s="49" t="str">
        <x:f t="shared" si="22"/>
        <x:v>红</x:v>
      </x:c>
      <x:c r="V337" s="50">
        <x:f t="shared" si="23"/>
        <x:v>0.87</x:v>
      </x:c>
      <x:c r="W337" s="50">
        <x:f t="shared" si="25"/>
        <x:v>0.87</x:v>
      </x:c>
      <x:c r="X337" s="62">
        <x:v>1.01</x:v>
      </x:c>
      <x:c r="Y337" s="62">
        <x:v>0.5</x:v>
      </x:c>
      <x:c r="Z337" s="62">
        <x:v>0.87</x:v>
      </x:c>
      <x:c r="AA337" s="62">
        <x:v>-0.5</x:v>
      </x:c>
      <x:c r="AB337" s="62">
        <x:v>1.01</x:v>
      </x:c>
      <x:c r="AC337" s="62">
        <x:v>1.01</x:v>
      </x:c>
      <x:c r="AD337" s="60">
        <x:v>1.77</x:v>
      </x:c>
      <x:c r="AE337" s="60">
        <x:v>3.4</x:v>
      </x:c>
      <x:c r="AF337" s="60">
        <x:v>4.41</x:v>
      </x:c>
      <x:c r="AG337" s="62">
        <x:v>0.0858467680857653</x:v>
      </x:c>
      <x:c r="AH337" s="62">
        <x:v>0.0358467680857653</x:v>
      </x:c>
      <x:c r="AI337" s="62">
        <x:v>0.520305229077963</x:v>
      </x:c>
      <x:c r="AJ337" s="62">
        <x:v>0.270864781019998</x:v>
      </x:c>
      <x:c r="AK337" s="62">
        <x:v>0.208829989902039</x:v>
      </x:c>
      <x:c r="AL337" s="62">
        <x:v>1.42</x:v>
      </x:c>
      <x:c r="AM337" s="62">
        <x:v>0.79</x:v>
      </x:c>
      <x:c r="AN337" s="62">
        <x:v>0.000785402009575643</x:v>
      </x:c>
      <x:c r="AO337" s="62">
        <x:v>1.23579679601289</x:v>
      </x:c>
      <x:c r="AP337" s="62">
        <x:v>-0.225796796012886</x:v>
      </x:c>
      <x:c r="AQ337" s="62" t="s">
        <x:v>99</x:v>
      </x:c>
      <x:c r="AR337" s="49">
        <x:v>-0.75</x:v>
      </x:c>
      <x:c r="AS337" s="62">
        <x:v>0.388876747865936</x:v>
      </x:c>
      <x:c r="AT337" s="62">
        <x:v>0.480572639056634</x:v>
      </x:c>
      <x:c r="AU337" s="60">
        <x:v>1.75</x:v>
      </x:c>
      <x:c r="AV337" s="60">
        <x:v>3.48</x:v>
      </x:c>
      <x:c r="AW337" s="60">
        <x:v>4.53</x:v>
      </x:c>
      <x:c r="AX337" s="49" t="s">
        <x:v>1356</x:v>
      </x:c>
      <x:c r="AY337" s="49" t="s">
        <x:v>101</x:v>
      </x:c>
    </x:row>
    <x:row r="338" ht="22" customHeight="1">
      <x:c r="A338" s="49" t="s">
        <x:v>1351</x:v>
      </x:c>
      <x:c r="B338" s="49" t="s">
        <x:v>1421</x:v>
      </x:c>
      <x:c r="C338" s="49" t="s">
        <x:v>89</x:v>
      </x:c>
      <x:c r="D338" s="49" t="s">
        <x:v>90</x:v>
      </x:c>
      <x:c r="E338" s="49" t="s">
        <x:v>217</x:v>
      </x:c>
      <x:c r="F338" s="49" t="s">
        <x:v>1422</x:v>
      </x:c>
      <x:c r="G338" s="60">
        <x:v>0.84</x:v>
      </x:c>
      <x:c r="H338" s="60">
        <x:v>0</x:v>
      </x:c>
      <x:c r="I338" s="60">
        <x:v>0.86</x:v>
      </x:c>
      <x:c r="J338" s="49" t="s">
        <x:v>1423</x:v>
      </x:c>
      <x:c r="K338" s="49" t="s">
        <x:v>106</x:v>
      </x:c>
      <x:c r="L338" s="49" t="s">
        <x:v>1424</x:v>
      </x:c>
      <x:c r="M338" s="61">
        <x:v>0.581</x:v>
      </x:c>
      <x:c r="N338" s="49" t="s">
        <x:v>685</x:v>
      </x:c>
      <x:c r="O338" s="49" t="s">
        <x:v>126</x:v>
      </x:c>
      <x:c r="P338" s="49" t="s">
        <x:v>30</x:v>
      </x:c>
      <x:c r="Q338" s="49" t="s">
        <x:v>17</x:v>
      </x:c>
      <x:c r="R338" s="50">
        <x:v>0.84</x:v>
      </x:c>
      <x:c r="S338" s="50">
        <x:f t="shared" si="24"/>
        <x:v>0</x:v>
      </x:c>
      <x:c r="T338" s="49" t="s">
        <x:v>1425</x:v>
      </x:c>
      <x:c r="U338" s="49" t="str">
        <x:f t="shared" si="22"/>
        <x:v>走</x:v>
      </x:c>
      <x:c r="V338" s="50">
        <x:f t="shared" si="23"/>
        <x:v>0.86</x:v>
      </x:c>
      <x:c r="W338" s="50">
        <x:f t="shared" si="25"/>
        <x:v>0</x:v>
      </x:c>
      <x:c r="X338" s="62">
        <x:v>0.84</x:v>
      </x:c>
      <x:c r="Y338" s="62">
        <x:v>0</x:v>
      </x:c>
      <x:c r="Z338" s="62">
        <x:v>0.86</x:v>
      </x:c>
      <x:c r="AA338" s="62">
        <x:v>0</x:v>
      </x:c>
      <x:c r="AB338" s="62">
        <x:v>0.84</x:v>
      </x:c>
      <x:c r="AC338" s="62">
        <x:v>0.84</x:v>
      </x:c>
      <x:c r="AD338" s="60">
        <x:v>2.5</x:v>
      </x:c>
      <x:c r="AE338" s="60">
        <x:v>2.87</x:v>
      </x:c>
      <x:c r="AF338" s="60">
        <x:v>2.78</x:v>
      </x:c>
      <x:c r="AG338" s="62">
        <x:v>0.108144285964956</x:v>
      </x:c>
      <x:c r="AH338" s="62">
        <x:v>0.0581442859649562</x:v>
      </x:c>
      <x:c r="AI338" s="62">
        <x:v>0.360963824897302</x:v>
      </x:c>
      <x:c r="AJ338" s="62">
        <x:v>0.314428418900089</x:v>
      </x:c>
      <x:c r="AK338" s="62">
        <x:v>0.32460775620261</x:v>
      </x:c>
      <x:c r="AL338" s="62">
        <x:v>1</x:v>
      </x:c>
      <x:c r="AM338" s="62">
        <x:v>0.93</x:v>
      </x:c>
      <x:c r="AN338" s="62">
        <x:v>0.00050780812120004</x:v>
      </x:c>
      <x:c r="AO338" s="62">
        <x:v>0.897004520349189</x:v>
      </x:c>
      <x:c r="AP338" s="62">
        <x:v>-0.0570045203491892</x:v>
      </x:c>
      <x:c r="AQ338" s="62" t="s">
        <x:v>150</x:v>
      </x:c>
      <x:c r="AR338" s="49">
        <x:v>0</x:v>
      </x:c>
      <x:c r="AS338" s="62">
        <x:v>0.361116969770546</x:v>
      </x:c>
      <x:c r="AT338" s="62">
        <x:v>0.323923554258982</x:v>
      </x:c>
      <x:c r="AU338" s="60">
        <x:v>2.51</x:v>
      </x:c>
      <x:c r="AV338" s="60">
        <x:v>2.87</x:v>
      </x:c>
      <x:c r="AW338" s="60">
        <x:v>2.76</x:v>
      </x:c>
      <x:c r="AX338" s="49" t="s">
        <x:v>1356</x:v>
      </x:c>
      <x:c r="AY338" s="49" t="s">
        <x:v>101</x:v>
      </x:c>
    </x:row>
    <x:row r="339" ht="22" customHeight="1">
      <x:c r="A339" s="49" t="s">
        <x:v>1351</x:v>
      </x:c>
      <x:c r="B339" s="49" t="s">
        <x:v>1421</x:v>
      </x:c>
      <x:c r="C339" s="49" t="s">
        <x:v>128</x:v>
      </x:c>
      <x:c r="D339" s="49" t="s">
        <x:v>90</x:v>
      </x:c>
      <x:c r="E339" s="49" t="s">
        <x:v>1281</x:v>
      </x:c>
      <x:c r="F339" s="49" t="s">
        <x:v>1426</x:v>
      </x:c>
      <x:c r="G339" s="60">
        <x:v>0.78</x:v>
      </x:c>
      <x:c r="H339" s="60">
        <x:v>0.25</x:v>
      </x:c>
      <x:c r="I339" s="60">
        <x:v>0.92</x:v>
      </x:c>
      <x:c r="J339" s="49" t="s">
        <x:v>323</x:v>
      </x:c>
      <x:c r="K339" s="49" t="s">
        <x:v>106</x:v>
      </x:c>
      <x:c r="L339" s="49" t="s">
        <x:v>1427</x:v>
      </x:c>
      <x:c r="M339" s="61">
        <x:v>0.589</x:v>
      </x:c>
      <x:c r="N339" s="49" t="s">
        <x:v>96</x:v>
      </x:c>
      <x:c r="O339" s="49" t="s">
        <x:v>231</x:v>
      </x:c>
      <x:c r="P339" s="49" t="s">
        <x:v>30</x:v>
      </x:c>
      <x:c r="Q339" s="49" t="s">
        <x:v>11</x:v>
      </x:c>
      <x:c r="R339" s="50">
        <x:v>0.78</x:v>
      </x:c>
      <x:c r="S339" s="50">
        <x:f t="shared" si="24"/>
        <x:v>0.78</x:v>
      </x:c>
      <x:c r="T339" s="49" t="s">
        <x:v>1428</x:v>
      </x:c>
      <x:c r="U339" s="49" t="str">
        <x:f t="shared" si="22"/>
        <x:v>黑</x:v>
      </x:c>
      <x:c r="V339" s="50">
        <x:f t="shared" si="23"/>
        <x:v>0.92</x:v>
      </x:c>
      <x:c r="W339" s="50">
        <x:f t="shared" si="25"/>
        <x:v>-1</x:v>
      </x:c>
      <x:c r="X339" s="62">
        <x:v>0.78</x:v>
      </x:c>
      <x:c r="Y339" s="62">
        <x:v>0.25</x:v>
      </x:c>
      <x:c r="Z339" s="62">
        <x:v>0.92</x:v>
      </x:c>
      <x:c r="AA339" s="62">
        <x:v>-0.25</x:v>
      </x:c>
      <x:c r="AB339" s="62">
        <x:v>0.78</x:v>
      </x:c>
      <x:c r="AC339" s="62">
        <x:v>0.78</x:v>
      </x:c>
      <x:c r="AD339" s="60">
        <x:v>2.09</x:v>
      </x:c>
      <x:c r="AE339" s="60">
        <x:v>2.99</x:v>
      </x:c>
      <x:c r="AF339" s="60">
        <x:v>3.36</x:v>
      </x:c>
      <x:c r="AG339" s="62">
        <x:v>0.110536107675696</x:v>
      </x:c>
      <x:c r="AH339" s="62">
        <x:v>0.0605361076756959</x:v>
      </x:c>
      <x:c r="AI339" s="62">
        <x:v>0.430844973175114</x:v>
      </x:c>
      <x:c r="AJ339" s="62">
        <x:v>0.301159195296317</x:v>
      </x:c>
      <x:c r="AK339" s="62">
        <x:v>0.267995831528568</x:v>
      </x:c>
      <x:c r="AL339" s="62">
        <x:v>1.17</x:v>
      </x:c>
      <x:c r="AM339" s="62">
        <x:v>0.86</x:v>
      </x:c>
      <x:c r="AN339" s="62">
        <x:v>0.000967307813277756</x:v>
      </x:c>
      <x:c r="AO339" s="62">
        <x:v>0.976088250136482</x:v>
      </x:c>
      <x:c r="AP339" s="62">
        <x:v>-0.196088250136482</x:v>
      </x:c>
      <x:c r="AQ339" s="62" t="s">
        <x:v>99</x:v>
      </x:c>
      <x:c r="AR339" s="49">
        <x:v>-0.25</x:v>
      </x:c>
      <x:c r="AS339" s="62">
        <x:v>0.42996878092922</x:v>
      </x:c>
      <x:c r="AT339" s="62">
        <x:v>0.419687474990519</x:v>
      </x:c>
      <x:c r="AU339" s="60">
        <x:v>2.09</x:v>
      </x:c>
      <x:c r="AV339" s="60">
        <x:v>2.99</x:v>
      </x:c>
      <x:c r="AW339" s="60">
        <x:v>3.38</x:v>
      </x:c>
      <x:c r="AX339" s="49" t="s">
        <x:v>1356</x:v>
      </x:c>
      <x:c r="AY339" s="49" t="s">
        <x:v>101</x:v>
      </x:c>
    </x:row>
    <x:row r="340" ht="22" customHeight="1">
      <x:c r="A340" s="49" t="s">
        <x:v>1351</x:v>
      </x:c>
      <x:c r="B340" s="49" t="s">
        <x:v>1421</x:v>
      </x:c>
      <x:c r="C340" s="49" t="s">
        <x:v>128</x:v>
      </x:c>
      <x:c r="D340" s="49" t="s">
        <x:v>116</x:v>
      </x:c>
      <x:c r="E340" s="49" t="s">
        <x:v>1200</x:v>
      </x:c>
      <x:c r="F340" s="49" t="s">
        <x:v>1429</x:v>
      </x:c>
      <x:c r="G340" s="60">
        <x:v>0.82</x:v>
      </x:c>
      <x:c r="H340" s="60">
        <x:v>0.5</x:v>
      </x:c>
      <x:c r="I340" s="60">
        <x:v>0.88</x:v>
      </x:c>
      <x:c r="J340" s="49" t="s">
        <x:v>1430</x:v>
      </x:c>
      <x:c r="K340" s="49" t="s">
        <x:v>106</x:v>
      </x:c>
      <x:c r="L340" s="49" t="s">
        <x:v>1431</x:v>
      </x:c>
      <x:c r="M340" s="61">
        <x:v>0.589</x:v>
      </x:c>
      <x:c r="N340" s="49" t="s">
        <x:v>96</x:v>
      </x:c>
      <x:c r="O340" s="49" t="s">
        <x:v>149</x:v>
      </x:c>
      <x:c r="P340" s="49" t="s">
        <x:v>30</x:v>
      </x:c>
      <x:c r="Q340" s="49" t="s">
        <x:v>23</x:v>
      </x:c>
      <x:c r="R340" s="50">
        <x:v>0.82</x:v>
      </x:c>
      <x:c r="S340" s="50">
        <x:f t="shared" si="24"/>
        <x:v>-1</x:v>
      </x:c>
      <x:c r="T340" s="49" t="s">
        <x:v>1432</x:v>
      </x:c>
      <x:c r="U340" s="49" t="str">
        <x:f t="shared" si="22"/>
        <x:v>红</x:v>
      </x:c>
      <x:c r="V340" s="50">
        <x:f t="shared" si="23"/>
        <x:v>0.88</x:v>
      </x:c>
      <x:c r="W340" s="50">
        <x:f t="shared" si="25"/>
        <x:v>0.88</x:v>
      </x:c>
      <x:c r="X340" s="62">
        <x:v>0.82</x:v>
      </x:c>
      <x:c r="Y340" s="62">
        <x:v>0.5</x:v>
      </x:c>
      <x:c r="Z340" s="62">
        <x:v>0.88</x:v>
      </x:c>
      <x:c r="AA340" s="62">
        <x:v>-0.5</x:v>
      </x:c>
      <x:c r="AB340" s="62">
        <x:v>0.82</x:v>
      </x:c>
      <x:c r="AC340" s="62">
        <x:v>0.82</x:v>
      </x:c>
      <x:c r="AD340" s="60">
        <x:v>1.88</x:v>
      </x:c>
      <x:c r="AE340" s="60">
        <x:v>3.44</x:v>
      </x:c>
      <x:c r="AF340" s="60">
        <x:v>3.63</x:v>
      </x:c>
      <x:c r="AG340" s="62">
        <x:v>0.098094661699538</x:v>
      </x:c>
      <x:c r="AH340" s="62">
        <x:v>0.048094661699538</x:v>
      </x:c>
      <x:c r="AI340" s="62">
        <x:v>0.484398032491815</x:v>
      </x:c>
      <x:c r="AJ340" s="62">
        <x:v>0.264729157292038</x:v>
      </x:c>
      <x:c r="AK340" s="62">
        <x:v>0.250872810216146</x:v>
      </x:c>
      <x:c r="AL340" s="62">
        <x:v>1.46</x:v>
      </x:c>
      <x:c r="AM340" s="62">
        <x:v>0.97</x:v>
      </x:c>
      <x:c r="AN340" s="62">
        <x:v>0.000257350333719509</x:v>
      </x:c>
      <x:c r="AO340" s="62">
        <x:v>1.06295383365454</x:v>
      </x:c>
      <x:c r="AP340" s="62">
        <x:v>-0.242953833654538</x:v>
      </x:c>
      <x:c r="AQ340" s="62" t="s">
        <x:v>99</x:v>
      </x:c>
      <x:c r="AR340" s="49">
        <x:v>-0.5</x:v>
      </x:c>
      <x:c r="AS340" s="62">
        <x:v>0.484741821986628</x:v>
      </x:c>
      <x:c r="AT340" s="62">
        <x:v>0.515258178013372</x:v>
      </x:c>
      <x:c r="AU340" s="60">
        <x:v>1.84</x:v>
      </x:c>
      <x:c r="AV340" s="60">
        <x:v>3.5</x:v>
      </x:c>
      <x:c r="AW340" s="60">
        <x:v>3.68</x:v>
      </x:c>
      <x:c r="AX340" s="49" t="s">
        <x:v>1356</x:v>
      </x:c>
      <x:c r="AY340" s="49" t="s">
        <x:v>101</x:v>
      </x:c>
    </x:row>
    <x:row r="341" ht="22" customHeight="1">
      <x:c r="A341" s="49" t="s">
        <x:v>1351</x:v>
      </x:c>
      <x:c r="B341" s="49" t="s">
        <x:v>1433</x:v>
      </x:c>
      <x:c r="C341" s="49" t="s">
        <x:v>128</x:v>
      </x:c>
      <x:c r="D341" s="49" t="s">
        <x:v>90</x:v>
      </x:c>
      <x:c r="E341" s="49" t="s">
        <x:v>1297</x:v>
      </x:c>
      <x:c r="F341" s="49" t="s">
        <x:v>1434</x:v>
      </x:c>
      <x:c r="G341" s="60">
        <x:v>1.05</x:v>
      </x:c>
      <x:c r="H341" s="60">
        <x:v>1</x:v>
      </x:c>
      <x:c r="I341" s="60">
        <x:v>0.84</x:v>
      </x:c>
      <x:c r="J341" s="49" t="s">
        <x:v>1435</x:v>
      </x:c>
      <x:c r="K341" s="49" t="s">
        <x:v>189</x:v>
      </x:c>
      <x:c r="L341" s="49" t="s">
        <x:v>1436</x:v>
      </x:c>
      <x:c r="M341" s="61">
        <x:v>0.522</x:v>
      </x:c>
      <x:c r="N341" s="49" t="s">
        <x:v>96</x:v>
      </x:c>
      <x:c r="O341" s="49" t="s">
        <x:v>161</x:v>
      </x:c>
      <x:c r="P341" s="49" t="s">
        <x:v>30</x:v>
      </x:c>
      <x:c r="Q341" s="49" t="s">
        <x:v>11</x:v>
      </x:c>
      <x:c r="R341" s="50">
        <x:v>1.05</x:v>
      </x:c>
      <x:c r="S341" s="50">
        <x:f t="shared" si="24"/>
        <x:v>1.05</x:v>
      </x:c>
      <x:c r="T341" s="49" t="s">
        <x:v>1437</x:v>
      </x:c>
      <x:c r="U341" s="49" t="str">
        <x:f t="shared" si="22"/>
        <x:v>黑</x:v>
      </x:c>
      <x:c r="V341" s="50">
        <x:f t="shared" si="23"/>
        <x:v>0.84</x:v>
      </x:c>
      <x:c r="W341" s="50">
        <x:f t="shared" si="25"/>
        <x:v>-1</x:v>
      </x:c>
      <x:c r="X341" s="62">
        <x:v>0.85</x:v>
      </x:c>
      <x:c r="Y341" s="62">
        <x:v>0.5</x:v>
      </x:c>
      <x:c r="Z341" s="62">
        <x:v>1.03</x:v>
      </x:c>
      <x:c r="AA341" s="62">
        <x:v>-0.5</x:v>
      </x:c>
      <x:c r="AB341" s="62">
        <x:v>0.85</x:v>
      </x:c>
      <x:c r="AC341" s="62">
        <x:v>1.05</x:v>
      </x:c>
      <x:c r="AD341" s="60">
        <x:v>1.6</x:v>
      </x:c>
      <x:c r="AE341" s="60">
        <x:v>3.73</x:v>
      </x:c>
      <x:c r="AF341" s="60">
        <x:v>5.38</x:v>
      </x:c>
      <x:c r="AG341" s="62">
        <x:v>0.0789701206932636</x:v>
      </x:c>
      <x:c r="AH341" s="62">
        <x:v>0.0289701206932636</x:v>
      </x:c>
      <x:c r="AI341" s="62">
        <x:v>0.579256077636722</x:v>
      </x:c>
      <x:c r="AJ341" s="62">
        <x:v>0.248474456895108</x:v>
      </x:c>
      <x:c r="AK341" s="62">
        <x:v>0.17226946546817</x:v>
      </x:c>
      <x:c r="AL341" s="62">
        <x:v>1.61</x:v>
      </x:c>
      <x:c r="AM341" s="62">
        <x:v>0.75</x:v>
      </x:c>
      <x:c r="AN341" s="62">
        <x:v>0.000492657681705471</x:v>
      </x:c>
      <x:c r="AO341" s="62">
        <x:v>1.33502060311497</x:v>
      </x:c>
      <x:c r="AP341" s="62">
        <x:v>-0.285020603114969</x:v>
      </x:c>
      <x:c r="AQ341" s="62" t="s">
        <x:v>99</x:v>
      </x:c>
      <x:c r="AR341" s="49">
        <x:v>-1</x:v>
      </x:c>
      <x:c r="AS341" s="62">
        <x:v>0.315096677435267</x:v>
      </x:c>
      <x:c r="AT341" s="62">
        <x:v>0.420660556349153</x:v>
      </x:c>
      <x:c r="AU341" s="60">
        <x:v>1.56</x:v>
      </x:c>
      <x:c r="AV341" s="60">
        <x:v>3.9</x:v>
      </x:c>
      <x:c r="AW341" s="60">
        <x:v>5.79</x:v>
      </x:c>
      <x:c r="AX341" s="49" t="s">
        <x:v>1356</x:v>
      </x:c>
      <x:c r="AY341" s="49" t="s">
        <x:v>101</x:v>
      </x:c>
    </x:row>
    <x:row r="342" ht="22" customHeight="1">
      <x:c r="A342" s="49" t="s">
        <x:v>1351</x:v>
      </x:c>
      <x:c r="B342" s="49" t="s">
        <x:v>1433</x:v>
      </x:c>
      <x:c r="C342" s="49" t="s">
        <x:v>128</x:v>
      </x:c>
      <x:c r="D342" s="49" t="s">
        <x:v>90</x:v>
      </x:c>
      <x:c r="E342" s="49" t="s">
        <x:v>1339</x:v>
      </x:c>
      <x:c r="F342" s="49" t="s">
        <x:v>1438</x:v>
      </x:c>
      <x:c r="G342" s="60">
        <x:v>0.92</x:v>
      </x:c>
      <x:c r="H342" s="60">
        <x:v>2.25</x:v>
      </x:c>
      <x:c r="I342" s="60">
        <x:v>0.84</x:v>
      </x:c>
      <x:c r="J342" s="49" t="s">
        <x:v>1439</x:v>
      </x:c>
      <x:c r="K342" s="49" t="s">
        <x:v>195</x:v>
      </x:c>
      <x:c r="L342" s="49" t="s">
        <x:v>1440</x:v>
      </x:c>
      <x:c r="M342" s="61">
        <x:v>0.553</x:v>
      </x:c>
      <x:c r="N342" s="49" t="s">
        <x:v>96</x:v>
      </x:c>
      <x:c r="O342" s="49" t="s">
        <x:v>126</x:v>
      </x:c>
      <x:c r="P342" s="49" t="s">
        <x:v>30</x:v>
      </x:c>
      <x:c r="Q342" s="49" t="s">
        <x:v>23</x:v>
      </x:c>
      <x:c r="R342" s="50">
        <x:v>0.92</x:v>
      </x:c>
      <x:c r="S342" s="50">
        <x:f t="shared" si="24"/>
        <x:v>-1</x:v>
      </x:c>
      <x:c r="T342" s="49" t="s">
        <x:v>1441</x:v>
      </x:c>
      <x:c r="U342" s="49" t="str">
        <x:f t="shared" si="22"/>
        <x:v>红</x:v>
      </x:c>
      <x:c r="V342" s="50">
        <x:f t="shared" si="23"/>
        <x:v>0.84</x:v>
      </x:c>
      <x:c r="W342" s="50">
        <x:f t="shared" si="25"/>
        <x:v>0.84</x:v>
      </x:c>
      <x:c r="X342" s="62">
        <x:v>0.92</x:v>
      </x:c>
      <x:c r="Y342" s="62">
        <x:v>2.25</x:v>
      </x:c>
      <x:c r="Z342" s="62">
        <x:v>0.84</x:v>
      </x:c>
      <x:c r="AA342" s="62">
        <x:v>-2.25</x:v>
      </x:c>
      <x:c r="AB342" s="62">
        <x:v>0.92</x:v>
      </x:c>
      <x:c r="AC342" s="62">
        <x:v>0.92</x:v>
      </x:c>
      <x:c r="AD342" s="60">
        <x:v>1.15</x:v>
      </x:c>
      <x:c r="AE342" s="60">
        <x:v>6.4</x:v>
      </x:c>
      <x:c r="AF342" s="60">
        <x:v>12.5</x:v>
      </x:c>
      <x:c r="AG342" s="62">
        <x:v>0.105815217391305</x:v>
      </x:c>
      <x:c r="AH342" s="62">
        <x:v>0.0558152173913045</x:v>
      </x:c>
      <x:c r="AI342" s="62">
        <x:v>0.786356711063056</x:v>
      </x:c>
      <x:c r="AJ342" s="62">
        <x:v>0.141298471519143</x:v>
      </x:c>
      <x:c r="AK342" s="62">
        <x:v>0.0723448174178011</x:v>
      </x:c>
      <x:c r="AL342" s="62">
        <x:v>2.56</x:v>
      </x:c>
      <x:c r="AM342" s="62">
        <x:v>0.65</x:v>
      </x:c>
      <x:c r="AN342" s="62">
        <x:v>0.00018500329204504</x:v>
      </x:c>
      <x:c r="AO342" s="62">
        <x:v>1.56218232399151</x:v>
      </x:c>
      <x:c r="AP342" s="62">
        <x:v>-0.642182323991512</x:v>
      </x:c>
      <x:c r="AQ342" s="62" t="s">
        <x:v>99</x:v>
      </x:c>
      <x:c r="AR342" s="49">
        <x:v>-2.25</x:v>
      </x:c>
      <x:c r="AS342" s="62">
        <x:v>0.346840473931085</x:v>
      </x:c>
      <x:c r="AT342" s="62">
        <x:v>0.54182805761998</x:v>
      </x:c>
      <x:c r="AU342" s="60">
        <x:v>1.14</x:v>
      </x:c>
      <x:c r="AV342" s="60">
        <x:v>6.8</x:v>
      </x:c>
      <x:c r="AW342" s="60">
        <x:v>12.79</x:v>
      </x:c>
      <x:c r="AX342" s="49" t="s">
        <x:v>1356</x:v>
      </x:c>
      <x:c r="AY342" s="49" t="s">
        <x:v>101</x:v>
      </x:c>
    </x:row>
    <x:row r="343" ht="22" customHeight="1">
      <x:c r="A343" s="49" t="s">
        <x:v>1351</x:v>
      </x:c>
      <x:c r="B343" s="49" t="s">
        <x:v>1433</x:v>
      </x:c>
      <x:c r="C343" s="49" t="s">
        <x:v>128</x:v>
      </x:c>
      <x:c r="D343" s="49" t="s">
        <x:v>90</x:v>
      </x:c>
      <x:c r="E343" s="49" t="s">
        <x:v>1195</x:v>
      </x:c>
      <x:c r="F343" s="49" t="s">
        <x:v>1442</x:v>
      </x:c>
      <x:c r="G343" s="60">
        <x:v>0.8</x:v>
      </x:c>
      <x:c r="H343" s="60">
        <x:v>-0.25</x:v>
      </x:c>
      <x:c r="I343" s="60">
        <x:v>1.09</x:v>
      </x:c>
      <x:c r="J343" s="49" t="s">
        <x:v>870</x:v>
      </x:c>
      <x:c r="K343" s="49" t="s">
        <x:v>189</x:v>
      </x:c>
      <x:c r="L343" s="49" t="s">
        <x:v>1097</x:v>
      </x:c>
      <x:c r="M343" s="61">
        <x:v>0.522</x:v>
      </x:c>
      <x:c r="N343" s="49" t="s">
        <x:v>96</x:v>
      </x:c>
      <x:c r="O343" s="49" t="s">
        <x:v>114</x:v>
      </x:c>
      <x:c r="P343" s="49" t="s">
        <x:v>30</x:v>
      </x:c>
      <x:c r="Q343" s="49" t="s">
        <x:v>11</x:v>
      </x:c>
      <x:c r="R343" s="50">
        <x:v>1.09</x:v>
      </x:c>
      <x:c r="S343" s="50">
        <x:f t="shared" si="24"/>
        <x:v>1.09</x:v>
      </x:c>
      <x:c r="T343" s="49" t="s">
        <x:v>1443</x:v>
      </x:c>
      <x:c r="U343" s="49" t="str">
        <x:f t="shared" si="22"/>
        <x:v>黑</x:v>
      </x:c>
      <x:c r="V343" s="50">
        <x:f t="shared" si="23"/>
        <x:v>0.8</x:v>
      </x:c>
      <x:c r="W343" s="50">
        <x:f t="shared" si="25"/>
        <x:v>-1</x:v>
      </x:c>
      <x:c r="X343" s="62">
        <x:v>0.94</x:v>
      </x:c>
      <x:c r="Y343" s="62">
        <x:v>0</x:v>
      </x:c>
      <x:c r="Z343" s="62">
        <x:v>0.94</x:v>
      </x:c>
      <x:c r="AA343" s="62">
        <x:v>0</x:v>
      </x:c>
      <x:c r="AB343" s="62">
        <x:v>0.94</x:v>
      </x:c>
      <x:c r="AC343" s="62">
        <x:v>1.09</x:v>
      </x:c>
      <x:c r="AD343" s="60">
        <x:v>2.63</x:v>
      </x:c>
      <x:c r="AE343" s="60">
        <x:v>2.97</x:v>
      </x:c>
      <x:c r="AF343" s="60">
        <x:v>2.76</x:v>
      </x:c>
      <x:c r="AG343" s="62">
        <x:v>0.0792473141621761</x:v>
      </x:c>
      <x:c r="AH343" s="62">
        <x:v>0.0292473141621761</x:v>
      </x:c>
      <x:c r="AI343" s="62">
        <x:v>0.35230862462447</x:v>
      </x:c>
      <x:c r="AJ343" s="62">
        <x:v>0.311976997563083</x:v>
      </x:c>
      <x:c r="AK343" s="62">
        <x:v>0.335714377812448</x:v>
      </x:c>
      <x:c r="AL343" s="62">
        <x:v>1</x:v>
      </x:c>
      <x:c r="AM343" s="62">
        <x:v>0.97</x:v>
      </x:c>
      <x:c r="AN343" s="62">
        <x:v>0.000580459333626149</x:v>
      </x:c>
      <x:c r="AO343" s="62">
        <x:v>1.50960626911038</x:v>
      </x:c>
      <x:c r="AP343" s="62">
        <x:v>-0.419606269110383</x:v>
      </x:c>
      <x:c r="AQ343" s="62" t="s">
        <x:v>99</x:v>
      </x:c>
      <x:c r="AR343" s="49">
        <x:v>-0.25</x:v>
      </x:c>
      <x:c r="AS343" s="62">
        <x:v>0.33644876397001</x:v>
      </x:c>
      <x:c r="AT343" s="62">
        <x:v>0.507905163323566</x:v>
      </x:c>
      <x:c r="AU343" s="60">
        <x:v>2.97</x:v>
      </x:c>
      <x:c r="AV343" s="60">
        <x:v>3.03</x:v>
      </x:c>
      <x:c r="AW343" s="60">
        <x:v>2.5</x:v>
      </x:c>
      <x:c r="AX343" s="49" t="s">
        <x:v>1356</x:v>
      </x:c>
      <x:c r="AY343" s="49" t="s">
        <x:v>101</x:v>
      </x:c>
    </x:row>
    <x:row r="344" ht="22" customHeight="1">
      <x:c r="A344" s="49" t="s">
        <x:v>1444</x:v>
      </x:c>
      <x:c r="B344" s="49" t="s">
        <x:v>1445</x:v>
      </x:c>
      <x:c r="C344" s="49" t="s">
        <x:v>244</x:v>
      </x:c>
      <x:c r="D344" s="49" t="s">
        <x:v>90</x:v>
      </x:c>
      <x:c r="E344" s="49" t="s">
        <x:v>1446</x:v>
      </x:c>
      <x:c r="F344" s="49" t="s">
        <x:v>1447</x:v>
      </x:c>
      <x:c r="G344" s="60">
        <x:v>0.9</x:v>
      </x:c>
      <x:c r="H344" s="60">
        <x:v>-0.25</x:v>
      </x:c>
      <x:c r="I344" s="60">
        <x:v>0.8</x:v>
      </x:c>
      <x:c r="J344" s="49" t="s">
        <x:v>1448</x:v>
      </x:c>
      <x:c r="K344" s="49" t="s">
        <x:v>106</x:v>
      </x:c>
      <x:c r="L344" s="49" t="s">
        <x:v>1449</x:v>
      </x:c>
      <x:c r="M344" s="61">
        <x:v>0.594</x:v>
      </x:c>
      <x:c r="N344" s="49" t="s">
        <x:v>685</x:v>
      </x:c>
      <x:c r="O344" s="49" t="s">
        <x:v>653</x:v>
      </x:c>
      <x:c r="P344" s="49" t="s">
        <x:v>30</x:v>
      </x:c>
      <x:c r="Q344" s="49" t="s">
        <x:v>11</x:v>
      </x:c>
      <x:c r="R344" s="50">
        <x:v>0.8</x:v>
      </x:c>
      <x:c r="S344" s="50">
        <x:f t="shared" si="24"/>
        <x:v>0.8</x:v>
      </x:c>
      <x:c r="T344" s="49" t="s">
        <x:v>1450</x:v>
      </x:c>
      <x:c r="U344" s="49" t="str">
        <x:f t="shared" si="22"/>
        <x:v>黑</x:v>
      </x:c>
      <x:c r="V344" s="50">
        <x:f t="shared" si="23"/>
        <x:v>0.9</x:v>
      </x:c>
      <x:c r="W344" s="50">
        <x:f t="shared" si="25"/>
        <x:v>-1</x:v>
      </x:c>
      <x:c r="X344" s="62">
        <x:v>0.8</x:v>
      </x:c>
      <x:c r="Y344" s="62">
        <x:v>-0.25</x:v>
      </x:c>
      <x:c r="Z344" s="62">
        <x:v>0.9</x:v>
      </x:c>
      <x:c r="AA344" s="62">
        <x:v>-0.25</x:v>
      </x:c>
      <x:c r="AB344" s="62">
        <x:v>0.9</x:v>
      </x:c>
      <x:c r="AC344" s="62">
        <x:v>0.8</x:v>
      </x:c>
      <x:c r="AD344" s="60">
        <x:v>2.88</x:v>
      </x:c>
      <x:c r="AE344" s="60">
        <x:v>3.26</x:v>
      </x:c>
      <x:c r="AF344" s="60">
        <x:v>2.25</x:v>
      </x:c>
      <x:c r="AG344" s="62">
        <x:v>0.0984151329243352</x:v>
      </x:c>
      <x:c r="AH344" s="62">
        <x:v>0.0484151329243352</x:v>
      </x:c>
      <x:c r="AI344" s="62">
        <x:v>0.316112016135288</x:v>
      </x:c>
      <x:c r="AJ344" s="62">
        <x:v>0.279264603211543</x:v>
      </x:c>
      <x:c r="AK344" s="62">
        <x:v>0.404623380653169</x:v>
      </x:c>
      <x:c r="AL344" s="62">
        <x:v>1.08</x:v>
      </x:c>
      <x:c r="AM344" s="62">
        <x:v>1.26</x:v>
      </x:c>
      <x:c r="AN344" s="62">
        <x:v>0.000163244032146531</x:v>
      </x:c>
      <x:c r="AO344" s="62">
        <x:v>1.12743619497435</x:v>
      </x:c>
      <x:c r="AP344" s="62">
        <x:v>-0.327436194974351</x:v>
      </x:c>
      <x:c r="AQ344" s="62" t="s">
        <x:v>99</x:v>
      </x:c>
      <x:c r="AR344" s="49">
        <x:v>-0.25</x:v>
      </x:c>
      <x:c r="AS344" s="62">
        <x:v>0.404394464466397</x:v>
      </x:c>
      <x:c r="AT344" s="62">
        <x:v>0.455928956286685</x:v>
      </x:c>
      <x:c r="AU344" s="60">
        <x:v>2.98</x:v>
      </x:c>
      <x:c r="AV344" s="60">
        <x:v>3.23</x:v>
      </x:c>
      <x:c r="AW344" s="60">
        <x:v>2.2</x:v>
      </x:c>
      <x:c r="AX344" s="49" t="s">
        <x:v>1356</x:v>
      </x:c>
      <x:c r="AY344" s="49" t="s">
        <x:v>101</x:v>
      </x:c>
    </x:row>
    <x:row r="345" ht="22" customHeight="1">
      <x:c r="A345" s="49" t="s">
        <x:v>1444</x:v>
      </x:c>
      <x:c r="B345" s="49" t="s">
        <x:v>1451</x:v>
      </x:c>
      <x:c r="C345" s="49" t="s">
        <x:v>244</x:v>
      </x:c>
      <x:c r="D345" s="49" t="s">
        <x:v>116</x:v>
      </x:c>
      <x:c r="E345" s="49" t="s">
        <x:v>628</x:v>
      </x:c>
      <x:c r="F345" s="49" t="s">
        <x:v>1452</x:v>
      </x:c>
      <x:c r="G345" s="60">
        <x:v>0.84</x:v>
      </x:c>
      <x:c r="H345" s="60">
        <x:v>0.25</x:v>
      </x:c>
      <x:c r="I345" s="60">
        <x:v>0.98</x:v>
      </x:c>
      <x:c r="J345" s="49" t="s">
        <x:v>1247</x:v>
      </x:c>
      <x:c r="K345" s="49" t="s">
        <x:v>106</x:v>
      </x:c>
      <x:c r="L345" s="49" t="s">
        <x:v>1453</x:v>
      </x:c>
      <x:c r="M345" s="61">
        <x:v>0.594</x:v>
      </x:c>
      <x:c r="N345" s="49" t="s">
        <x:v>685</x:v>
      </x:c>
      <x:c r="O345" s="49" t="s">
        <x:v>231</x:v>
      </x:c>
      <x:c r="P345" s="49" t="s">
        <x:v>30</x:v>
      </x:c>
      <x:c r="Q345" s="49" t="s">
        <x:v>11</x:v>
      </x:c>
      <x:c r="R345" s="50">
        <x:v>0.84</x:v>
      </x:c>
      <x:c r="S345" s="50">
        <x:f t="shared" si="24"/>
        <x:v>0.84</x:v>
      </x:c>
      <x:c r="T345" s="49" t="s">
        <x:v>1454</x:v>
      </x:c>
      <x:c r="U345" s="49" t="str">
        <x:f t="shared" si="22"/>
        <x:v>黑</x:v>
      </x:c>
      <x:c r="V345" s="50">
        <x:f t="shared" si="23"/>
        <x:v>0.98</x:v>
      </x:c>
      <x:c r="W345" s="50">
        <x:f t="shared" si="25"/>
        <x:v>-1</x:v>
      </x:c>
      <x:c r="X345" s="62">
        <x:v>0.9</x:v>
      </x:c>
      <x:c r="Y345" s="62">
        <x:v>0.25</x:v>
      </x:c>
      <x:c r="Z345" s="62">
        <x:v>0.92</x:v>
      </x:c>
      <x:c r="AA345" s="62">
        <x:v>-0.25</x:v>
      </x:c>
      <x:c r="AB345" s="62">
        <x:v>0.9</x:v>
      </x:c>
      <x:c r="AC345" s="62">
        <x:v>0.84</x:v>
      </x:c>
      <x:c r="AD345" s="60">
        <x:v>1.98</x:v>
      </x:c>
      <x:c r="AE345" s="60">
        <x:v>3.48</x:v>
      </x:c>
      <x:c r="AF345" s="60">
        <x:v>3.29</x:v>
      </x:c>
      <x:c r="AG345" s="62">
        <x:v>0.0963581946707406</x:v>
      </x:c>
      <x:c r="AH345" s="62">
        <x:v>0.0463581946707406</x:v>
      </x:c>
      <x:c r="AI345" s="62">
        <x:v>0.460661951089974</x:v>
      </x:c>
      <x:c r="AJ345" s="62">
        <x:v>0.26210076527533</x:v>
      </x:c>
      <x:c r="AK345" s="62">
        <x:v>0.277237283634696</x:v>
      </x:c>
      <x:c r="AL345" s="62">
        <x:v>1.46</x:v>
      </x:c>
      <x:c r="AM345" s="62">
        <x:v>1.07</x:v>
      </x:c>
      <x:c r="AN345" s="62">
        <x:v>0.000132404502359538</x:v>
      </x:c>
      <x:c r="AO345" s="62">
        <x:v>0.885632085967929</x:v>
      </x:c>
      <x:c r="AP345" s="62">
        <x:v>-0.0456320859679294</x:v>
      </x:c>
      <x:c r="AQ345" s="62" t="s">
        <x:v>174</x:v>
      </x:c>
      <x:c r="AR345" s="49">
        <x:v>-0.25</x:v>
      </x:c>
      <x:c r="AS345" s="62">
        <x:v>0.460848847544904</x:v>
      </x:c>
      <x:c r="AT345" s="62">
        <x:v>0.408142526167109</x:v>
      </x:c>
      <x:c r="AU345" s="60">
        <x:v>2.1</x:v>
      </x:c>
      <x:c r="AV345" s="60">
        <x:v>3.38</x:v>
      </x:c>
      <x:c r="AW345" s="60">
        <x:v>3.03</x:v>
      </x:c>
      <x:c r="AX345" s="49" t="s">
        <x:v>1356</x:v>
      </x:c>
      <x:c r="AY345" s="49" t="s">
        <x:v>101</x:v>
      </x:c>
    </x:row>
    <x:row r="346" ht="22" customHeight="1">
      <x:c r="A346" s="49" t="s">
        <x:v>1444</x:v>
      </x:c>
      <x:c r="B346" s="49" t="s">
        <x:v>1455</x:v>
      </x:c>
      <x:c r="C346" s="49" t="s">
        <x:v>136</x:v>
      </x:c>
      <x:c r="D346" s="49" t="s">
        <x:v>116</x:v>
      </x:c>
      <x:c r="E346" s="49" t="s">
        <x:v>477</x:v>
      </x:c>
      <x:c r="F346" s="49" t="s">
        <x:v>1456</x:v>
      </x:c>
      <x:c r="G346" s="60">
        <x:v>0.82</x:v>
      </x:c>
      <x:c r="H346" s="60">
        <x:v>0.5</x:v>
      </x:c>
      <x:c r="I346" s="60">
        <x:v>0.88</x:v>
      </x:c>
      <x:c r="J346" s="49" t="s">
        <x:v>1430</x:v>
      </x:c>
      <x:c r="K346" s="49" t="s">
        <x:v>106</x:v>
      </x:c>
      <x:c r="L346" s="49" t="s">
        <x:v>1457</x:v>
      </x:c>
      <x:c r="M346" s="61">
        <x:v>0.581</x:v>
      </x:c>
      <x:c r="N346" s="49" t="s">
        <x:v>685</x:v>
      </x:c>
      <x:c r="O346" s="49" t="s">
        <x:v>169</x:v>
      </x:c>
      <x:c r="P346" s="49" t="s">
        <x:v>30</x:v>
      </x:c>
      <x:c r="Q346" s="49" t="s">
        <x:v>23</x:v>
      </x:c>
      <x:c r="R346" s="50">
        <x:v>0.82</x:v>
      </x:c>
      <x:c r="S346" s="50">
        <x:f t="shared" si="24"/>
        <x:v>-1</x:v>
      </x:c>
      <x:c r="T346" s="49" t="s">
        <x:v>1458</x:v>
      </x:c>
      <x:c r="U346" s="49" t="str">
        <x:f t="shared" si="22"/>
        <x:v>红</x:v>
      </x:c>
      <x:c r="V346" s="50">
        <x:f t="shared" si="23"/>
        <x:v>0.88</x:v>
      </x:c>
      <x:c r="W346" s="50">
        <x:f t="shared" si="25"/>
        <x:v>0.88</x:v>
      </x:c>
      <x:c r="X346" s="62">
        <x:v>0.82</x:v>
      </x:c>
      <x:c r="Y346" s="62">
        <x:v>0.5</x:v>
      </x:c>
      <x:c r="Z346" s="62">
        <x:v>0.88</x:v>
      </x:c>
      <x:c r="AA346" s="62">
        <x:v>-0.5</x:v>
      </x:c>
      <x:c r="AB346" s="62">
        <x:v>0.82</x:v>
      </x:c>
      <x:c r="AC346" s="62">
        <x:v>0.82</x:v>
      </x:c>
      <x:c r="AD346" s="60">
        <x:v>1.84</x:v>
      </x:c>
      <x:c r="AE346" s="60">
        <x:v>3.67</x:v>
      </x:c>
      <x:c r="AF346" s="60">
        <x:v>3.33</x:v>
      </x:c>
      <x:c r="AG346" s="62">
        <x:v>0.116258125202563</x:v>
      </x:c>
      <x:c r="AH346" s="62">
        <x:v>0.0662581252025632</x:v>
      </x:c>
      <x:c r="AI346" s="62">
        <x:v>0.486875077187852</x:v>
      </x:c>
      <x:c r="AJ346" s="62">
        <x:v>0.244100856137779</x:v>
      </x:c>
      <x:c r="AK346" s="62">
        <x:v>0.269024066674369</x:v>
      </x:c>
      <x:c r="AL346" s="62">
        <x:v>1.65</x:v>
      </x:c>
      <x:c r="AM346" s="62">
        <x:v>1.16</x:v>
      </x:c>
      <x:c r="AN346" s="62">
        <x:v>0.000794838335816475</x:v>
      </x:c>
      <x:c r="AO346" s="62">
        <x:v>1.04935426848762</x:v>
      </x:c>
      <x:c r="AP346" s="62">
        <x:v>-0.229354268487624</x:v>
      </x:c>
      <x:c r="AQ346" s="62" t="s">
        <x:v>99</x:v>
      </x:c>
      <x:c r="AR346" s="49">
        <x:v>-0.5</x:v>
      </x:c>
      <x:c r="AS346" s="62">
        <x:v>0.487958580601087</x:v>
      </x:c>
      <x:c r="AT346" s="62">
        <x:v>0.512041419398913</x:v>
      </x:c>
      <x:c r="AU346" s="60">
        <x:v>1.84</x:v>
      </x:c>
      <x:c r="AV346" s="60">
        <x:v>3.68</x:v>
      </x:c>
      <x:c r="AW346" s="60">
        <x:v>3.35</x:v>
      </x:c>
      <x:c r="AX346" s="49" t="s">
        <x:v>1356</x:v>
      </x:c>
      <x:c r="AY346" s="49" t="s">
        <x:v>101</x:v>
      </x:c>
    </x:row>
    <x:row r="347" ht="22" customHeight="1">
      <x:c r="A347" s="49" t="s">
        <x:v>1444</x:v>
      </x:c>
      <x:c r="B347" s="49" t="s">
        <x:v>1459</x:v>
      </x:c>
      <x:c r="C347" s="49" t="s">
        <x:v>136</x:v>
      </x:c>
      <x:c r="D347" s="49" t="s">
        <x:v>116</x:v>
      </x:c>
      <x:c r="E347" s="49" t="s">
        <x:v>563</x:v>
      </x:c>
      <x:c r="F347" s="49" t="s">
        <x:v>1460</x:v>
      </x:c>
      <x:c r="G347" s="60">
        <x:v>0.81</x:v>
      </x:c>
      <x:c r="H347" s="60">
        <x:v>-0.25</x:v>
      </x:c>
      <x:c r="I347" s="60">
        <x:v>1.07</x:v>
      </x:c>
      <x:c r="J347" s="49" t="s">
        <x:v>214</x:v>
      </x:c>
      <x:c r="K347" s="49" t="s">
        <x:v>189</x:v>
      </x:c>
      <x:c r="L347" s="49" t="s">
        <x:v>1461</x:v>
      </x:c>
      <x:c r="M347" s="61">
        <x:v>0.52</x:v>
      </x:c>
      <x:c r="N347" s="49" t="s">
        <x:v>685</x:v>
      </x:c>
      <x:c r="O347" s="49" t="s">
        <x:v>149</x:v>
      </x:c>
      <x:c r="P347" s="49" t="s">
        <x:v>30</x:v>
      </x:c>
      <x:c r="Q347" s="49" t="s">
        <x:v>20</x:v>
      </x:c>
      <x:c r="R347" s="50">
        <x:v>1.07</x:v>
      </x:c>
      <x:c r="S347" s="50">
        <x:f t="shared" si="24"/>
        <x:v>-0.5</x:v>
      </x:c>
      <x:c r="T347" s="49" t="s">
        <x:v>1462</x:v>
      </x:c>
      <x:c r="U347" s="49" t="str">
        <x:f t="shared" si="22"/>
        <x:v>半红</x:v>
      </x:c>
      <x:c r="V347" s="50">
        <x:f t="shared" si="23"/>
        <x:v>0.81</x:v>
      </x:c>
      <x:c r="W347" s="50">
        <x:f t="shared" si="25"/>
        <x:v>0.405</x:v>
      </x:c>
      <x:c r="X347" s="62">
        <x:v>0.88</x:v>
      </x:c>
      <x:c r="Y347" s="62">
        <x:v>0</x:v>
      </x:c>
      <x:c r="Z347" s="62">
        <x:v>0.88</x:v>
      </x:c>
      <x:c r="AA347" s="62">
        <x:v>0</x:v>
      </x:c>
      <x:c r="AB347" s="62">
        <x:v>0.88</x:v>
      </x:c>
      <x:c r="AC347" s="62">
        <x:v>1.07</x:v>
      </x:c>
      <x:c r="AD347" s="60">
        <x:v>2.55</x:v>
      </x:c>
      <x:c r="AE347" s="60">
        <x:v>3.54</x:v>
      </x:c>
      <x:c r="AF347" s="60">
        <x:v>2.36</x:v>
      </x:c>
      <x:c r="AG347" s="62">
        <x:v>0.0983715520106347</x:v>
      </x:c>
      <x:c r="AH347" s="62">
        <x:v>0.0483715520106347</x:v>
      </x:c>
      <x:c r="AI347" s="62">
        <x:v>0.357034795763994</x:v>
      </x:c>
      <x:c r="AJ347" s="62">
        <x:v>0.257186081694402</x:v>
      </x:c>
      <x:c r="AK347" s="62">
        <x:v>0.385779122541604</x:v>
      </x:c>
      <x:c r="AL347" s="62">
        <x:v>1.33</x:v>
      </x:c>
      <x:c r="AM347" s="62">
        <x:v>1.39</x:v>
      </x:c>
      <x:c r="AN347" s="62">
        <x:v>0.000513356097210593</x:v>
      </x:c>
      <x:c r="AO347" s="62">
        <x:v>1.26190223070858</x:v>
      </x:c>
      <x:c r="AP347" s="62">
        <x:v>-0.191902230708583</x:v>
      </x:c>
      <x:c r="AQ347" s="62" t="s">
        <x:v>99</x:v>
      </x:c>
      <x:c r="AR347" s="49">
        <x:v>-0.25</x:v>
      </x:c>
      <x:c r="AS347" s="62">
        <x:v>0.385307596296063</x:v>
      </x:c>
      <x:c r="AT347" s="62">
        <x:v>0.486220515274964</x:v>
      </x:c>
      <x:c r="AU347" s="60">
        <x:v>2.64</x:v>
      </x:c>
      <x:c r="AV347" s="60">
        <x:v>3.6</x:v>
      </x:c>
      <x:c r="AW347" s="60">
        <x:v>2.27</x:v>
      </x:c>
      <x:c r="AX347" s="49" t="s">
        <x:v>1356</x:v>
      </x:c>
      <x:c r="AY347" s="49" t="s">
        <x:v>101</x:v>
      </x:c>
    </x:row>
    <x:row r="348" ht="22" customHeight="1">
      <x:c r="A348" s="49" t="s">
        <x:v>1444</x:v>
      </x:c>
      <x:c r="B348" s="49" t="s">
        <x:v>1463</x:v>
      </x:c>
      <x:c r="C348" s="49" t="s">
        <x:v>136</x:v>
      </x:c>
      <x:c r="D348" s="49" t="s">
        <x:v>116</x:v>
      </x:c>
      <x:c r="E348" s="49" t="s">
        <x:v>563</x:v>
      </x:c>
      <x:c r="F348" s="49" t="s">
        <x:v>1464</x:v>
      </x:c>
      <x:c r="G348" s="60">
        <x:v>0.8</x:v>
      </x:c>
      <x:c r="H348" s="60">
        <x:v>0</x:v>
      </x:c>
      <x:c r="I348" s="60">
        <x:v>1.02</x:v>
      </x:c>
      <x:c r="J348" s="49" t="s">
        <x:v>247</x:v>
      </x:c>
      <x:c r="K348" s="49" t="s">
        <x:v>106</x:v>
      </x:c>
      <x:c r="L348" s="49" t="s">
        <x:v>1465</x:v>
      </x:c>
      <x:c r="M348" s="61">
        <x:v>0.581</x:v>
      </x:c>
      <x:c r="N348" s="49" t="s">
        <x:v>685</x:v>
      </x:c>
      <x:c r="O348" s="49" t="s">
        <x:v>201</x:v>
      </x:c>
      <x:c r="P348" s="49" t="s">
        <x:v>30</x:v>
      </x:c>
      <x:c r="Q348" s="49" t="s">
        <x:v>11</x:v>
      </x:c>
      <x:c r="R348" s="50">
        <x:v>0.8</x:v>
      </x:c>
      <x:c r="S348" s="50">
        <x:f t="shared" si="24"/>
        <x:v>0.8</x:v>
      </x:c>
      <x:c r="T348" s="49" t="s">
        <x:v>1466</x:v>
      </x:c>
      <x:c r="U348" s="49" t="str">
        <x:f t="shared" si="22"/>
        <x:v>黑</x:v>
      </x:c>
      <x:c r="V348" s="50">
        <x:f t="shared" si="23"/>
        <x:v>1.02</x:v>
      </x:c>
      <x:c r="W348" s="50">
        <x:f t="shared" si="25"/>
        <x:v>-1</x:v>
      </x:c>
      <x:c r="X348" s="62">
        <x:v>0.77</x:v>
      </x:c>
      <x:c r="Y348" s="62">
        <x:v>0</x:v>
      </x:c>
      <x:c r="Z348" s="62">
        <x:v>0.99</x:v>
      </x:c>
      <x:c r="AA348" s="62">
        <x:v>0</x:v>
      </x:c>
      <x:c r="AB348" s="62">
        <x:v>0.77</x:v>
      </x:c>
      <x:c r="AC348" s="62">
        <x:v>0.8</x:v>
      </x:c>
      <x:c r="AD348" s="60">
        <x:v>2.37</x:v>
      </x:c>
      <x:c r="AE348" s="60">
        <x:v>3.25</x:v>
      </x:c>
      <x:c r="AF348" s="60">
        <x:v>2.67</x:v>
      </x:c>
      <x:c r="AG348" s="62">
        <x:v>0.104165071168342</x:v>
      </x:c>
      <x:c r="AH348" s="62">
        <x:v>0.0541650711683424</x:v>
      </x:c>
      <x:c r="AI348" s="62">
        <x:v>0.382135732498382</x:v>
      </x:c>
      <x:c r="AJ348" s="62">
        <x:v>0.278665134160358</x:v>
      </x:c>
      <x:c r="AK348" s="62">
        <x:v>0.33919913334126</x:v>
      </x:c>
      <x:c r="AL348" s="62">
        <x:v>1.23</x:v>
      </x:c>
      <x:c r="AM348" s="62">
        <x:v>1.14</x:v>
      </x:c>
      <x:c r="AN348" s="62">
        <x:v>0.000451368261702661</x:v>
      </x:c>
      <x:c r="AO348" s="62">
        <x:v>0.885363938863042</x:v>
      </x:c>
      <x:c r="AP348" s="62">
        <x:v>-0.0853639388630415</x:v>
      </x:c>
      <x:c r="AQ348" s="62" t="s">
        <x:v>150</x:v>
      </x:c>
      <x:c r="AR348" s="49">
        <x:v>0</x:v>
      </x:c>
      <x:c r="AS348" s="62">
        <x:v>0.38277385602662</x:v>
      </x:c>
      <x:c r="AT348" s="62">
        <x:v>0.338894168865523</x:v>
      </x:c>
      <x:c r="AU348" s="60">
        <x:v>2.39</x:v>
      </x:c>
      <x:c r="AV348" s="60">
        <x:v>3.26</x:v>
      </x:c>
      <x:c r="AW348" s="60">
        <x:v>2.67</x:v>
      </x:c>
      <x:c r="AX348" s="49" t="s">
        <x:v>1356</x:v>
      </x:c>
      <x:c r="AY348" s="49" t="s">
        <x:v>101</x:v>
      </x:c>
    </x:row>
    <x:row r="349" ht="22" customHeight="1">
      <x:c r="A349" s="49" t="s">
        <x:v>1444</x:v>
      </x:c>
      <x:c r="B349" s="49" t="s">
        <x:v>1463</x:v>
      </x:c>
      <x:c r="C349" s="49" t="s">
        <x:v>136</x:v>
      </x:c>
      <x:c r="D349" s="49" t="s">
        <x:v>116</x:v>
      </x:c>
      <x:c r="E349" s="49" t="s">
        <x:v>563</x:v>
      </x:c>
      <x:c r="F349" s="49" t="s">
        <x:v>1467</x:v>
      </x:c>
      <x:c r="G349" s="60">
        <x:v>0.88</x:v>
      </x:c>
      <x:c r="H349" s="60">
        <x:v>0.25</x:v>
      </x:c>
      <x:c r="I349" s="60">
        <x:v>0.94</x:v>
      </x:c>
      <x:c r="J349" s="49" t="s">
        <x:v>1468</x:v>
      </x:c>
      <x:c r="K349" s="49" t="s">
        <x:v>132</x:v>
      </x:c>
      <x:c r="L349" s="49" t="s">
        <x:v>1469</x:v>
      </x:c>
      <x:c r="M349" s="61">
        <x:v>0.558</x:v>
      </x:c>
      <x:c r="N349" s="49" t="s">
        <x:v>685</x:v>
      </x:c>
      <x:c r="O349" s="49" t="s">
        <x:v>642</x:v>
      </x:c>
      <x:c r="P349" s="49" t="s">
        <x:v>30</x:v>
      </x:c>
      <x:c r="Q349" s="49" t="s">
        <x:v>23</x:v>
      </x:c>
      <x:c r="R349" s="50">
        <x:v>0.88</x:v>
      </x:c>
      <x:c r="S349" s="50">
        <x:f t="shared" si="24"/>
        <x:v>-1</x:v>
      </x:c>
      <x:c r="T349" s="49" t="s">
        <x:v>1470</x:v>
      </x:c>
      <x:c r="U349" s="49" t="str">
        <x:f t="shared" si="22"/>
        <x:v>红</x:v>
      </x:c>
      <x:c r="V349" s="50">
        <x:f t="shared" si="23"/>
        <x:v>0.94</x:v>
      </x:c>
      <x:c r="W349" s="50">
        <x:f t="shared" si="25"/>
        <x:v>0.94</x:v>
      </x:c>
      <x:c r="X349" s="62">
        <x:v>0.96</x:v>
      </x:c>
      <x:c r="Y349" s="62">
        <x:v>0.5</x:v>
      </x:c>
      <x:c r="Z349" s="62">
        <x:v>0.8</x:v>
      </x:c>
      <x:c r="AA349" s="62">
        <x:v>-0.5</x:v>
      </x:c>
      <x:c r="AB349" s="62">
        <x:v>0.96</x:v>
      </x:c>
      <x:c r="AC349" s="62">
        <x:v>0.88</x:v>
      </x:c>
      <x:c r="AD349" s="60">
        <x:v>1.99</x:v>
      </x:c>
      <x:c r="AE349" s="60">
        <x:v>3.45</x:v>
      </x:c>
      <x:c r="AF349" s="60">
        <x:v>3.24</x:v>
      </x:c>
      <x:c r="AG349" s="62">
        <x:v>0.10100961058648</x:v>
      </x:c>
      <x:c r="AH349" s="62">
        <x:v>0.0510096105864804</x:v>
      </x:c>
      <x:c r="AI349" s="62">
        <x:v>0.456410696130431</x:v>
      </x:c>
      <x:c r="AJ349" s="62">
        <x:v>0.263262981246249</x:v>
      </x:c>
      <x:c r="AK349" s="62">
        <x:v>0.28032632262332</x:v>
      </x:c>
      <x:c r="AL349" s="62">
        <x:v>1.44</x:v>
      </x:c>
      <x:c r="AM349" s="62">
        <x:v>1.07</x:v>
      </x:c>
      <x:c r="AN349" s="62">
        <x:v>0.000593026732257686</x:v>
      </x:c>
      <x:c r="AO349" s="62">
        <x:v>0.905412723759219</x:v>
      </x:c>
      <x:c r="AP349" s="62">
        <x:v>-0.025412723759219</x:v>
      </x:c>
      <x:c r="AQ349" s="62" t="s">
        <x:v>174</x:v>
      </x:c>
      <x:c r="AR349" s="49">
        <x:v>-0.25</x:v>
      </x:c>
      <x:c r="AS349" s="62">
        <x:v>0.455590426594068</x:v>
      </x:c>
      <x:c r="AT349" s="62">
        <x:v>0.412497369061159</x:v>
      </x:c>
      <x:c r="AU349" s="60">
        <x:v>2.09</x:v>
      </x:c>
      <x:c r="AV349" s="60">
        <x:v>3.41</x:v>
      </x:c>
      <x:c r="AW349" s="60">
        <x:v>3.1</x:v>
      </x:c>
      <x:c r="AX349" s="49" t="s">
        <x:v>1356</x:v>
      </x:c>
      <x:c r="AY349" s="49" t="s">
        <x:v>101</x:v>
      </x:c>
    </x:row>
    <x:row r="350" ht="22" customHeight="1">
      <x:c r="A350" s="49" t="s">
        <x:v>1444</x:v>
      </x:c>
      <x:c r="B350" s="49" t="s">
        <x:v>1471</x:v>
      </x:c>
      <x:c r="C350" s="49" t="s">
        <x:v>244</x:v>
      </x:c>
      <x:c r="D350" s="49" t="s">
        <x:v>116</x:v>
      </x:c>
      <x:c r="E350" s="49" t="s">
        <x:v>773</x:v>
      </x:c>
      <x:c r="F350" s="49" t="s">
        <x:v>1472</x:v>
      </x:c>
      <x:c r="G350" s="60">
        <x:v>0.78</x:v>
      </x:c>
      <x:c r="H350" s="60">
        <x:v>0</x:v>
      </x:c>
      <x:c r="I350" s="60">
        <x:v>0.92</x:v>
      </x:c>
      <x:c r="J350" s="49" t="s">
        <x:v>131</x:v>
      </x:c>
      <x:c r="K350" s="49" t="s">
        <x:v>106</x:v>
      </x:c>
      <x:c r="L350" s="49" t="s">
        <x:v>1473</x:v>
      </x:c>
      <x:c r="M350" s="61">
        <x:v>0.594</x:v>
      </x:c>
      <x:c r="N350" s="49" t="s">
        <x:v>685</x:v>
      </x:c>
      <x:c r="O350" s="49" t="s">
        <x:v>126</x:v>
      </x:c>
      <x:c r="P350" s="49" t="s">
        <x:v>30</x:v>
      </x:c>
      <x:c r="Q350" s="49" t="s">
        <x:v>17</x:v>
      </x:c>
      <x:c r="R350" s="50">
        <x:v>0.78</x:v>
      </x:c>
      <x:c r="S350" s="50">
        <x:f t="shared" si="24"/>
        <x:v>0</x:v>
      </x:c>
      <x:c r="T350" s="49" t="s">
        <x:v>1474</x:v>
      </x:c>
      <x:c r="U350" s="49" t="str">
        <x:f t="shared" si="22"/>
        <x:v>走</x:v>
      </x:c>
      <x:c r="V350" s="50">
        <x:f t="shared" si="23"/>
        <x:v>0.92</x:v>
      </x:c>
      <x:c r="W350" s="50">
        <x:f t="shared" si="25"/>
        <x:v>0</x:v>
      </x:c>
      <x:c r="X350" s="62">
        <x:v>0.7</x:v>
      </x:c>
      <x:c r="Y350" s="62">
        <x:v>0</x:v>
      </x:c>
      <x:c r="Z350" s="62">
        <x:v>1</x:v>
      </x:c>
      <x:c r="AA350" s="62">
        <x:v>0</x:v>
      </x:c>
      <x:c r="AB350" s="62">
        <x:v>0.7</x:v>
      </x:c>
      <x:c r="AC350" s="62">
        <x:v>0.78</x:v>
      </x:c>
      <x:c r="AD350" s="60">
        <x:v>2.35</x:v>
      </x:c>
      <x:c r="AE350" s="60">
        <x:v>2.86</x:v>
      </x:c>
      <x:c r="AF350" s="60">
        <x:v>3.08</x:v>
      </x:c>
      <x:c r="AG350" s="62">
        <x:v>0.0998575892192914</x:v>
      </x:c>
      <x:c r="AH350" s="62">
        <x:v>0.0498575892192914</x:v>
      </x:c>
      <x:c r="AI350" s="62">
        <x:v>0.386897284761813</x:v>
      </x:c>
      <x:c r="AJ350" s="62">
        <x:v>0.317905111604986</x:v>
      </x:c>
      <x:c r="AK350" s="62">
        <x:v>0.295197603633201</x:v>
      </x:c>
      <x:c r="AL350" s="62">
        <x:v>1.03</x:v>
      </x:c>
      <x:c r="AM350" s="62">
        <x:v>0.86</x:v>
      </x:c>
      <x:c r="AN350" s="62">
        <x:v>0.000358237056150048</x:v>
      </x:c>
      <x:c r="AO350" s="62">
        <x:v>0.764702216836752</x:v>
      </x:c>
      <x:c r="AP350" s="62">
        <x:v>0.0152977831632479</x:v>
      </x:c>
      <x:c r="AQ350" s="62" t="s">
        <x:v>174</x:v>
      </x:c>
      <x:c r="AR350" s="49">
        <x:v>0</x:v>
      </x:c>
      <x:c r="AS350" s="62">
        <x:v>0.386688731301065</x:v>
      </x:c>
      <x:c r="AT350" s="62">
        <x:v>0.295701730051716</x:v>
      </x:c>
      <x:c r="AU350" s="60">
        <x:v>2.55</x:v>
      </x:c>
      <x:c r="AV350" s="60">
        <x:v>2.71</x:v>
      </x:c>
      <x:c r="AW350" s="60">
        <x:v>2.96</x:v>
      </x:c>
      <x:c r="AX350" s="49" t="s">
        <x:v>1356</x:v>
      </x:c>
      <x:c r="AY350" s="49" t="s">
        <x:v>101</x:v>
      </x:c>
    </x:row>
    <x:row r="351" ht="22" customHeight="1">
      <x:c r="A351" s="49" t="s">
        <x:v>1444</x:v>
      </x:c>
      <x:c r="B351" s="49" t="s">
        <x:v>1475</x:v>
      </x:c>
      <x:c r="C351" s="49" t="s">
        <x:v>333</x:v>
      </x:c>
      <x:c r="D351" s="49" t="s">
        <x:v>116</x:v>
      </x:c>
      <x:c r="E351" s="49" t="s">
        <x:v>747</x:v>
      </x:c>
      <x:c r="F351" s="49" t="s">
        <x:v>1476</x:v>
      </x:c>
      <x:c r="G351" s="60">
        <x:v>1.02</x:v>
      </x:c>
      <x:c r="H351" s="60">
        <x:v>0.5</x:v>
      </x:c>
      <x:c r="I351" s="60">
        <x:v>0.86</x:v>
      </x:c>
      <x:c r="J351" s="49" t="s">
        <x:v>1173</x:v>
      </x:c>
      <x:c r="K351" s="49" t="s">
        <x:v>189</x:v>
      </x:c>
      <x:c r="L351" s="49" t="s">
        <x:v>1477</x:v>
      </x:c>
      <x:c r="M351" s="61">
        <x:v>0.519</x:v>
      </x:c>
      <x:c r="N351" s="49" t="s">
        <x:v>685</x:v>
      </x:c>
      <x:c r="O351" s="49" t="s">
        <x:v>178</x:v>
      </x:c>
      <x:c r="P351" s="49" t="s">
        <x:v>30</x:v>
      </x:c>
      <x:c r="Q351" s="49" t="s">
        <x:v>11</x:v>
      </x:c>
      <x:c r="R351" s="50">
        <x:v>1.02</x:v>
      </x:c>
      <x:c r="S351" s="50">
        <x:f t="shared" si="24"/>
        <x:v>1.02</x:v>
      </x:c>
      <x:c r="T351" s="49" t="s">
        <x:v>1478</x:v>
      </x:c>
      <x:c r="U351" s="49" t="str">
        <x:f t="shared" si="22"/>
        <x:v>黑</x:v>
      </x:c>
      <x:c r="V351" s="50">
        <x:f t="shared" si="23"/>
        <x:v>0.86</x:v>
      </x:c>
      <x:c r="W351" s="50">
        <x:f t="shared" si="25"/>
        <x:v>-1</x:v>
      </x:c>
      <x:c r="X351" s="62">
        <x:v>0.78</x:v>
      </x:c>
      <x:c r="Y351" s="62">
        <x:v>0.25</x:v>
      </x:c>
      <x:c r="Z351" s="62">
        <x:v>0.98</x:v>
      </x:c>
      <x:c r="AA351" s="62">
        <x:v>-0.25</x:v>
      </x:c>
      <x:c r="AB351" s="62">
        <x:v>0.78</x:v>
      </x:c>
      <x:c r="AC351" s="62">
        <x:v>1.02</x:v>
      </x:c>
      <x:c r="AD351" s="60">
        <x:v>1.98</x:v>
      </x:c>
      <x:c r="AE351" s="60">
        <x:v>3.48</x:v>
      </x:c>
      <x:c r="AF351" s="60">
        <x:v>3.44</x:v>
      </x:c>
      <x:c r="AG351" s="62">
        <x:v>0.0831045013081901</x:v>
      </x:c>
      <x:c r="AH351" s="62">
        <x:v>0.0331045013081901</x:v>
      </x:c>
      <x:c r="AI351" s="62">
        <x:v>0.466298962325886</x:v>
      </x:c>
      <x:c r="AJ351" s="62">
        <x:v>0.265308030288866</x:v>
      </x:c>
      <x:c r="AK351" s="62">
        <x:v>0.268393007385248</x:v>
      </x:c>
      <x:c r="AL351" s="62">
        <x:v>1.44</x:v>
      </x:c>
      <x:c r="AM351" s="62">
        <x:v>1.02</x:v>
      </x:c>
      <x:c r="AN351" s="62">
        <x:v>0.000868712334295737</x:v>
      </x:c>
      <x:c r="AO351" s="62">
        <x:v>1.13954429528957</x:v>
      </x:c>
      <x:c r="AP351" s="62">
        <x:v>-0.119544295289574</x:v>
      </x:c>
      <x:c r="AQ351" s="62" t="s">
        <x:v>99</x:v>
      </x:c>
      <x:c r="AR351" s="49">
        <x:v>-0.5</x:v>
      </x:c>
      <x:c r="AS351" s="62">
        <x:v>0.467389248356111</x:v>
      </x:c>
      <x:c r="AT351" s="62">
        <x:v>0.532610751643889</x:v>
      </x:c>
      <x:c r="AU351" s="60">
        <x:v>1.96</x:v>
      </x:c>
      <x:c r="AV351" s="60">
        <x:v>3.59</x:v>
      </x:c>
      <x:c r="AW351" s="60">
        <x:v>3.51</x:v>
      </x:c>
      <x:c r="AX351" s="49" t="s">
        <x:v>1356</x:v>
      </x:c>
      <x:c r="AY351" s="49" t="s">
        <x:v>101</x:v>
      </x:c>
    </x:row>
    <x:row r="352" ht="22" customHeight="1">
      <x:c r="A352" s="49" t="s">
        <x:v>1444</x:v>
      </x:c>
      <x:c r="B352" s="49" t="s">
        <x:v>1475</x:v>
      </x:c>
      <x:c r="C352" s="49" t="s">
        <x:v>89</x:v>
      </x:c>
      <x:c r="D352" s="49" t="s">
        <x:v>116</x:v>
      </x:c>
      <x:c r="E352" s="49" t="s">
        <x:v>1479</x:v>
      </x:c>
      <x:c r="F352" s="49" t="s">
        <x:v>1480</x:v>
      </x:c>
      <x:c r="G352" s="60">
        <x:v>0.84</x:v>
      </x:c>
      <x:c r="H352" s="60">
        <x:v>0.5</x:v>
      </x:c>
      <x:c r="I352" s="60">
        <x:v>1.04</x:v>
      </x:c>
      <x:c r="J352" s="49" t="s">
        <x:v>920</x:v>
      </x:c>
      <x:c r="K352" s="49" t="s">
        <x:v>106</x:v>
      </x:c>
      <x:c r="L352" s="49" t="s">
        <x:v>1481</x:v>
      </x:c>
      <x:c r="M352" s="61">
        <x:v>0.58</x:v>
      </x:c>
      <x:c r="N352" s="49" t="s">
        <x:v>96</x:v>
      </x:c>
      <x:c r="O352" s="49" t="s">
        <x:v>197</x:v>
      </x:c>
      <x:c r="P352" s="49" t="s">
        <x:v>30</x:v>
      </x:c>
      <x:c r="Q352" s="49" t="s">
        <x:v>11</x:v>
      </x:c>
      <x:c r="R352" s="50">
        <x:v>0.84</x:v>
      </x:c>
      <x:c r="S352" s="50">
        <x:f t="shared" si="24"/>
        <x:v>0.84</x:v>
      </x:c>
      <x:c r="T352" s="49" t="s">
        <x:v>1482</x:v>
      </x:c>
      <x:c r="U352" s="49" t="str">
        <x:f t="shared" si="22"/>
        <x:v>黑</x:v>
      </x:c>
      <x:c r="V352" s="50">
        <x:f t="shared" si="23"/>
        <x:v>1.04</x:v>
      </x:c>
      <x:c r="W352" s="50">
        <x:f t="shared" si="25"/>
        <x:v>-1</x:v>
      </x:c>
      <x:c r="X352" s="62">
        <x:v>0.81</x:v>
      </x:c>
      <x:c r="Y352" s="62">
        <x:v>0.5</x:v>
      </x:c>
      <x:c r="Z352" s="62">
        <x:v>1.01</x:v>
      </x:c>
      <x:c r="AA352" s="62">
        <x:v>-0.5</x:v>
      </x:c>
      <x:c r="AB352" s="62">
        <x:v>0.81</x:v>
      </x:c>
      <x:c r="AC352" s="62">
        <x:v>0.84</x:v>
      </x:c>
      <x:c r="AD352" s="60">
        <x:v>1.78</x:v>
      </x:c>
      <x:c r="AE352" s="60">
        <x:v>3.85</x:v>
      </x:c>
      <x:c r="AF352" s="60">
        <x:v>3.63</x:v>
      </x:c>
      <x:c r="AG352" s="62">
        <x:v>0.0970201062131604</x:v>
      </x:c>
      <x:c r="AH352" s="62">
        <x:v>0.0470201062131604</x:v>
      </x:c>
      <x:c r="AI352" s="62">
        <x:v>0.512112539804103</x:v>
      </x:c>
      <x:c r="AJ352" s="62">
        <x:v>0.236768914506832</x:v>
      </x:c>
      <x:c r="AK352" s="62">
        <x:v>0.251118545689064</x:v>
      </x:c>
      <x:c r="AL352" s="62">
        <x:v>1.74</x:v>
      </x:c>
      <x:c r="AM352" s="62">
        <x:v>1.15</x:v>
      </x:c>
      <x:c r="AN352" s="62">
        <x:v>0.000380700549278448</x:v>
      </x:c>
      <x:c r="AO352" s="62">
        <x:v>0.953574636252933</x:v>
      </x:c>
      <x:c r="AP352" s="62">
        <x:v>-0.113574636252933</x:v>
      </x:c>
      <x:c r="AQ352" s="62" t="s">
        <x:v>99</x:v>
      </x:c>
      <x:c r="AR352" s="49">
        <x:v>-0.5</x:v>
      </x:c>
      <x:c r="AS352" s="62">
        <x:v>0.511882157683034</x:v>
      </x:c>
      <x:c r="AT352" s="62">
        <x:v>0.488117842316966</x:v>
      </x:c>
      <x:c r="AU352" s="60">
        <x:v>1.82</x:v>
      </x:c>
      <x:c r="AV352" s="60">
        <x:v>3.86</x:v>
      </x:c>
      <x:c r="AW352" s="60">
        <x:v>3.6</x:v>
      </x:c>
      <x:c r="AX352" s="49" t="s">
        <x:v>1356</x:v>
      </x:c>
      <x:c r="AY352" s="49" t="s">
        <x:v>101</x:v>
      </x:c>
    </x:row>
    <x:row r="353" ht="22" customHeight="1">
      <x:c r="A353" s="49" t="s">
        <x:v>1444</x:v>
      </x:c>
      <x:c r="B353" s="49" t="s">
        <x:v>1475</x:v>
      </x:c>
      <x:c r="C353" s="49" t="s">
        <x:v>89</x:v>
      </x:c>
      <x:c r="D353" s="49" t="s">
        <x:v>116</x:v>
      </x:c>
      <x:c r="E353" s="49" t="s">
        <x:v>1483</x:v>
      </x:c>
      <x:c r="F353" s="49" t="s">
        <x:v>1484</x:v>
      </x:c>
      <x:c r="G353" s="60">
        <x:v>0.83</x:v>
      </x:c>
      <x:c r="H353" s="60">
        <x:v>2.25</x:v>
      </x:c>
      <x:c r="I353" s="60">
        <x:v>1.06</x:v>
      </x:c>
      <x:c r="J353" s="49" t="s">
        <x:v>1485</x:v>
      </x:c>
      <x:c r="K353" s="49" t="s">
        <x:v>106</x:v>
      </x:c>
      <x:c r="L353" s="49" t="s">
        <x:v>1486</x:v>
      </x:c>
      <x:c r="M353" s="61">
        <x:v>0.58</x:v>
      </x:c>
      <x:c r="N353" s="49" t="s">
        <x:v>96</x:v>
      </x:c>
      <x:c r="O353" s="49" t="s">
        <x:v>126</x:v>
      </x:c>
      <x:c r="P353" s="49" t="s">
        <x:v>30</x:v>
      </x:c>
      <x:c r="Q353" s="49" t="s">
        <x:v>23</x:v>
      </x:c>
      <x:c r="R353" s="50">
        <x:v>0.83</x:v>
      </x:c>
      <x:c r="S353" s="50">
        <x:f t="shared" si="24"/>
        <x:v>-1</x:v>
      </x:c>
      <x:c r="T353" s="49" t="s">
        <x:v>1487</x:v>
      </x:c>
      <x:c r="U353" s="49" t="str">
        <x:f t="shared" si="22"/>
        <x:v>红</x:v>
      </x:c>
      <x:c r="V353" s="50">
        <x:f t="shared" si="23"/>
        <x:v>1.06</x:v>
      </x:c>
      <x:c r="W353" s="50">
        <x:f t="shared" si="25"/>
        <x:v>1.06</x:v>
      </x:c>
      <x:c r="X353" s="62">
        <x:v>0.87</x:v>
      </x:c>
      <x:c r="Y353" s="62">
        <x:v>2.25</x:v>
      </x:c>
      <x:c r="Z353" s="62">
        <x:v>1.01</x:v>
      </x:c>
      <x:c r="AA353" s="62">
        <x:v>-2.25</x:v>
      </x:c>
      <x:c r="AB353" s="62">
        <x:v>0.87</x:v>
      </x:c>
      <x:c r="AC353" s="62">
        <x:v>0.83</x:v>
      </x:c>
      <x:c r="AD353" s="60">
        <x:v>1.13</x:v>
      </x:c>
      <x:c r="AE353" s="60">
        <x:v>8.37</x:v>
      </x:c>
      <x:c r="AF353" s="60">
        <x:v>15.47</x:v>
      </x:c>
      <x:c r="AG353" s="62">
        <x:v>0.0690713063469188</x:v>
      </x:c>
      <x:c r="AH353" s="62">
        <x:v>0.0190713063469188</x:v>
      </x:c>
      <x:c r="AI353" s="62">
        <x:v>0.827779912301955</x:v>
      </x:c>
      <x:c r="AJ353" s="62">
        <x:v>0.111755233082582</x:v>
      </x:c>
      <x:c r="AK353" s="62">
        <x:v>0.0604648546154628</x:v>
      </x:c>
      <x:c r="AL353" s="62">
        <x:v>3.05</x:v>
      </x:c>
      <x:c r="AM353" s="62">
        <x:v>0.75</x:v>
      </x:c>
      <x:c r="AN353" s="62">
        <x:v>0.000268337176009146</x:v>
      </x:c>
      <x:c r="AO353" s="62">
        <x:v>1.05518340171851</x:v>
      </x:c>
      <x:c r="AP353" s="62">
        <x:v>-0.225183401718511</x:v>
      </x:c>
      <x:c r="AQ353" s="62" t="s">
        <x:v>99</x:v>
      </x:c>
      <x:c r="AR353" s="49">
        <x:v>-2.25</x:v>
      </x:c>
      <x:c r="AS353" s="62">
        <x:v>0.435510047419283</x:v>
      </x:c>
      <x:c r="AT353" s="62">
        <x:v>0.459542973318469</x:v>
      </x:c>
      <x:c r="AU353" s="60">
        <x:v>1.13</x:v>
      </x:c>
      <x:c r="AV353" s="60">
        <x:v>8.58</x:v>
      </x:c>
      <x:c r="AW353" s="60">
        <x:v>15.47</x:v>
      </x:c>
      <x:c r="AX353" s="49" t="s">
        <x:v>1356</x:v>
      </x:c>
      <x:c r="AY353" s="49" t="s">
        <x:v>101</x:v>
      </x:c>
    </x:row>
    <x:row r="354" ht="22" customHeight="1">
      <x:c r="A354" s="49" t="s">
        <x:v>1444</x:v>
      </x:c>
      <x:c r="B354" s="49" t="s">
        <x:v>1488</x:v>
      </x:c>
      <x:c r="C354" s="49" t="s">
        <x:v>333</x:v>
      </x:c>
      <x:c r="D354" s="49" t="s">
        <x:v>116</x:v>
      </x:c>
      <x:c r="E354" s="49" t="s">
        <x:v>602</x:v>
      </x:c>
      <x:c r="F354" s="49" t="s">
        <x:v>1489</x:v>
      </x:c>
      <x:c r="G354" s="60">
        <x:v>1.05</x:v>
      </x:c>
      <x:c r="H354" s="60">
        <x:v>0</x:v>
      </x:c>
      <x:c r="I354" s="60">
        <x:v>0.84</x:v>
      </x:c>
      <x:c r="J354" s="49" t="s">
        <x:v>1227</x:v>
      </x:c>
      <x:c r="K354" s="49" t="s">
        <x:v>106</x:v>
      </x:c>
      <x:c r="L354" s="49" t="s">
        <x:v>1490</x:v>
      </x:c>
      <x:c r="M354" s="61">
        <x:v>0.585</x:v>
      </x:c>
      <x:c r="N354" s="49" t="s">
        <x:v>685</x:v>
      </x:c>
      <x:c r="O354" s="49" t="s">
        <x:v>934</x:v>
      </x:c>
      <x:c r="P354" s="49" t="s">
        <x:v>30</x:v>
      </x:c>
      <x:c r="Q354" s="49" t="s">
        <x:v>11</x:v>
      </x:c>
      <x:c r="R354" s="50">
        <x:v>0.84</x:v>
      </x:c>
      <x:c r="S354" s="50">
        <x:f t="shared" si="24"/>
        <x:v>0.84</x:v>
      </x:c>
      <x:c r="T354" s="49" t="s">
        <x:v>1491</x:v>
      </x:c>
      <x:c r="U354" s="49" t="str">
        <x:f t="shared" si="22"/>
        <x:v>黑</x:v>
      </x:c>
      <x:c r="V354" s="50">
        <x:f t="shared" si="23"/>
        <x:v>1.05</x:v>
      </x:c>
      <x:c r="W354" s="50">
        <x:f t="shared" si="25"/>
        <x:v>-1</x:v>
      </x:c>
      <x:c r="X354" s="62">
        <x:v>0.95</x:v>
      </x:c>
      <x:c r="Y354" s="62">
        <x:v>0</x:v>
      </x:c>
      <x:c r="Z354" s="62">
        <x:v>0.93</x:v>
      </x:c>
      <x:c r="AA354" s="62">
        <x:v>0</x:v>
      </x:c>
      <x:c r="AB354" s="62">
        <x:v>0.93</x:v>
      </x:c>
      <x:c r="AC354" s="62">
        <x:v>0.84</x:v>
      </x:c>
      <x:c r="AD354" s="60">
        <x:v>2.78</x:v>
      </x:c>
      <x:c r="AE354" s="60">
        <x:v>3.33</x:v>
      </x:c>
      <x:c r="AF354" s="60">
        <x:v>2.49</x:v>
      </x:c>
      <x:c r="AG354" s="62">
        <x:v>0.0616189562189389</x:v>
      </x:c>
      <x:c r="AH354" s="62">
        <x:v>0.0116189562189389</x:v>
      </x:c>
      <x:c r="AI354" s="62">
        <x:v>0.338833654117272</x:v>
      </x:c>
      <x:c r="AJ354" s="62">
        <x:v>0.282870137671476</x:v>
      </x:c>
      <x:c r="AK354" s="62">
        <x:v>0.378296208211251</x:v>
      </x:c>
      <x:c r="AL354" s="62">
        <x:v>1.11</x:v>
      </x:c>
      <x:c r="AM354" s="62">
        <x:v>1.19</x:v>
      </x:c>
      <x:c r="AN354" s="62">
        <x:v>0.000375489041169178</x:v>
      </x:c>
      <x:c r="AO354" s="62">
        <x:v>0.895491990290287</x:v>
      </x:c>
      <x:c r="AP354" s="62">
        <x:v>-0.055491990290287</x:v>
      </x:c>
      <x:c r="AQ354" s="62" t="s">
        <x:v>150</x:v>
      </x:c>
      <x:c r="AR354" s="49">
        <x:v>0</x:v>
      </x:c>
      <x:c r="AS354" s="62">
        <x:v>0.378054638856377</x:v>
      </x:c>
      <x:c r="AT354" s="62">
        <x:v>0.338544900987973</x:v>
      </x:c>
      <x:c r="AU354" s="60">
        <x:v>2.83</x:v>
      </x:c>
      <x:c r="AV354" s="60">
        <x:v>3.36</x:v>
      </x:c>
      <x:c r="AW354" s="60">
        <x:v>2.49</x:v>
      </x:c>
      <x:c r="AX354" s="49" t="s">
        <x:v>1356</x:v>
      </x:c>
      <x:c r="AY354" s="49" t="s">
        <x:v>101</x:v>
      </x:c>
    </x:row>
    <x:row r="355" ht="22" customHeight="1">
      <x:c r="A355" s="49" t="s">
        <x:v>1444</x:v>
      </x:c>
      <x:c r="B355" s="49" t="s">
        <x:v>1488</x:v>
      </x:c>
      <x:c r="C355" s="49" t="s">
        <x:v>89</x:v>
      </x:c>
      <x:c r="D355" s="49" t="s">
        <x:v>90</x:v>
      </x:c>
      <x:c r="E355" s="49" t="s">
        <x:v>1492</x:v>
      </x:c>
      <x:c r="F355" s="49" t="s">
        <x:v>1493</x:v>
      </x:c>
      <x:c r="G355" s="60">
        <x:v>0.98</x:v>
      </x:c>
      <x:c r="H355" s="60">
        <x:v>-1.5</x:v>
      </x:c>
      <x:c r="I355" s="60">
        <x:v>0.84</x:v>
      </x:c>
      <x:c r="J355" s="49" t="s">
        <x:v>1494</x:v>
      </x:c>
      <x:c r="K355" s="49" t="s">
        <x:v>106</x:v>
      </x:c>
      <x:c r="L355" s="49" t="s">
        <x:v>1495</x:v>
      </x:c>
      <x:c r="M355" s="61">
        <x:v>0.58</x:v>
      </x:c>
      <x:c r="N355" s="49" t="s">
        <x:v>96</x:v>
      </x:c>
      <x:c r="O355" s="49" t="s">
        <x:v>653</x:v>
      </x:c>
      <x:c r="P355" s="49" t="s">
        <x:v>30</x:v>
      </x:c>
      <x:c r="Q355" s="49" t="s">
        <x:v>11</x:v>
      </x:c>
      <x:c r="R355" s="50">
        <x:v>0.84</x:v>
      </x:c>
      <x:c r="S355" s="50">
        <x:f t="shared" si="24"/>
        <x:v>0.84</x:v>
      </x:c>
      <x:c r="T355" s="49" t="s">
        <x:v>1496</x:v>
      </x:c>
      <x:c r="U355" s="49" t="str">
        <x:f t="shared" si="22"/>
        <x:v>黑</x:v>
      </x:c>
      <x:c r="V355" s="50">
        <x:f t="shared" si="23"/>
        <x:v>0.98</x:v>
      </x:c>
      <x:c r="W355" s="50">
        <x:f t="shared" si="25"/>
        <x:v>-1</x:v>
      </x:c>
      <x:c r="X355" s="62">
        <x:v>0.98</x:v>
      </x:c>
      <x:c r="Y355" s="62">
        <x:v>-1.5</x:v>
      </x:c>
      <x:c r="Z355" s="62">
        <x:v>0.84</x:v>
      </x:c>
      <x:c r="AA355" s="62">
        <x:v>-1.5</x:v>
      </x:c>
      <x:c r="AB355" s="62">
        <x:v>0.84</x:v>
      </x:c>
      <x:c r="AC355" s="62">
        <x:v>0.84</x:v>
      </x:c>
      <x:c r="AD355" s="60">
        <x:v>7.72</x:v>
      </x:c>
      <x:c r="AE355" s="60">
        <x:v>4.83</x:v>
      </x:c>
      <x:c r="AF355" s="60">
        <x:v>1.33</x:v>
      </x:c>
      <x:c r="AG355" s="62">
        <x:v>0.0884527154787169</x:v>
      </x:c>
      <x:c r="AH355" s="62">
        <x:v>0.0384527154787169</x:v>
      </x:c>
      <x:c r="AI355" s="62">
        <x:v>0.119007171294075</x:v>
      </x:c>
      <x:c r="AJ355" s="62">
        <x:v>0.190214360743325</x:v>
      </x:c>
      <x:c r="AK355" s="62">
        <x:v>0.6907784679626</x:v>
      </x:c>
      <x:c r="AL355" s="62">
        <x:v>0.74</x:v>
      </x:c>
      <x:c r="AM355" s="62">
        <x:v>2.11</x:v>
      </x:c>
      <x:c r="AN355" s="62">
        <x:v>0.000157332567614683</x:v>
      </x:c>
      <x:c r="AO355" s="62">
        <x:v>1.24535612978618</x:v>
      </x:c>
      <x:c r="AP355" s="62">
        <x:v>-0.40535612978618</x:v>
      </x:c>
      <x:c r="AQ355" s="62" t="s">
        <x:v>99</x:v>
      </x:c>
      <x:c r="AR355" s="49">
        <x:v>-1.5</x:v>
      </x:c>
      <x:c r="AS355" s="62">
        <x:v>0.445363649326856</x:v>
      </x:c>
      <x:c r="AT355" s="62">
        <x:v>0.554636350673144</x:v>
      </x:c>
      <x:c r="AU355" s="60">
        <x:v>9.11</x:v>
      </x:c>
      <x:c r="AV355" s="60">
        <x:v>5.33</x:v>
      </x:c>
      <x:c r="AW355" s="60">
        <x:v>1.27</x:v>
      </x:c>
      <x:c r="AX355" s="49" t="s">
        <x:v>1356</x:v>
      </x:c>
      <x:c r="AY355" s="49" t="s">
        <x:v>101</x:v>
      </x:c>
    </x:row>
    <x:row r="356" ht="22" customHeight="1">
      <x:c r="A356" s="49" t="s">
        <x:v>1444</x:v>
      </x:c>
      <x:c r="B356" s="49" t="s">
        <x:v>1497</x:v>
      </x:c>
      <x:c r="C356" s="49" t="s">
        <x:v>128</x:v>
      </x:c>
      <x:c r="D356" s="49" t="s">
        <x:v>116</x:v>
      </x:c>
      <x:c r="E356" s="49" t="s">
        <x:v>192</x:v>
      </x:c>
      <x:c r="F356" s="49" t="s">
        <x:v>1498</x:v>
      </x:c>
      <x:c r="G356" s="60">
        <x:v>0.78</x:v>
      </x:c>
      <x:c r="H356" s="60">
        <x:v>0.75</x:v>
      </x:c>
      <x:c r="I356" s="60">
        <x:v>1.04</x:v>
      </x:c>
      <x:c r="J356" s="49" t="s">
        <x:v>1499</x:v>
      </x:c>
      <x:c r="K356" s="49" t="s">
        <x:v>106</x:v>
      </x:c>
      <x:c r="L356" s="49" t="s">
        <x:v>1116</x:v>
      </x:c>
      <x:c r="M356" s="61">
        <x:v>0.582</x:v>
      </x:c>
      <x:c r="N356" s="49" t="s">
        <x:v>685</x:v>
      </x:c>
      <x:c r="O356" s="49" t="s">
        <x:v>201</x:v>
      </x:c>
      <x:c r="P356" s="49" t="s">
        <x:v>30</x:v>
      </x:c>
      <x:c r="Q356" s="49" t="s">
        <x:v>14</x:v>
      </x:c>
      <x:c r="R356" s="50">
        <x:v>0.78</x:v>
      </x:c>
      <x:c r="S356" s="50">
        <x:f t="shared" si="24"/>
        <x:v>0.39</x:v>
      </x:c>
      <x:c r="T356" s="49" t="s">
        <x:v>1500</x:v>
      </x:c>
      <x:c r="U356" s="49" t="str">
        <x:f t="shared" si="22"/>
        <x:v>半黑</x:v>
      </x:c>
      <x:c r="V356" s="50">
        <x:f t="shared" si="23"/>
        <x:v>1.04</x:v>
      </x:c>
      <x:c r="W356" s="50">
        <x:f t="shared" si="25"/>
        <x:v>-0.5</x:v>
      </x:c>
      <x:c r="X356" s="62">
        <x:v>0.8</x:v>
      </x:c>
      <x:c r="Y356" s="62">
        <x:v>0.75</x:v>
      </x:c>
      <x:c r="Z356" s="62">
        <x:v>0.9</x:v>
      </x:c>
      <x:c r="AA356" s="62">
        <x:v>-0.75</x:v>
      </x:c>
      <x:c r="AB356" s="62">
        <x:v>0.8</x:v>
      </x:c>
      <x:c r="AC356" s="62">
        <x:v>0.78</x:v>
      </x:c>
      <x:c r="AD356" s="60">
        <x:v>1.62</x:v>
      </x:c>
      <x:c r="AE356" s="60">
        <x:v>3.63</x:v>
      </x:c>
      <x:c r="AF356" s="60">
        <x:v>4.98</x:v>
      </x:c>
      <x:c r="AG356" s="62">
        <x:v>0.0935692571326014</x:v>
      </x:c>
      <x:c r="AH356" s="62">
        <x:v>0.0435692571326014</x:v>
      </x:c>
      <x:c r="AI356" s="62">
        <x:v>0.564467176258993</x:v>
      </x:c>
      <x:c r="AJ356" s="62">
        <x:v>0.251910971223022</x:v>
      </x:c>
      <x:c r="AK356" s="62">
        <x:v>0.183621852517986</x:v>
      </x:c>
      <x:c r="AL356" s="62">
        <x:v>1.58</x:v>
      </x:c>
      <x:c r="AM356" s="62">
        <x:v>0.78</x:v>
      </x:c>
      <x:c r="AN356" s="62">
        <x:v>0.000412654678855858</x:v>
      </x:c>
      <x:c r="AO356" s="62">
        <x:v>1.00724010477277</x:v>
      </x:c>
      <x:c r="AP356" s="62">
        <x:v>-0.227240104772765</x:v>
      </x:c>
      <x:c r="AQ356" s="62" t="s">
        <x:v>99</x:v>
      </x:c>
      <x:c r="AR356" s="49">
        <x:v>-0.75</x:v>
      </x:c>
      <x:c r="AS356" s="62">
        <x:v>0.432918647593165</x:v>
      </x:c>
      <x:c r="AT356" s="62">
        <x:v>0.436053023959823</x:v>
      </x:c>
      <x:c r="AU356" s="60">
        <x:v>1.6</x:v>
      </x:c>
      <x:c r="AV356" s="60">
        <x:v>3.68</x:v>
      </x:c>
      <x:c r="AW356" s="60">
        <x:v>5.08</x:v>
      </x:c>
      <x:c r="AX356" s="49" t="s">
        <x:v>1356</x:v>
      </x:c>
      <x:c r="AY356" s="49" t="s">
        <x:v>101</x:v>
      </x:c>
    </x:row>
    <x:row r="357" ht="22" customHeight="1">
      <x:c r="A357" s="49" t="s">
        <x:v>1444</x:v>
      </x:c>
      <x:c r="B357" s="49" t="s">
        <x:v>1497</x:v>
      </x:c>
      <x:c r="C357" s="49" t="s">
        <x:v>333</x:v>
      </x:c>
      <x:c r="D357" s="49" t="s">
        <x:v>116</x:v>
      </x:c>
      <x:c r="E357" s="49" t="s">
        <x:v>894</x:v>
      </x:c>
      <x:c r="F357" s="49" t="s">
        <x:v>1501</x:v>
      </x:c>
      <x:c r="G357" s="60">
        <x:v>0.8</x:v>
      </x:c>
      <x:c r="H357" s="60">
        <x:v>0.5</x:v>
      </x:c>
      <x:c r="I357" s="60">
        <x:v>1.08</x:v>
      </x:c>
      <x:c r="J357" s="49" t="s">
        <x:v>1502</x:v>
      </x:c>
      <x:c r="K357" s="49" t="s">
        <x:v>106</x:v>
      </x:c>
      <x:c r="L357" s="49" t="s">
        <x:v>1035</x:v>
      </x:c>
      <x:c r="M357" s="61">
        <x:v>0.585</x:v>
      </x:c>
      <x:c r="N357" s="49" t="s">
        <x:v>685</x:v>
      </x:c>
      <x:c r="O357" s="49" t="s">
        <x:v>353</x:v>
      </x:c>
      <x:c r="P357" s="49" t="s">
        <x:v>30</x:v>
      </x:c>
      <x:c r="Q357" s="49" t="s">
        <x:v>23</x:v>
      </x:c>
      <x:c r="R357" s="50">
        <x:v>0.8</x:v>
      </x:c>
      <x:c r="S357" s="50">
        <x:f t="shared" si="24"/>
        <x:v>-1</x:v>
      </x:c>
      <x:c r="T357" s="49" t="s">
        <x:v>1503</x:v>
      </x:c>
      <x:c r="U357" s="49" t="str">
        <x:f t="shared" si="22"/>
        <x:v>红</x:v>
      </x:c>
      <x:c r="V357" s="50">
        <x:f t="shared" si="23"/>
        <x:v>1.08</x:v>
      </x:c>
      <x:c r="W357" s="50">
        <x:f t="shared" si="25"/>
        <x:v>1.08</x:v>
      </x:c>
      <x:c r="X357" s="62">
        <x:v>0.84</x:v>
      </x:c>
      <x:c r="Y357" s="62">
        <x:v>0.5</x:v>
      </x:c>
      <x:c r="Z357" s="62">
        <x:v>0.98</x:v>
      </x:c>
      <x:c r="AA357" s="62">
        <x:v>-0.5</x:v>
      </x:c>
      <x:c r="AB357" s="62">
        <x:v>0.84</x:v>
      </x:c>
      <x:c r="AC357" s="62">
        <x:v>0.8</x:v>
      </x:c>
      <x:c r="AD357" s="60">
        <x:v>1.72</x:v>
      </x:c>
      <x:c r="AE357" s="60">
        <x:v>3.31</x:v>
      </x:c>
      <x:c r="AF357" s="60">
        <x:v>5.12</x:v>
      </x:c>
      <x:c r="AG357" s="62">
        <x:v>0.078822652462587</x:v>
      </x:c>
      <x:c r="AH357" s="62">
        <x:v>0.028822652462587</x:v>
      </x:c>
      <x:c r="AI357" s="62">
        <x:v>0.538916519327881</x:v>
      </x:c>
      <x:c r="AJ357" s="62">
        <x:v>0.280041212460409</x:v>
      </x:c>
      <x:c r="AK357" s="62">
        <x:v>0.18104226821171</x:v>
      </x:c>
      <x:c r="AL357" s="62">
        <x:v>1.36</x:v>
      </x:c>
      <x:c r="AM357" s="62">
        <x:v>0.66</x:v>
      </x:c>
      <x:c r="AN357" s="62">
        <x:v>0.00102499250319051</x:v>
      </x:c>
      <x:c r="AO357" s="62">
        <x:v>0.860004445909424</x:v>
      </x:c>
      <x:c r="AP357" s="62">
        <x:v>-0.0600044459094238</x:v>
      </x:c>
      <x:c r="AQ357" s="62" t="s">
        <x:v>99</x:v>
      </x:c>
      <x:c r="AR357" s="49">
        <x:v>-0.5</x:v>
      </x:c>
      <x:c r="AS357" s="62">
        <x:v>0.537633123511736</x:v>
      </x:c>
      <x:c r="AT357" s="62">
        <x:v>0.462366876488264</x:v>
      </x:c>
      <x:c r="AU357" s="60">
        <x:v>1.74</x:v>
      </x:c>
      <x:c r="AV357" s="60">
        <x:v>3.34</x:v>
      </x:c>
      <x:c r="AW357" s="60">
        <x:v>5.06</x:v>
      </x:c>
      <x:c r="AX357" s="49" t="s">
        <x:v>1356</x:v>
      </x:c>
      <x:c r="AY357" s="49" t="s">
        <x:v>101</x:v>
      </x:c>
    </x:row>
    <x:row r="358" ht="22" customHeight="1">
      <x:c r="A358" s="49" t="s">
        <x:v>1444</x:v>
      </x:c>
      <x:c r="B358" s="49" t="s">
        <x:v>1504</x:v>
      </x:c>
      <x:c r="C358" s="49" t="s">
        <x:v>128</x:v>
      </x:c>
      <x:c r="D358" s="49" t="s">
        <x:v>116</x:v>
      </x:c>
      <x:c r="E358" s="49" t="s">
        <x:v>1118</x:v>
      </x:c>
      <x:c r="F358" s="49" t="s">
        <x:v>1505</x:v>
      </x:c>
      <x:c r="G358" s="60">
        <x:v>1</x:v>
      </x:c>
      <x:c r="H358" s="60">
        <x:v>0</x:v>
      </x:c>
      <x:c r="I358" s="60">
        <x:v>0.76</x:v>
      </x:c>
      <x:c r="J358" s="49" t="s">
        <x:v>1506</x:v>
      </x:c>
      <x:c r="K358" s="49" t="s">
        <x:v>195</x:v>
      </x:c>
      <x:c r="L358" s="49" t="s">
        <x:v>1507</x:v>
      </x:c>
      <x:c r="M358" s="61">
        <x:v>0.549</x:v>
      </x:c>
      <x:c r="N358" s="49" t="s">
        <x:v>685</x:v>
      </x:c>
      <x:c r="O358" s="49" t="s">
        <x:v>114</x:v>
      </x:c>
      <x:c r="P358" s="49" t="s">
        <x:v>30</x:v>
      </x:c>
      <x:c r="Q358" s="49" t="s">
        <x:v>23</x:v>
      </x:c>
      <x:c r="R358" s="50">
        <x:v>1</x:v>
      </x:c>
      <x:c r="S358" s="50">
        <x:f t="shared" si="24"/>
        <x:v>-1</x:v>
      </x:c>
      <x:c r="T358" s="49" t="s">
        <x:v>1508</x:v>
      </x:c>
      <x:c r="U358" s="49" t="str">
        <x:f t="shared" si="22"/>
        <x:v>红</x:v>
      </x:c>
      <x:c r="V358" s="50">
        <x:f t="shared" si="23"/>
        <x:v>0.76</x:v>
      </x:c>
      <x:c r="W358" s="50">
        <x:f t="shared" si="25"/>
        <x:v>0.76</x:v>
      </x:c>
      <x:c r="X358" s="62">
        <x:v>0.94</x:v>
      </x:c>
      <x:c r="Y358" s="62">
        <x:v>0</x:v>
      </x:c>
      <x:c r="Z358" s="62">
        <x:v>0.82</x:v>
      </x:c>
      <x:c r="AA358" s="62">
        <x:v>0</x:v>
      </x:c>
      <x:c r="AB358" s="62">
        <x:v>0.94</x:v>
      </x:c>
      <x:c r="AC358" s="62">
        <x:v>1</x:v>
      </x:c>
      <x:c r="AD358" s="60">
        <x:v>2.35</x:v>
      </x:c>
      <x:c r="AE358" s="60">
        <x:v>3.53</x:v>
      </x:c>
      <x:c r="AF358" s="60">
        <x:v>2.49</x:v>
      </x:c>
      <x:c r="AG358" s="62">
        <x:v>0.110424459576598</x:v>
      </x:c>
      <x:c r="AH358" s="62">
        <x:v>0.0604244595765982</x:v>
      </x:c>
      <x:c r="AI358" s="62">
        <x:v>0.383215545392319</x:v>
      </x:c>
      <x:c r="AJ358" s="62">
        <x:v>0.255115164779589</x:v>
      </x:c>
      <x:c r="AK358" s="62">
        <x:v>0.361669289828092</x:v>
      </x:c>
      <x:c r="AL358" s="62">
        <x:v>1.4</x:v>
      </x:c>
      <x:c r="AM358" s="62">
        <x:v>1.35</x:v>
      </x:c>
      <x:c r="AN358" s="62">
        <x:v>0.000561737784258635</x:v>
      </x:c>
      <x:c r="AO358" s="62">
        <x:v>0.940439976665222</x:v>
      </x:c>
      <x:c r="AP358" s="62">
        <x:v>0.059560023334778</x:v>
      </x:c>
      <x:c r="AQ358" s="62" t="s">
        <x:v>135</x:v>
      </x:c>
      <x:c r="AR358" s="49">
        <x:v>0</x:v>
      </x:c>
      <x:c r="AS358" s="62">
        <x:v>0.38374879306626</x:v>
      </x:c>
      <x:c r="AT358" s="62">
        <x:v>0.36089270599654</x:v>
      </x:c>
      <x:c r="AU358" s="60">
        <x:v>2.87</x:v>
      </x:c>
      <x:c r="AV358" s="60">
        <x:v>3.49</x:v>
      </x:c>
      <x:c r="AW358" s="60">
        <x:v>2.15</x:v>
      </x:c>
      <x:c r="AX358" s="49" t="s">
        <x:v>1356</x:v>
      </x:c>
      <x:c r="AY358" s="49" t="s">
        <x:v>101</x:v>
      </x:c>
    </x:row>
    <x:row r="359" ht="22" customHeight="1">
      <x:c r="A359" s="49" t="s">
        <x:v>1444</x:v>
      </x:c>
      <x:c r="B359" s="49" t="s">
        <x:v>1504</x:v>
      </x:c>
      <x:c r="C359" s="49" t="s">
        <x:v>128</x:v>
      </x:c>
      <x:c r="D359" s="49" t="s">
        <x:v>116</x:v>
      </x:c>
      <x:c r="E359" s="49" t="s">
        <x:v>1057</x:v>
      </x:c>
      <x:c r="F359" s="49" t="s">
        <x:v>1509</x:v>
      </x:c>
      <x:c r="G359" s="60">
        <x:v>0.88</x:v>
      </x:c>
      <x:c r="H359" s="60">
        <x:v>-0.75</x:v>
      </x:c>
      <x:c r="I359" s="60">
        <x:v>0.82</x:v>
      </x:c>
      <x:c r="J359" s="49" t="s">
        <x:v>1510</x:v>
      </x:c>
      <x:c r="K359" s="49" t="s">
        <x:v>106</x:v>
      </x:c>
      <x:c r="L359" s="49" t="s">
        <x:v>1511</x:v>
      </x:c>
      <x:c r="M359" s="61">
        <x:v>0.582</x:v>
      </x:c>
      <x:c r="N359" s="49" t="s">
        <x:v>685</x:v>
      </x:c>
      <x:c r="O359" s="49" t="s">
        <x:v>273</x:v>
      </x:c>
      <x:c r="P359" s="49" t="s">
        <x:v>30</x:v>
      </x:c>
      <x:c r="Q359" s="49" t="s">
        <x:v>23</x:v>
      </x:c>
      <x:c r="R359" s="50">
        <x:v>0.82</x:v>
      </x:c>
      <x:c r="S359" s="50">
        <x:f t="shared" si="24"/>
        <x:v>-1</x:v>
      </x:c>
      <x:c r="T359" s="49" t="s">
        <x:v>1512</x:v>
      </x:c>
      <x:c r="U359" s="49" t="str">
        <x:f t="shared" si="22"/>
        <x:v>红</x:v>
      </x:c>
      <x:c r="V359" s="50">
        <x:f t="shared" si="23"/>
        <x:v>0.88</x:v>
      </x:c>
      <x:c r="W359" s="50">
        <x:f t="shared" si="25"/>
        <x:v>0.88</x:v>
      </x:c>
      <x:c r="X359" s="62">
        <x:v>0.88</x:v>
      </x:c>
      <x:c r="Y359" s="62">
        <x:v>-0.75</x:v>
      </x:c>
      <x:c r="Z359" s="62">
        <x:v>0.82</x:v>
      </x:c>
      <x:c r="AA359" s="62">
        <x:v>-0.75</x:v>
      </x:c>
      <x:c r="AB359" s="62">
        <x:v>0.82</x:v>
      </x:c>
      <x:c r="AC359" s="62">
        <x:v>0.82</x:v>
      </x:c>
      <x:c r="AD359" s="60">
        <x:v>4.65</x:v>
      </x:c>
      <x:c r="AE359" s="60">
        <x:v>3.22</x:v>
      </x:c>
      <x:c r="AF359" s="60">
        <x:v>1.73</x:v>
      </x:c>
      <x:c r="AG359" s="62">
        <x:v>0.103647451732965</x:v>
      </x:c>
      <x:c r="AH359" s="62">
        <x:v>0.0536474517329653</x:v>
      </x:c>
      <x:c r="AI359" s="62">
        <x:v>0.194857300765004</x:v>
      </x:c>
      <x:c r="AJ359" s="62">
        <x:v>0.281393307005362</x:v>
      </x:c>
      <x:c r="AK359" s="62">
        <x:v>0.523749392229634</x:v>
      </x:c>
      <x:c r="AL359" s="62">
        <x:v>0.71</x:v>
      </x:c>
      <x:c r="AM359" s="62">
        <x:v>1.36</x:v>
      </x:c>
      <x:c r="AN359" s="62">
        <x:v>0.000421027705937619</x:v>
      </x:c>
      <x:c r="AO359" s="62">
        <x:v>1.22168636625044</x:v>
      </x:c>
      <x:c r="AP359" s="62">
        <x:v>-0.401686366250441</x:v>
      </x:c>
      <x:c r="AQ359" s="62" t="s">
        <x:v>99</x:v>
      </x:c>
      <x:c r="AR359" s="49">
        <x:v>-0.75</x:v>
      </x:c>
      <x:c r="AS359" s="62">
        <x:v>0.389585192290168</x:v>
      </x:c>
      <x:c r="AT359" s="62">
        <x:v>0.475950917913955</x:v>
      </x:c>
      <x:c r="AU359" s="60">
        <x:v>4.83</x:v>
      </x:c>
      <x:c r="AV359" s="60">
        <x:v>3.26</x:v>
      </x:c>
      <x:c r="AW359" s="60">
        <x:v>1.69</x:v>
      </x:c>
      <x:c r="AX359" s="49" t="s">
        <x:v>1356</x:v>
      </x:c>
      <x:c r="AY359" s="49" t="s">
        <x:v>101</x:v>
      </x:c>
    </x:row>
    <x:row r="360" ht="22" customHeight="1">
      <x:c r="A360" s="49" t="s">
        <x:v>1444</x:v>
      </x:c>
      <x:c r="B360" s="49" t="s">
        <x:v>1513</x:v>
      </x:c>
      <x:c r="C360" s="49" t="s">
        <x:v>447</x:v>
      </x:c>
      <x:c r="D360" s="49" t="s">
        <x:v>116</x:v>
      </x:c>
      <x:c r="E360" s="49" t="s">
        <x:v>456</x:v>
      </x:c>
      <x:c r="F360" s="49" t="s">
        <x:v>1514</x:v>
      </x:c>
      <x:c r="G360" s="60">
        <x:v>0.8</x:v>
      </x:c>
      <x:c r="H360" s="60">
        <x:v>0.75</x:v>
      </x:c>
      <x:c r="I360" s="60">
        <x:v>0.9</x:v>
      </x:c>
      <x:c r="J360" s="49" t="s">
        <x:v>1515</x:v>
      </x:c>
      <x:c r="K360" s="49" t="s">
        <x:v>106</x:v>
      </x:c>
      <x:c r="L360" s="49" t="s">
        <x:v>1516</x:v>
      </x:c>
      <x:c r="M360" s="61">
        <x:v>0.587</x:v>
      </x:c>
      <x:c r="N360" s="49" t="s">
        <x:v>96</x:v>
      </x:c>
      <x:c r="O360" s="49" t="s">
        <x:v>149</x:v>
      </x:c>
      <x:c r="P360" s="49" t="s">
        <x:v>30</x:v>
      </x:c>
      <x:c r="Q360" s="49" t="s">
        <x:v>11</x:v>
      </x:c>
      <x:c r="R360" s="50">
        <x:v>0.9</x:v>
      </x:c>
      <x:c r="S360" s="50">
        <x:f t="shared" si="24"/>
        <x:v>0.9</x:v>
      </x:c>
      <x:c r="T360" s="49" t="s">
        <x:v>1517</x:v>
      </x:c>
      <x:c r="U360" s="49" t="str">
        <x:f t="shared" si="22"/>
        <x:v>黑</x:v>
      </x:c>
      <x:c r="V360" s="50">
        <x:f t="shared" si="23"/>
        <x:v>0.8</x:v>
      </x:c>
      <x:c r="W360" s="50">
        <x:f t="shared" si="25"/>
        <x:v>-1</x:v>
      </x:c>
      <x:c r="X360" s="62">
        <x:v>0.8</x:v>
      </x:c>
      <x:c r="Y360" s="62">
        <x:v>0.75</x:v>
      </x:c>
      <x:c r="Z360" s="62">
        <x:v>0.9</x:v>
      </x:c>
      <x:c r="AA360" s="62">
        <x:v>0.75</x:v>
      </x:c>
      <x:c r="AB360" s="62">
        <x:v>0.9</x:v>
      </x:c>
      <x:c r="AC360" s="62">
        <x:v>0.9</x:v>
      </x:c>
      <x:c r="AD360" s="60">
        <x:v>1.64</x:v>
      </x:c>
      <x:c r="AE360" s="60">
        <x:v>3.67</x:v>
      </x:c>
      <x:c r="AF360" s="60">
        <x:v>4.35</x:v>
      </x:c>
      <x:c r="AG360" s="62">
        <x:v>0.112120719064938</x:v>
      </x:c>
      <x:c r="AH360" s="62">
        <x:v>0.0621207190649376</x:v>
      </x:c>
      <x:c r="AI360" s="62">
        <x:v>0.54828229265763</x:v>
      </x:c>
      <x:c r="AJ360" s="62">
        <x:v>0.245008980915126</x:v>
      </x:c>
      <x:c r="AK360" s="62">
        <x:v>0.206708726427244</x:v>
      </x:c>
      <x:c r="AL360" s="62">
        <x:v>1.65</x:v>
      </x:c>
      <x:c r="AM360" s="62">
        <x:v>0.91</x:v>
      </x:c>
      <x:c r="AN360" s="62">
        <x:v>0.000237829165329692</x:v>
      </x:c>
      <x:c r="AO360" s="62">
        <x:v>0.935401716409712</x:v>
      </x:c>
      <x:c r="AP360" s="62">
        <x:v>-0.0354017164097118</x:v>
      </x:c>
      <x:c r="AQ360" s="62" t="s">
        <x:v>174</x:v>
      </x:c>
      <x:c r="AR360" s="49">
        <x:v>0.75</x:v>
      </x:c>
      <x:c r="AS360" s="62">
        <x:v>0.451970145712189</x:v>
      </x:c>
      <x:c r="AT360" s="62">
        <x:v>0.422773650065129</x:v>
      </x:c>
      <x:c r="AU360" s="60">
        <x:v>1.64</x:v>
      </x:c>
      <x:c r="AV360" s="60">
        <x:v>3.66</x:v>
      </x:c>
      <x:c r="AW360" s="60">
        <x:v>4.41</x:v>
      </x:c>
      <x:c r="AX360" s="49" t="s">
        <x:v>1356</x:v>
      </x:c>
      <x:c r="AY360" s="49" t="s">
        <x:v>101</x:v>
      </x:c>
    </x:row>
    <x:row r="361" ht="22" customHeight="1">
      <x:c r="A361" s="49" t="s">
        <x:v>1518</x:v>
      </x:c>
      <x:c r="B361" s="49" t="s">
        <x:v>1519</x:v>
      </x:c>
      <x:c r="C361" s="49" t="s">
        <x:v>239</x:v>
      </x:c>
      <x:c r="D361" s="49" t="s">
        <x:v>116</x:v>
      </x:c>
      <x:c r="E361" s="49" t="s">
        <x:v>659</x:v>
      </x:c>
      <x:c r="F361" s="49" t="s">
        <x:v>1520</x:v>
      </x:c>
      <x:c r="G361" s="60">
        <x:v>0.79</x:v>
      </x:c>
      <x:c r="H361" s="60">
        <x:v>1</x:v>
      </x:c>
      <x:c r="I361" s="60">
        <x:v>0.97</x:v>
      </x:c>
      <x:c r="J361" s="49" t="s">
        <x:v>1521</x:v>
      </x:c>
      <x:c r="K361" s="49" t="s">
        <x:v>106</x:v>
      </x:c>
      <x:c r="L361" s="49" t="s">
        <x:v>1522</x:v>
      </x:c>
      <x:c r="M361" s="61">
        <x:v>0.579</x:v>
      </x:c>
      <x:c r="N361" s="49" t="s">
        <x:v>96</x:v>
      </x:c>
      <x:c r="O361" s="49" t="s">
        <x:v>197</x:v>
      </x:c>
      <x:c r="P361" s="49" t="s">
        <x:v>30</x:v>
      </x:c>
      <x:c r="Q361" s="49" t="s">
        <x:v>11</x:v>
      </x:c>
      <x:c r="R361" s="50">
        <x:v>0.79</x:v>
      </x:c>
      <x:c r="S361" s="50">
        <x:f t="shared" si="24"/>
        <x:v>0.79</x:v>
      </x:c>
      <x:c r="T361" s="49" t="s">
        <x:v>1523</x:v>
      </x:c>
      <x:c r="U361" s="49" t="str">
        <x:f t="shared" si="22"/>
        <x:v>黑</x:v>
      </x:c>
      <x:c r="V361" s="50">
        <x:f t="shared" si="23"/>
        <x:v>0.97</x:v>
      </x:c>
      <x:c r="W361" s="50">
        <x:f t="shared" si="25"/>
        <x:v>-1</x:v>
      </x:c>
      <x:c r="X361" s="62">
        <x:v>1.02</x:v>
      </x:c>
      <x:c r="Y361" s="62">
        <x:v>1</x:v>
      </x:c>
      <x:c r="Z361" s="62">
        <x:v>0.8</x:v>
      </x:c>
      <x:c r="AA361" s="62">
        <x:v>-1</x:v>
      </x:c>
      <x:c r="AB361" s="62">
        <x:v>1.02</x:v>
      </x:c>
      <x:c r="AC361" s="62">
        <x:v>0.79</x:v>
      </x:c>
      <x:c r="AD361" s="60">
        <x:v>1.57</x:v>
      </x:c>
      <x:c r="AE361" s="60">
        <x:v>4.03</x:v>
      </x:c>
      <x:c r="AF361" s="60">
        <x:v>4.62</x:v>
      </x:c>
      <x:c r="AG361" s="62">
        <x:v>0.101531849425829</x:v>
      </x:c>
      <x:c r="AH361" s="62">
        <x:v>0.0515318494258293</x:v>
      </x:c>
      <x:c r="AI361" s="62">
        <x:v>0.578233553111733</x:v>
      </x:c>
      <x:c r="AJ361" s="62">
        <x:v>0.225267165852462</x:v>
      </x:c>
      <x:c r="AK361" s="62">
        <x:v>0.196499281035805</x:v>
      </x:c>
      <x:c r="AL361" s="62">
        <x:v>1.85</x:v>
      </x:c>
      <x:c r="AM361" s="62">
        <x:v>0.98</x:v>
      </x:c>
      <x:c r="AN361" s="62">
        <x:v>0.000350422970045023</x:v>
      </x:c>
      <x:c r="AO361" s="62">
        <x:v>1.26143211528673</x:v>
      </x:c>
      <x:c r="AP361" s="62">
        <x:v>-0.471432115286733</x:v>
      </x:c>
      <x:c r="AQ361" s="62" t="s">
        <x:v>99</x:v>
      </x:c>
      <x:c r="AR361" s="49">
        <x:v>-1</x:v>
      </x:c>
      <x:c r="AS361" s="62">
        <x:v>0.334744731830817</x:v>
      </x:c>
      <x:c r="AT361" s="62">
        <x:v>0.422257755154437</x:v>
      </x:c>
      <x:c r="AU361" s="60">
        <x:v>1.49</x:v>
      </x:c>
      <x:c r="AV361" s="60">
        <x:v>4.2</x:v>
      </x:c>
      <x:c r="AW361" s="60">
        <x:v>5.3</x:v>
      </x:c>
      <x:c r="AX361" s="49" t="s">
        <x:v>1356</x:v>
      </x:c>
      <x:c r="AY361" s="49" t="s">
        <x:v>101</x:v>
      </x:c>
    </x:row>
    <x:row r="362" ht="22" customHeight="1">
      <x:c r="A362" s="49" t="s">
        <x:v>1518</x:v>
      </x:c>
      <x:c r="B362" s="49" t="s">
        <x:v>1519</x:v>
      </x:c>
      <x:c r="C362" s="49" t="s">
        <x:v>239</x:v>
      </x:c>
      <x:c r="D362" s="49" t="s">
        <x:v>116</x:v>
      </x:c>
      <x:c r="E362" s="49" t="s">
        <x:v>669</x:v>
      </x:c>
      <x:c r="F362" s="49" t="s">
        <x:v>1524</x:v>
      </x:c>
      <x:c r="G362" s="60">
        <x:v>1.07</x:v>
      </x:c>
      <x:c r="H362" s="60">
        <x:v>0</x:v>
      </x:c>
      <x:c r="I362" s="60">
        <x:v>0.81</x:v>
      </x:c>
      <x:c r="J362" s="49" t="s">
        <x:v>1525</x:v>
      </x:c>
      <x:c r="K362" s="49" t="s">
        <x:v>106</x:v>
      </x:c>
      <x:c r="L362" s="49" t="s">
        <x:v>1526</x:v>
      </x:c>
      <x:c r="M362" s="61">
        <x:v>0.579</x:v>
      </x:c>
      <x:c r="N362" s="49" t="s">
        <x:v>96</x:v>
      </x:c>
      <x:c r="O362" s="49" t="s">
        <x:v>169</x:v>
      </x:c>
      <x:c r="P362" s="49" t="s">
        <x:v>30</x:v>
      </x:c>
      <x:c r="Q362" s="49" t="s">
        <x:v>11</x:v>
      </x:c>
      <x:c r="R362" s="50">
        <x:v>0.81</x:v>
      </x:c>
      <x:c r="S362" s="50">
        <x:f t="shared" si="24"/>
        <x:v>0.81</x:v>
      </x:c>
      <x:c r="T362" s="49" t="s">
        <x:v>1527</x:v>
      </x:c>
      <x:c r="U362" s="49" t="str">
        <x:f t="shared" si="22"/>
        <x:v>黑</x:v>
      </x:c>
      <x:c r="V362" s="50">
        <x:f t="shared" si="23"/>
        <x:v>1.07</x:v>
      </x:c>
      <x:c r="W362" s="50">
        <x:f t="shared" si="25"/>
        <x:v>-1</x:v>
      </x:c>
      <x:c r="X362" s="62">
        <x:v>0.99</x:v>
      </x:c>
      <x:c r="Y362" s="62">
        <x:v>0</x:v>
      </x:c>
      <x:c r="Z362" s="62">
        <x:v>0.89</x:v>
      </x:c>
      <x:c r="AA362" s="62">
        <x:v>0</x:v>
      </x:c>
      <x:c r="AB362" s="62">
        <x:v>0.89</x:v>
      </x:c>
      <x:c r="AC362" s="62">
        <x:v>0.81</x:v>
      </x:c>
      <x:c r="AD362" s="60">
        <x:v>2.73</x:v>
      </x:c>
      <x:c r="AE362" s="60">
        <x:v>3.25</x:v>
      </x:c>
      <x:c r="AF362" s="60">
        <x:v>2.41</x:v>
      </x:c>
      <x:c r="AG362" s="62">
        <x:v>0.0889304333287737</x:v>
      </x:c>
      <x:c r="AH362" s="62">
        <x:v>0.0389304333287737</x:v>
      </x:c>
      <x:c r="AI362" s="62">
        <x:v>0.336385461448272</x:v>
      </x:c>
      <x:c r="AJ362" s="62">
        <x:v>0.282563787616548</x:v>
      </x:c>
      <x:c r="AK362" s="62">
        <x:v>0.381050750935179</x:v>
      </x:c>
      <x:c r="AL362" s="62">
        <x:v>1.11</x:v>
      </x:c>
      <x:c r="AM362" s="62">
        <x:v>1.2</x:v>
      </x:c>
      <x:c r="AN362" s="62">
        <x:v>0.000125220553882873</x:v>
      </x:c>
      <x:c r="AO362" s="62">
        <x:v>0.883526432296561</x:v>
      </x:c>
      <x:c r="AP362" s="62">
        <x:v>-0.0735264322965608</x:v>
      </x:c>
      <x:c r="AQ362" s="62" t="s">
        <x:v>150</x:v>
      </x:c>
      <x:c r="AR362" s="49">
        <x:v>0</x:v>
      </x:c>
      <x:c r="AS362" s="62">
        <x:v>0.38088461229119</x:v>
      </x:c>
      <x:c r="AT362" s="62">
        <x:v>0.336521622614294</x:v>
      </x:c>
      <x:c r="AU362" s="60">
        <x:v>2.82</x:v>
      </x:c>
      <x:c r="AV362" s="60">
        <x:v>3.23</x:v>
      </x:c>
      <x:c r="AW362" s="60">
        <x:v>2.4</x:v>
      </x:c>
      <x:c r="AX362" s="49" t="s">
        <x:v>1356</x:v>
      </x:c>
      <x:c r="AY362" s="49" t="s">
        <x:v>101</x:v>
      </x:c>
    </x:row>
    <x:row r="363" ht="22" customHeight="1">
      <x:c r="A363" s="49" t="s">
        <x:v>1518</x:v>
      </x:c>
      <x:c r="B363" s="49" t="s">
        <x:v>1528</x:v>
      </x:c>
      <x:c r="C363" s="49" t="s">
        <x:v>89</x:v>
      </x:c>
      <x:c r="D363" s="49" t="s">
        <x:v>116</x:v>
      </x:c>
      <x:c r="E363" s="49" t="s">
        <x:v>307</x:v>
      </x:c>
      <x:c r="F363" s="49" t="s">
        <x:v>1529</x:v>
      </x:c>
      <x:c r="G363" s="60">
        <x:v>0.9</x:v>
      </x:c>
      <x:c r="H363" s="60">
        <x:v>-0.25</x:v>
      </x:c>
      <x:c r="I363" s="60">
        <x:v>0.8</x:v>
      </x:c>
      <x:c r="J363" s="49" t="s">
        <x:v>1448</x:v>
      </x:c>
      <x:c r="K363" s="49" t="s">
        <x:v>106</x:v>
      </x:c>
      <x:c r="L363" s="49" t="s">
        <x:v>1530</x:v>
      </x:c>
      <x:c r="M363" s="61">
        <x:v>0.576</x:v>
      </x:c>
      <x:c r="N363" s="49" t="s">
        <x:v>96</x:v>
      </x:c>
      <x:c r="O363" s="49" t="s">
        <x:v>708</x:v>
      </x:c>
      <x:c r="P363" s="49" t="s">
        <x:v>30</x:v>
      </x:c>
      <x:c r="Q363" s="49" t="s">
        <x:v>11</x:v>
      </x:c>
      <x:c r="R363" s="50">
        <x:v>0.8</x:v>
      </x:c>
      <x:c r="S363" s="50">
        <x:f t="shared" si="24"/>
        <x:v>0.8</x:v>
      </x:c>
      <x:c r="T363" s="49" t="s">
        <x:v>1531</x:v>
      </x:c>
      <x:c r="U363" s="49" t="str">
        <x:f t="shared" si="22"/>
        <x:v>黑</x:v>
      </x:c>
      <x:c r="V363" s="50">
        <x:f t="shared" si="23"/>
        <x:v>0.9</x:v>
      </x:c>
      <x:c r="W363" s="50">
        <x:f t="shared" si="25"/>
        <x:v>-1</x:v>
      </x:c>
      <x:c r="X363" s="62">
        <x:v>0.9</x:v>
      </x:c>
      <x:c r="Y363" s="62">
        <x:v>-0.25</x:v>
      </x:c>
      <x:c r="Z363" s="62">
        <x:v>0.8</x:v>
      </x:c>
      <x:c r="AA363" s="62">
        <x:v>-0.25</x:v>
      </x:c>
      <x:c r="AB363" s="62">
        <x:v>0.8</x:v>
      </x:c>
      <x:c r="AC363" s="62">
        <x:v>0.8</x:v>
      </x:c>
      <x:c r="AD363" s="60">
        <x:v>2.84</x:v>
      </x:c>
      <x:c r="AE363" s="60">
        <x:v>3.49</x:v>
      </x:c>
      <x:c r="AF363" s="60">
        <x:v>2.12</x:v>
      </x:c>
      <x:c r="AG363" s="62">
        <x:v>0.110343740553283</x:v>
      </x:c>
      <x:c r="AH363" s="62">
        <x:v>0.0603437405532834</x:v>
      </x:c>
      <x:c r="AI363" s="62">
        <x:v>0.317120422438623</x:v>
      </x:c>
      <x:c r="AJ363" s="62">
        <x:v>0.258057879577561</x:v>
      </x:c>
      <x:c r="AK363" s="62">
        <x:v>0.424821697983816</x:v>
      </x:c>
      <x:c r="AL363" s="62">
        <x:v>1.22</x:v>
      </x:c>
      <x:c r="AM363" s="62">
        <x:v>1.45</x:v>
      </x:c>
      <x:c r="AN363" s="62">
        <x:v>0.000594953044628657</x:v>
      </x:c>
      <x:c r="AO363" s="62">
        <x:v>1.05336420566571</x:v>
      </x:c>
      <x:c r="AP363" s="62">
        <x:v>-0.253364205665705</x:v>
      </x:c>
      <x:c r="AQ363" s="62" t="s">
        <x:v>99</x:v>
      </x:c>
      <x:c r="AR363" s="49">
        <x:v>-0.25</x:v>
      </x:c>
      <x:c r="AS363" s="62">
        <x:v>0.424217895507126</x:v>
      </x:c>
      <x:c r="AT363" s="62">
        <x:v>0.446855946530041</x:v>
      </x:c>
      <x:c r="AU363" s="60">
        <x:v>3.01</x:v>
      </x:c>
      <x:c r="AV363" s="60">
        <x:v>3.55</x:v>
      </x:c>
      <x:c r="AW363" s="60">
        <x:v>2.01</x:v>
      </x:c>
      <x:c r="AX363" s="49" t="s">
        <x:v>1356</x:v>
      </x:c>
      <x:c r="AY363" s="49" t="s">
        <x:v>101</x:v>
      </x:c>
    </x:row>
    <x:row r="364" ht="22" customHeight="1">
      <x:c r="A364" s="49" t="s">
        <x:v>1518</x:v>
      </x:c>
      <x:c r="B364" s="49" t="s">
        <x:v>1528</x:v>
      </x:c>
      <x:c r="C364" s="49" t="s">
        <x:v>89</x:v>
      </x:c>
      <x:c r="D364" s="49" t="s">
        <x:v>116</x:v>
      </x:c>
      <x:c r="E364" s="49" t="s">
        <x:v>307</x:v>
      </x:c>
      <x:c r="F364" s="49" t="s">
        <x:v>1532</x:v>
      </x:c>
      <x:c r="G364" s="60">
        <x:v>0.82</x:v>
      </x:c>
      <x:c r="H364" s="60">
        <x:v>0</x:v>
      </x:c>
      <x:c r="I364" s="60">
        <x:v>0.88</x:v>
      </x:c>
      <x:c r="J364" s="49" t="s">
        <x:v>1533</x:v>
      </x:c>
      <x:c r="K364" s="49" t="s">
        <x:v>106</x:v>
      </x:c>
      <x:c r="L364" s="49" t="s">
        <x:v>1534</x:v>
      </x:c>
      <x:c r="M364" s="61">
        <x:v>0.576</x:v>
      </x:c>
      <x:c r="N364" s="49" t="s">
        <x:v>96</x:v>
      </x:c>
      <x:c r="O364" s="49" t="s">
        <x:v>934</x:v>
      </x:c>
      <x:c r="P364" s="49" t="s">
        <x:v>30</x:v>
      </x:c>
      <x:c r="Q364" s="49" t="s">
        <x:v>23</x:v>
      </x:c>
      <x:c r="R364" s="50">
        <x:v>0.82</x:v>
      </x:c>
      <x:c r="S364" s="50">
        <x:f t="shared" si="24"/>
        <x:v>-1</x:v>
      </x:c>
      <x:c r="T364" s="49" t="s">
        <x:v>1535</x:v>
      </x:c>
      <x:c r="U364" s="49" t="str">
        <x:f t="shared" si="22"/>
        <x:v>红</x:v>
      </x:c>
      <x:c r="V364" s="50">
        <x:f t="shared" si="23"/>
        <x:v>0.88</x:v>
      </x:c>
      <x:c r="W364" s="50">
        <x:f t="shared" si="25"/>
        <x:v>0.88</x:v>
      </x:c>
      <x:c r="X364" s="62">
        <x:v>0.82</x:v>
      </x:c>
      <x:c r="Y364" s="62">
        <x:v>0</x:v>
      </x:c>
      <x:c r="Z364" s="62">
        <x:v>0.88</x:v>
      </x:c>
      <x:c r="AA364" s="62">
        <x:v>0</x:v>
      </x:c>
      <x:c r="AB364" s="62">
        <x:v>0.82</x:v>
      </x:c>
      <x:c r="AC364" s="62">
        <x:v>0.82</x:v>
      </x:c>
      <x:c r="AD364" s="60">
        <x:v>2.31</x:v>
      </x:c>
      <x:c r="AE364" s="60">
        <x:v>3.61</x:v>
      </x:c>
      <x:c r="AF364" s="60">
        <x:v>2.46</x:v>
      </x:c>
      <x:c r="AG364" s="62">
        <x:v>0.116412808190391</x:v>
      </x:c>
      <x:c r="AH364" s="62">
        <x:v>0.0664128081903908</x:v>
      </x:c>
      <x:c r="AI364" s="62">
        <x:v>0.387760181291835</x:v>
      </x:c>
      <x:c r="AJ364" s="62">
        <x:v>0.248123550909734</x:v>
      </x:c>
      <x:c r="AK364" s="62">
        <x:v>0.364116267798431</x:v>
      </x:c>
      <x:c r="AL364" s="62">
        <x:v>1.47</x:v>
      </x:c>
      <x:c r="AM364" s="62">
        <x:v>1.42</x:v>
      </x:c>
      <x:c r="AN364" s="62">
        <x:v>0.000525325153056944</x:v>
      </x:c>
      <x:c r="AO364" s="62">
        <x:v>0.942240174132361</x:v>
      </x:c>
      <x:c r="AP364" s="62">
        <x:v>-0.122240174132361</x:v>
      </x:c>
      <x:c r="AQ364" s="62" t="s">
        <x:v>150</x:v>
      </x:c>
      <x:c r="AR364" s="49">
        <x:v>0</x:v>
      </x:c>
      <x:c r="AS364" s="62">
        <x:v>0.387098911738105</x:v>
      </x:c>
      <x:c r="AT364" s="62">
        <x:v>0.364740146002559</x:v>
      </x:c>
      <x:c r="AU364" s="60">
        <x:v>2.34</x:v>
      </x:c>
      <x:c r="AV364" s="60">
        <x:v>3.57</x:v>
      </x:c>
      <x:c r="AW364" s="60">
        <x:v>2.45</x:v>
      </x:c>
      <x:c r="AX364" s="49" t="s">
        <x:v>1356</x:v>
      </x:c>
      <x:c r="AY364" s="49" t="s">
        <x:v>101</x:v>
      </x:c>
    </x:row>
    <x:row r="365" ht="22" customHeight="1">
      <x:c r="A365" s="49" t="s">
        <x:v>1518</x:v>
      </x:c>
      <x:c r="B365" s="49" t="s">
        <x:v>1528</x:v>
      </x:c>
      <x:c r="C365" s="49" t="s">
        <x:v>89</x:v>
      </x:c>
      <x:c r="D365" s="49" t="s">
        <x:v>116</x:v>
      </x:c>
      <x:c r="E365" s="49" t="s">
        <x:v>307</x:v>
      </x:c>
      <x:c r="F365" s="49" t="s">
        <x:v>1536</x:v>
      </x:c>
      <x:c r="G365" s="60">
        <x:v>0.9</x:v>
      </x:c>
      <x:c r="H365" s="60">
        <x:v>-0.25</x:v>
      </x:c>
      <x:c r="I365" s="60">
        <x:v>0.8</x:v>
      </x:c>
      <x:c r="J365" s="49" t="s">
        <x:v>1448</x:v>
      </x:c>
      <x:c r="K365" s="49" t="s">
        <x:v>106</x:v>
      </x:c>
      <x:c r="L365" s="49" t="s">
        <x:v>1537</x:v>
      </x:c>
      <x:c r="M365" s="61">
        <x:v>0.576</x:v>
      </x:c>
      <x:c r="N365" s="49" t="s">
        <x:v>96</x:v>
      </x:c>
      <x:c r="O365" s="49" t="s">
        <x:v>934</x:v>
      </x:c>
      <x:c r="P365" s="49" t="s">
        <x:v>30</x:v>
      </x:c>
      <x:c r="Q365" s="49" t="s">
        <x:v>11</x:v>
      </x:c>
      <x:c r="R365" s="50">
        <x:v>0.8</x:v>
      </x:c>
      <x:c r="S365" s="50">
        <x:f t="shared" si="24"/>
        <x:v>0.8</x:v>
      </x:c>
      <x:c r="T365" s="49" t="s">
        <x:v>1538</x:v>
      </x:c>
      <x:c r="U365" s="49" t="str">
        <x:f t="shared" si="22"/>
        <x:v>黑</x:v>
      </x:c>
      <x:c r="V365" s="50">
        <x:f t="shared" si="23"/>
        <x:v>0.9</x:v>
      </x:c>
      <x:c r="W365" s="50">
        <x:f t="shared" si="25"/>
        <x:v>-1</x:v>
      </x:c>
      <x:c r="X365" s="62">
        <x:v>0.9</x:v>
      </x:c>
      <x:c r="Y365" s="62">
        <x:v>-0.25</x:v>
      </x:c>
      <x:c r="Z365" s="62">
        <x:v>0.8</x:v>
      </x:c>
      <x:c r="AA365" s="62">
        <x:v>-0.25</x:v>
      </x:c>
      <x:c r="AB365" s="62">
        <x:v>0.8</x:v>
      </x:c>
      <x:c r="AC365" s="62">
        <x:v>0.8</x:v>
      </x:c>
      <x:c r="AD365" s="60">
        <x:v>2.63</x:v>
      </x:c>
      <x:c r="AE365" s="60">
        <x:v>3.62</x:v>
      </x:c>
      <x:c r="AF365" s="60">
        <x:v>2.21</x:v>
      </x:c>
      <x:c r="AG365" s="62">
        <x:v>0.108959918587587</x:v>
      </x:c>
      <x:c r="AH365" s="62">
        <x:v>0.0589599185875867</x:v>
      </x:c>
      <x:c r="AI365" s="62">
        <x:v>0.342869142977144</x:v>
      </x:c>
      <x:c r="AJ365" s="62">
        <x:v>0.249101062439196</x:v>
      </x:c>
      <x:c r="AK365" s="62">
        <x:v>0.40802979458366</x:v>
      </x:c>
      <x:c r="AL365" s="62">
        <x:v>1.36</x:v>
      </x:c>
      <x:c r="AM365" s="62">
        <x:v>1.5</x:v>
      </x:c>
      <x:c r="AN365" s="62">
        <x:v>0.000942892192055941</x:v>
      </x:c>
      <x:c r="AO365" s="62">
        <x:v>1.15157439001296</x:v>
      </x:c>
      <x:c r="AP365" s="62">
        <x:v>-0.351574390012956</x:v>
      </x:c>
      <x:c r="AQ365" s="62" t="s">
        <x:v>99</x:v>
      </x:c>
      <x:c r="AR365" s="49">
        <x:v>-0.25</x:v>
      </x:c>
      <x:c r="AS365" s="62">
        <x:v>0.40689842331065</x:v>
      </x:c>
      <x:c r="AT365" s="62">
        <x:v>0.468573803621195</x:v>
      </x:c>
      <x:c r="AU365" s="60">
        <x:v>2.88</x:v>
      </x:c>
      <x:c r="AV365" s="60">
        <x:v>3.59</x:v>
      </x:c>
      <x:c r="AW365" s="60">
        <x:v>2.08</x:v>
      </x:c>
      <x:c r="AX365" s="49" t="s">
        <x:v>1356</x:v>
      </x:c>
      <x:c r="AY365" s="49" t="s">
        <x:v>101</x:v>
      </x:c>
    </x:row>
    <x:row r="366" ht="22" customHeight="1">
      <x:c r="A366" s="49" t="s">
        <x:v>1518</x:v>
      </x:c>
      <x:c r="B366" s="49" t="s">
        <x:v>1539</x:v>
      </x:c>
      <x:c r="C366" s="49" t="s">
        <x:v>244</x:v>
      </x:c>
      <x:c r="D366" s="49" t="s">
        <x:v>116</x:v>
      </x:c>
      <x:c r="E366" s="49" t="s">
        <x:v>674</x:v>
      </x:c>
      <x:c r="F366" s="49" t="s">
        <x:v>1540</x:v>
      </x:c>
      <x:c r="G366" s="60">
        <x:v>1</x:v>
      </x:c>
      <x:c r="H366" s="60">
        <x:v>-0.25</x:v>
      </x:c>
      <x:c r="I366" s="60">
        <x:v>0.82</x:v>
      </x:c>
      <x:c r="J366" s="49" t="s">
        <x:v>696</x:v>
      </x:c>
      <x:c r="K366" s="49" t="s">
        <x:v>106</x:v>
      </x:c>
      <x:c r="L366" s="49" t="s">
        <x:v>1541</x:v>
      </x:c>
      <x:c r="M366" s="61">
        <x:v>0.592</x:v>
      </x:c>
      <x:c r="N366" s="49" t="s">
        <x:v>96</x:v>
      </x:c>
      <x:c r="O366" s="49" t="s">
        <x:v>201</x:v>
      </x:c>
      <x:c r="P366" s="49" t="s">
        <x:v>30</x:v>
      </x:c>
      <x:c r="Q366" s="49" t="s">
        <x:v>23</x:v>
      </x:c>
      <x:c r="R366" s="50">
        <x:v>0.82</x:v>
      </x:c>
      <x:c r="S366" s="50">
        <x:f t="shared" si="24"/>
        <x:v>-1</x:v>
      </x:c>
      <x:c r="T366" s="49" t="s">
        <x:v>1542</x:v>
      </x:c>
      <x:c r="U366" s="49" t="str">
        <x:f t="shared" si="22"/>
        <x:v>红</x:v>
      </x:c>
      <x:c r="V366" s="50">
        <x:f t="shared" si="23"/>
        <x:v>1</x:v>
      </x:c>
      <x:c r="W366" s="50">
        <x:f t="shared" si="25"/>
        <x:v>1</x:v>
      </x:c>
      <x:c r="X366" s="62">
        <x:v>0.73</x:v>
      </x:c>
      <x:c r="Y366" s="62">
        <x:v>-0.25</x:v>
      </x:c>
      <x:c r="Z366" s="62">
        <x:v>0.97</x:v>
      </x:c>
      <x:c r="AA366" s="62">
        <x:v>-0.25</x:v>
      </x:c>
      <x:c r="AB366" s="62">
        <x:v>0.97</x:v>
      </x:c>
      <x:c r="AC366" s="62">
        <x:v>0.82</x:v>
      </x:c>
      <x:c r="AD366" s="60">
        <x:v>2.76</x:v>
      </x:c>
      <x:c r="AE366" s="60">
        <x:v>3.25</x:v>
      </x:c>
      <x:c r="AF366" s="60">
        <x:v>2.31</x:v>
      </x:c>
      <x:c r="AG366" s="62">
        <x:v>0.102911581172451</x:v>
      </x:c>
      <x:c r="AH366" s="62">
        <x:v>0.0529115811724508</x:v>
      </x:c>
      <x:c r="AI366" s="62">
        <x:v>0.328511230423881</x:v>
      </x:c>
      <x:c r="AJ366" s="62">
        <x:v>0.278981844913819</x:v>
      </x:c>
      <x:c r="AK366" s="62">
        <x:v>0.3925069246623</x:v>
      </x:c>
      <x:c r="AL366" s="62">
        <x:v>1.11</x:v>
      </x:c>
      <x:c r="AM366" s="62">
        <x:v>1.24</x:v>
      </x:c>
      <x:c r="AN366" s="62">
        <x:v>0.000303304256847849</x:v>
      </x:c>
      <x:c r="AO366" s="62">
        <x:v>1.19402857743074</x:v>
      </x:c>
      <x:c r="AP366" s="62">
        <x:v>-0.374028577430741</x:v>
      </x:c>
      <x:c r="AQ366" s="62" t="s">
        <x:v>99</x:v>
      </x:c>
      <x:c r="AR366" s="49">
        <x:v>-0.25</x:v>
      </x:c>
      <x:c r="AS366" s="62">
        <x:v>0.392123427286621</x:v>
      </x:c>
      <x:c r="AT366" s="62">
        <x:v>0.468206578060311</x:v>
      </x:c>
      <x:c r="AU366" s="60">
        <x:v>2.98</x:v>
      </x:c>
      <x:c r="AV366" s="60">
        <x:v>3.24</x:v>
      </x:c>
      <x:c r="AW366" s="60">
        <x:v>2.18</x:v>
      </x:c>
      <x:c r="AX366" s="49" t="s">
        <x:v>1356</x:v>
      </x:c>
      <x:c r="AY366" s="49" t="s">
        <x:v>101</x:v>
      </x:c>
    </x:row>
    <x:row r="367" ht="22" customHeight="1">
      <x:c r="A367" s="49" t="s">
        <x:v>1518</x:v>
      </x:c>
      <x:c r="B367" s="49" t="s">
        <x:v>1539</x:v>
      </x:c>
      <x:c r="C367" s="49" t="s">
        <x:v>244</x:v>
      </x:c>
      <x:c r="D367" s="49" t="s">
        <x:v>116</x:v>
      </x:c>
      <x:c r="E367" s="49" t="s">
        <x:v>674</x:v>
      </x:c>
      <x:c r="F367" s="49" t="s">
        <x:v>1543</x:v>
      </x:c>
      <x:c r="G367" s="60">
        <x:v>0.78</x:v>
      </x:c>
      <x:c r="H367" s="60">
        <x:v>0.75</x:v>
      </x:c>
      <x:c r="I367" s="60">
        <x:v>1.04</x:v>
      </x:c>
      <x:c r="J367" s="49" t="s">
        <x:v>1499</x:v>
      </x:c>
      <x:c r="K367" s="49" t="s">
        <x:v>106</x:v>
      </x:c>
      <x:c r="L367" s="49" t="s">
        <x:v>1544</x:v>
      </x:c>
      <x:c r="M367" s="61">
        <x:v>0.592</x:v>
      </x:c>
      <x:c r="N367" s="49" t="s">
        <x:v>96</x:v>
      </x:c>
      <x:c r="O367" s="49" t="s">
        <x:v>178</x:v>
      </x:c>
      <x:c r="P367" s="49" t="s">
        <x:v>30</x:v>
      </x:c>
      <x:c r="Q367" s="49" t="s">
        <x:v>14</x:v>
      </x:c>
      <x:c r="R367" s="50">
        <x:v>0.78</x:v>
      </x:c>
      <x:c r="S367" s="50">
        <x:f t="shared" si="24"/>
        <x:v>0.39</x:v>
      </x:c>
      <x:c r="T367" s="49" t="s">
        <x:v>1545</x:v>
      </x:c>
      <x:c r="U367" s="49" t="str">
        <x:f t="shared" ref="U367:U430" si="26">IF(Q367="","",IF(Q367="待结算","待结算",IF(Q367="红","黑",IF(Q367="半红","半黑",IF(Q367="走","走",IF(Q367="半黑","半红","红"))))))</x:f>
        <x:v>半黑</x:v>
      </x:c>
      <x:c r="V367" s="50" t="n">
        <x:f t="shared" ref="V367:V430" si="27">IF(OR(Q367="",Q367="待结算"),"",IF(L367=LEFT(F367,FIND(" vs ",F367)-1),I367,G367))</x:f>
        <x:v>1.04</x:v>
      </x:c>
      <x:c r="W367" s="50">
        <x:f t="shared" si="25"/>
        <x:v>-0.5</x:v>
      </x:c>
      <x:c r="X367" s="62">
        <x:v>0.87</x:v>
      </x:c>
      <x:c r="Y367" s="62">
        <x:v>0.75</x:v>
      </x:c>
      <x:c r="Z367" s="62">
        <x:v>0.83</x:v>
      </x:c>
      <x:c r="AA367" s="62">
        <x:v>-0.75</x:v>
      </x:c>
      <x:c r="AB367" s="62">
        <x:v>0.87</x:v>
      </x:c>
      <x:c r="AC367" s="62">
        <x:v>0.78</x:v>
      </x:c>
      <x:c r="AD367" s="60">
        <x:v>1.64</x:v>
      </x:c>
      <x:c r="AE367" s="60">
        <x:v>3.63</x:v>
      </x:c>
      <x:c r="AF367" s="60">
        <x:v>4.65</x:v>
      </x:c>
      <x:c r="AG367" s="62">
        <x:v>0.100291954665748</x:v>
      </x:c>
      <x:c r="AH367" s="62">
        <x:v>0.0502919546657477</x:v>
      </x:c>
      <x:c r="AI367" s="62">
        <x:v>0.554176639186833</x:v>
      </x:c>
      <x:c r="AJ367" s="62">
        <x:v>0.250371814949423</x:v>
      </x:c>
      <x:c r="AK367" s="62">
        <x:v>0.195451545863743</x:v>
      </x:c>
      <x:c r="AL367" s="62">
        <x:v>1.59</x:v>
      </x:c>
      <x:c r="AM367" s="62">
        <x:v>0.83</x:v>
      </x:c>
      <x:c r="AN367" s="62">
        <x:v>0.000612177884553044</x:v>
      </x:c>
      <x:c r="AO367" s="62">
        <x:v>1.05148254440095</x:v>
      </x:c>
      <x:c r="AP367" s="62">
        <x:v>-0.271482544400945</x:v>
      </x:c>
      <x:c r="AQ367" s="62" t="s">
        <x:v>99</x:v>
      </x:c>
      <x:c r="AR367" s="49">
        <x:v>-0.75</x:v>
      </x:c>
      <x:c r="AS367" s="62">
        <x:v>0.424665891184428</x:v>
      </x:c>
      <x:c r="AT367" s="62">
        <x:v>0.446528771782898</x:v>
      </x:c>
      <x:c r="AU367" s="60">
        <x:v>1.56</x:v>
      </x:c>
      <x:c r="AV367" s="60">
        <x:v>3.72</x:v>
      </x:c>
      <x:c r="AW367" s="60">
        <x:v>5.23</x:v>
      </x:c>
      <x:c r="AX367" s="49" t="s">
        <x:v>1356</x:v>
      </x:c>
      <x:c r="AY367" s="49" t="s">
        <x:v>101</x:v>
      </x:c>
    </x:row>
    <x:row r="368" ht="22" customHeight="1">
      <x:c r="A368" s="49" t="s">
        <x:v>1518</x:v>
      </x:c>
      <x:c r="B368" s="49" t="s">
        <x:v>1539</x:v>
      </x:c>
      <x:c r="C368" s="49" t="s">
        <x:v>244</x:v>
      </x:c>
      <x:c r="D368" s="49" t="s">
        <x:v>116</x:v>
      </x:c>
      <x:c r="E368" s="49" t="s">
        <x:v>674</x:v>
      </x:c>
      <x:c r="F368" s="49" t="s">
        <x:v>1546</x:v>
      </x:c>
      <x:c r="G368" s="60">
        <x:v>0.79</x:v>
      </x:c>
      <x:c r="H368" s="60">
        <x:v>0.75</x:v>
      </x:c>
      <x:c r="I368" s="60">
        <x:v>1.03</x:v>
      </x:c>
      <x:c r="J368" s="49" t="s">
        <x:v>1547</x:v>
      </x:c>
      <x:c r="K368" s="49" t="s">
        <x:v>106</x:v>
      </x:c>
      <x:c r="L368" s="49" t="s">
        <x:v>1548</x:v>
      </x:c>
      <x:c r="M368" s="61">
        <x:v>0.592</x:v>
      </x:c>
      <x:c r="N368" s="49" t="s">
        <x:v>96</x:v>
      </x:c>
      <x:c r="O368" s="49" t="s">
        <x:v>201</x:v>
      </x:c>
      <x:c r="P368" s="49" t="s">
        <x:v>30</x:v>
      </x:c>
      <x:c r="Q368" s="49" t="s">
        <x:v>14</x:v>
      </x:c>
      <x:c r="R368" s="50">
        <x:v>0.79</x:v>
      </x:c>
      <x:c r="S368" s="50">
        <x:f t="shared" si="24"/>
        <x:v>0.395</x:v>
      </x:c>
      <x:c r="T368" s="49" t="s">
        <x:v>1549</x:v>
      </x:c>
      <x:c r="U368" s="49" t="str">
        <x:f t="shared" si="26"/>
        <x:v>半黑</x:v>
      </x:c>
      <x:c r="V368" s="50">
        <x:f t="shared" si="27"/>
        <x:v>1.03</x:v>
      </x:c>
      <x:c r="W368" s="50">
        <x:f t="shared" si="25"/>
        <x:v>-0.5</x:v>
      </x:c>
      <x:c r="X368" s="62">
        <x:v>0.79</x:v>
      </x:c>
      <x:c r="Y368" s="62">
        <x:v>0.75</x:v>
      </x:c>
      <x:c r="Z368" s="62">
        <x:v>0.91</x:v>
      </x:c>
      <x:c r="AA368" s="62">
        <x:v>-0.75</x:v>
      </x:c>
      <x:c r="AB368" s="62">
        <x:v>0.79</x:v>
      </x:c>
      <x:c r="AC368" s="62">
        <x:v>0.79</x:v>
      </x:c>
      <x:c r="AD368" s="60">
        <x:v>1.68</x:v>
      </x:c>
      <x:c r="AE368" s="60">
        <x:v>3.68</x:v>
      </x:c>
      <x:c r="AF368" s="60">
        <x:v>4.28</x:v>
      </x:c>
      <x:c r="AG368" s="62">
        <x:v>0.100622085485962</x:v>
      </x:c>
      <x:c r="AH368" s="62">
        <x:v>0.0506220854859619</x:v>
      </x:c>
      <x:c r="AI368" s="62">
        <x:v>0.54081969014394</x:v>
      </x:c>
      <x:c r="AJ368" s="62">
        <x:v>0.246895945500495</x:v>
      </x:c>
      <x:c r="AK368" s="62">
        <x:v>0.212284364355565</x:v>
      </x:c>
      <x:c r="AL368" s="62">
        <x:v>1.63</x:v>
      </x:c>
      <x:c r="AM368" s="62">
        <x:v>0.92</x:v>
      </x:c>
      <x:c r="AN368" s="62">
        <x:v>0.000175245499291766</x:v>
      </x:c>
      <x:c r="AO368" s="62">
        <x:v>1.10504358100411</x:v>
      </x:c>
      <x:c r="AP368" s="62">
        <x:v>-0.315043581004108</x:v>
      </x:c>
      <x:c r="AQ368" s="62" t="s">
        <x:v>99</x:v>
      </x:c>
      <x:c r="AR368" s="49">
        <x:v>-0.75</x:v>
      </x:c>
      <x:c r="AS368" s="62">
        <x:v>0.415723191403004</x:v>
      </x:c>
      <x:c r="AT368" s="62">
        <x:v>0.459392244134432</x:v>
      </x:c>
      <x:c r="AU368" s="60">
        <x:v>1.62</x:v>
      </x:c>
      <x:c r="AV368" s="60">
        <x:v>3.76</x:v>
      </x:c>
      <x:c r="AW368" s="60">
        <x:v>4.63</x:v>
      </x:c>
      <x:c r="AX368" s="49" t="s">
        <x:v>1356</x:v>
      </x:c>
      <x:c r="AY368" s="49" t="s">
        <x:v>101</x:v>
      </x:c>
    </x:row>
    <x:row r="369" ht="22" customHeight="1">
      <x:c r="A369" s="49" t="s">
        <x:v>1518</x:v>
      </x:c>
      <x:c r="B369" s="49" t="s">
        <x:v>1539</x:v>
      </x:c>
      <x:c r="C369" s="49" t="s">
        <x:v>244</x:v>
      </x:c>
      <x:c r="D369" s="49" t="s">
        <x:v>116</x:v>
      </x:c>
      <x:c r="E369" s="49" t="s">
        <x:v>678</x:v>
      </x:c>
      <x:c r="F369" s="49" t="s">
        <x:v>1550</x:v>
      </x:c>
      <x:c r="G369" s="60">
        <x:v>0.82</x:v>
      </x:c>
      <x:c r="H369" s="60">
        <x:v>0.5</x:v>
      </x:c>
      <x:c r="I369" s="60">
        <x:v>0.94</x:v>
      </x:c>
      <x:c r="J369" s="49" t="s">
        <x:v>932</x:v>
      </x:c>
      <x:c r="K369" s="49" t="s">
        <x:v>106</x:v>
      </x:c>
      <x:c r="L369" s="49" t="s">
        <x:v>1551</x:v>
      </x:c>
      <x:c r="M369" s="61">
        <x:v>0.592</x:v>
      </x:c>
      <x:c r="N369" s="49" t="s">
        <x:v>96</x:v>
      </x:c>
      <x:c r="O369" s="49" t="s">
        <x:v>201</x:v>
      </x:c>
      <x:c r="P369" s="49" t="s">
        <x:v>30</x:v>
      </x:c>
      <x:c r="Q369" s="49" t="s">
        <x:v>11</x:v>
      </x:c>
      <x:c r="R369" s="50">
        <x:v>0.82</x:v>
      </x:c>
      <x:c r="S369" s="50">
        <x:f t="shared" si="24"/>
        <x:v>0.82</x:v>
      </x:c>
      <x:c r="T369" s="49" t="s">
        <x:v>1552</x:v>
      </x:c>
      <x:c r="U369" s="49" t="str">
        <x:f t="shared" si="26"/>
        <x:v>黑</x:v>
      </x:c>
      <x:c r="V369" s="50">
        <x:f t="shared" si="27"/>
        <x:v>0.94</x:v>
      </x:c>
      <x:c r="W369" s="50">
        <x:f t="shared" si="25"/>
        <x:v>-1</x:v>
      </x:c>
      <x:c r="X369" s="62">
        <x:v>0.93</x:v>
      </x:c>
      <x:c r="Y369" s="62">
        <x:v>0.25</x:v>
      </x:c>
      <x:c r="Z369" s="62">
        <x:v>0.77</x:v>
      </x:c>
      <x:c r="AA369" s="62">
        <x:v>-0.25</x:v>
      </x:c>
      <x:c r="AB369" s="62">
        <x:v>0.93</x:v>
      </x:c>
      <x:c r="AC369" s="62">
        <x:v>0.82</x:v>
      </x:c>
      <x:c r="AD369" s="60">
        <x:v>2.28</x:v>
      </x:c>
      <x:c r="AE369" s="60">
        <x:v>3.29</x:v>
      </x:c>
      <x:c r="AF369" s="60">
        <x:v>2.92</x:v>
      </x:c>
      <x:c r="AG369" s="62">
        <x:v>0.0850136124338827</x:v>
      </x:c>
      <x:c r="AH369" s="62">
        <x:v>0.0350136124338827</x:v>
      </x:c>
      <x:c r="AI369" s="62">
        <x:v>0.404231325950113</x:v>
      </x:c>
      <x:c r="AJ369" s="62">
        <x:v>0.280135994883361</x:v>
      </x:c>
      <x:c r="AK369" s="62">
        <x:v>0.315632679166526</x:v>
      </x:c>
      <x:c r="AL369" s="62">
        <x:v>1.25</x:v>
      </x:c>
      <x:c r="AM369" s="62">
        <x:v>1.07</x:v>
      </x:c>
      <x:c r="AN369" s="62">
        <x:v>0.000453666712071733</x:v>
      </x:c>
      <x:c r="AO369" s="62">
        <x:v>1.47619082866283</x:v>
      </x:c>
      <x:c r="AP369" s="62">
        <x:v>-0.65619082866283</x:v>
      </x:c>
      <x:c r="AQ369" s="62" t="s">
        <x:v>99</x:v>
      </x:c>
      <x:c r="AR369" s="49">
        <x:v>-0.5</x:v>
      </x:c>
      <x:c r="AS369" s="62">
        <x:v>0.403846096360841</x:v>
      </x:c>
      <x:c r="AT369" s="62">
        <x:v>0.596153903639159</x:v>
      </x:c>
      <x:c r="AU369" s="60">
        <x:v>1.93</x:v>
      </x:c>
      <x:c r="AV369" s="60">
        <x:v>3.51</x:v>
      </x:c>
      <x:c r="AW369" s="60">
        <x:v>3.66</x:v>
      </x:c>
      <x:c r="AX369" s="49" t="s">
        <x:v>1356</x:v>
      </x:c>
      <x:c r="AY369" s="49" t="s">
        <x:v>101</x:v>
      </x:c>
    </x:row>
    <x:row r="370" ht="22" customHeight="1">
      <x:c r="A370" s="49" t="s">
        <x:v>1518</x:v>
      </x:c>
      <x:c r="B370" s="49" t="s">
        <x:v>1539</x:v>
      </x:c>
      <x:c r="C370" s="49" t="s">
        <x:v>333</x:v>
      </x:c>
      <x:c r="D370" s="49" t="s">
        <x:v>116</x:v>
      </x:c>
      <x:c r="E370" s="49" t="s">
        <x:v>953</x:v>
      </x:c>
      <x:c r="F370" s="49" t="s">
        <x:v>1553</x:v>
      </x:c>
      <x:c r="G370" s="60">
        <x:v>0.89</x:v>
      </x:c>
      <x:c r="H370" s="60">
        <x:v>-0.25</x:v>
      </x:c>
      <x:c r="I370" s="60">
        <x:v>0.81</x:v>
      </x:c>
      <x:c r="J370" s="49" t="s">
        <x:v>1554</x:v>
      </x:c>
      <x:c r="K370" s="49" t="s">
        <x:v>106</x:v>
      </x:c>
      <x:c r="L370" s="49" t="s">
        <x:v>1555</x:v>
      </x:c>
      <x:c r="M370" s="61">
        <x:v>0.584</x:v>
      </x:c>
      <x:c r="N370" s="49" t="s">
        <x:v>96</x:v>
      </x:c>
      <x:c r="O370" s="49" t="s">
        <x:v>201</x:v>
      </x:c>
      <x:c r="P370" s="49" t="s">
        <x:v>30</x:v>
      </x:c>
      <x:c r="Q370" s="49" t="s">
        <x:v>23</x:v>
      </x:c>
      <x:c r="R370" s="50">
        <x:v>0.81</x:v>
      </x:c>
      <x:c r="S370" s="50">
        <x:f t="shared" si="24"/>
        <x:v>-1</x:v>
      </x:c>
      <x:c r="T370" s="49" t="s">
        <x:v>1556</x:v>
      </x:c>
      <x:c r="U370" s="49" t="str">
        <x:f t="shared" si="26"/>
        <x:v>红</x:v>
      </x:c>
      <x:c r="V370" s="50">
        <x:f t="shared" si="27"/>
        <x:v>0.89</x:v>
      </x:c>
      <x:c r="W370" s="50">
        <x:f t="shared" si="25"/>
        <x:v>0.89</x:v>
      </x:c>
      <x:c r="X370" s="62">
        <x:v>0.76</x:v>
      </x:c>
      <x:c r="Y370" s="62">
        <x:v>-0.25</x:v>
      </x:c>
      <x:c r="Z370" s="62">
        <x:v>0.94</x:v>
      </x:c>
      <x:c r="AA370" s="62">
        <x:v>-0.25</x:v>
      </x:c>
      <x:c r="AB370" s="62">
        <x:v>0.94</x:v>
      </x:c>
      <x:c r="AC370" s="62">
        <x:v>0.81</x:v>
      </x:c>
      <x:c r="AD370" s="60">
        <x:v>2.96</x:v>
      </x:c>
      <x:c r="AE370" s="60">
        <x:v>3.08</x:v>
      </x:c>
      <x:c r="AF370" s="60">
        <x:v>2.26</x:v>
      </x:c>
      <x:c r="AG370" s="62">
        <x:v>0.104991038619357</x:v>
      </x:c>
      <x:c r="AH370" s="62">
        <x:v>0.0549910386193571</x:v>
      </x:c>
      <x:c r="AI370" s="62">
        <x:v>0.305738079342212</x:v>
      </x:c>
      <x:c r="AJ370" s="62">
        <x:v>0.293826206121087</x:v>
      </x:c>
      <x:c r="AK370" s="62">
        <x:v>0.400435714536702</x:v>
      </x:c>
      <x:c r="AL370" s="62">
        <x:v>0.98</x:v>
      </x:c>
      <x:c r="AM370" s="62">
        <x:v>1.17</x:v>
      </x:c>
      <x:c r="AN370" s="62">
        <x:v>0.000721691799541583</x:v>
      </x:c>
      <x:c r="AO370" s="62">
        <x:v>1.12549598236548</x:v>
      </x:c>
      <x:c r="AP370" s="62">
        <x:v>-0.315495982365478</x:v>
      </x:c>
      <x:c r="AQ370" s="62" t="s">
        <x:v>99</x:v>
      </x:c>
      <x:c r="AR370" s="49">
        <x:v>-0.25</x:v>
      </x:c>
      <x:c r="AS370" s="62">
        <x:v>0.401418378009055</x:v>
      </x:c>
      <x:c r="AT370" s="62">
        <x:v>0.451794771696858</x:v>
      </x:c>
      <x:c r="AU370" s="60">
        <x:v>3.21</x:v>
      </x:c>
      <x:c r="AV370" s="60">
        <x:v>3.07</x:v>
      </x:c>
      <x:c r="AW370" s="60">
        <x:v>2.13</x:v>
      </x:c>
      <x:c r="AX370" s="49" t="s">
        <x:v>1356</x:v>
      </x:c>
      <x:c r="AY370" s="49" t="s">
        <x:v>101</x:v>
      </x:c>
    </x:row>
    <x:row r="371" ht="22" customHeight="1">
      <x:c r="A371" s="49" t="s">
        <x:v>1518</x:v>
      </x:c>
      <x:c r="B371" s="49" t="s">
        <x:v>1557</x:v>
      </x:c>
      <x:c r="C371" s="49" t="s">
        <x:v>333</x:v>
      </x:c>
      <x:c r="D371" s="49" t="s">
        <x:v>116</x:v>
      </x:c>
      <x:c r="E371" s="49" t="s">
        <x:v>568</x:v>
      </x:c>
      <x:c r="F371" s="49" t="s">
        <x:v>1558</x:v>
      </x:c>
      <x:c r="G371" s="60">
        <x:v>1.06</x:v>
      </x:c>
      <x:c r="H371" s="60">
        <x:v>0</x:v>
      </x:c>
      <x:c r="I371" s="60">
        <x:v>0.82</x:v>
      </x:c>
      <x:c r="J371" s="49" t="s">
        <x:v>1559</x:v>
      </x:c>
      <x:c r="K371" s="49" t="s">
        <x:v>106</x:v>
      </x:c>
      <x:c r="L371" s="49" t="s">
        <x:v>1560</x:v>
      </x:c>
      <x:c r="M371" s="61">
        <x:v>0.584</x:v>
      </x:c>
      <x:c r="N371" s="49" t="s">
        <x:v>96</x:v>
      </x:c>
      <x:c r="O371" s="49" t="s">
        <x:v>273</x:v>
      </x:c>
      <x:c r="P371" s="49" t="s">
        <x:v>30</x:v>
      </x:c>
      <x:c r="Q371" s="49" t="s">
        <x:v>17</x:v>
      </x:c>
      <x:c r="R371" s="50">
        <x:v>0.82</x:v>
      </x:c>
      <x:c r="S371" s="50">
        <x:f t="shared" si="24"/>
        <x:v>0</x:v>
      </x:c>
      <x:c r="T371" s="49" t="s">
        <x:v>1561</x:v>
      </x:c>
      <x:c r="U371" s="49" t="str">
        <x:f t="shared" si="26"/>
        <x:v>走</x:v>
      </x:c>
      <x:c r="V371" s="50">
        <x:f t="shared" si="27"/>
        <x:v>1.06</x:v>
      </x:c>
      <x:c r="W371" s="50">
        <x:f t="shared" si="25"/>
        <x:v>0</x:v>
      </x:c>
      <x:c r="X371" s="62">
        <x:v>1.05</x:v>
      </x:c>
      <x:c r="Y371" s="62">
        <x:v>0</x:v>
      </x:c>
      <x:c r="Z371" s="62">
        <x:v>0.83</x:v>
      </x:c>
      <x:c r="AA371" s="62">
        <x:v>0</x:v>
      </x:c>
      <x:c r="AB371" s="62">
        <x:v>0.83</x:v>
      </x:c>
      <x:c r="AC371" s="62">
        <x:v>0.82</x:v>
      </x:c>
      <x:c r="AD371" s="60">
        <x:v>2.71</x:v>
      </x:c>
      <x:c r="AE371" s="60">
        <x:v>3.49</x:v>
      </x:c>
      <x:c r="AF371" s="60">
        <x:v>2.34</x:v>
      </x:c>
      <x:c r="AG371" s="62">
        <x:v>0.082887068676726</x:v>
      </x:c>
      <x:c r="AH371" s="62">
        <x:v>0.032887068676726</x:v>
      </x:c>
      <x:c r="AI371" s="62">
        <x:v>0.340759161975974</x:v>
      </x:c>
      <x:c r="AJ371" s="62">
        <x:v>0.264600953855269</x:v>
      </x:c>
      <x:c r="AK371" s="62">
        <x:v>0.394639884168756</x:v>
      </x:c>
      <x:c r="AL371" s="62">
        <x:v>1.23</x:v>
      </x:c>
      <x:c r="AM371" s="62">
        <x:v>1.34</x:v>
      </x:c>
      <x:c r="AN371" s="62">
        <x:v>0.000966227966003116</x:v>
      </x:c>
      <x:c r="AO371" s="62">
        <x:v>0.868343861754293</x:v>
      </x:c>
      <x:c r="AP371" s="62">
        <x:v>-0.0483438617542932</x:v>
      </x:c>
      <x:c r="AQ371" s="62" t="s">
        <x:v>174</x:v>
      </x:c>
      <x:c r="AR371" s="49">
        <x:v>0</x:v>
      </x:c>
      <x:c r="AS371" s="62">
        <x:v>0.393274978732116</x:v>
      </x:c>
      <x:c r="AT371" s="62">
        <x:v>0.341497913763584</x:v>
      </x:c>
      <x:c r="AU371" s="60">
        <x:v>2.71</x:v>
      </x:c>
      <x:c r="AV371" s="60">
        <x:v>3.54</x:v>
      </x:c>
      <x:c r="AW371" s="60">
        <x:v>2.38</x:v>
      </x:c>
      <x:c r="AX371" s="49" t="s">
        <x:v>1356</x:v>
      </x:c>
      <x:c r="AY371" s="49" t="s">
        <x:v>101</x:v>
      </x:c>
    </x:row>
    <x:row r="372" ht="22" customHeight="1">
      <x:c r="A372" s="49" t="s">
        <x:v>1518</x:v>
      </x:c>
      <x:c r="B372" s="49" t="s">
        <x:v>1562</x:v>
      </x:c>
      <x:c r="C372" s="49" t="s">
        <x:v>333</x:v>
      </x:c>
      <x:c r="D372" s="49" t="s">
        <x:v>116</x:v>
      </x:c>
      <x:c r="E372" s="49" t="s">
        <x:v>156</x:v>
      </x:c>
      <x:c r="F372" s="49" t="s">
        <x:v>1563</x:v>
      </x:c>
      <x:c r="G372" s="60">
        <x:v>0.81</x:v>
      </x:c>
      <x:c r="H372" s="60">
        <x:v>-0.5</x:v>
      </x:c>
      <x:c r="I372" s="60">
        <x:v>1.07</x:v>
      </x:c>
      <x:c r="J372" s="49" t="s">
        <x:v>1564</x:v>
      </x:c>
      <x:c r="K372" s="49" t="s">
        <x:v>189</x:v>
      </x:c>
      <x:c r="L372" s="49" t="s">
        <x:v>186</x:v>
      </x:c>
      <x:c r="M372" s="61">
        <x:v>0.529</x:v>
      </x:c>
      <x:c r="N372" s="49" t="s">
        <x:v>96</x:v>
      </x:c>
      <x:c r="O372" s="49" t="s">
        <x:v>169</x:v>
      </x:c>
      <x:c r="P372" s="49" t="s">
        <x:v>30</x:v>
      </x:c>
      <x:c r="Q372" s="49" t="s">
        <x:v>11</x:v>
      </x:c>
      <x:c r="R372" s="50">
        <x:v>1.07</x:v>
      </x:c>
      <x:c r="S372" s="50">
        <x:f t="shared" si="24"/>
        <x:v>1.07</x:v>
      </x:c>
      <x:c r="T372" s="49" t="s">
        <x:v>1565</x:v>
      </x:c>
      <x:c r="U372" s="49" t="str">
        <x:f t="shared" si="26"/>
        <x:v>黑</x:v>
      </x:c>
      <x:c r="V372" s="50">
        <x:f t="shared" si="27"/>
        <x:v>0.81</x:v>
      </x:c>
      <x:c r="W372" s="50">
        <x:f t="shared" si="25"/>
        <x:v>-1</x:v>
      </x:c>
      <x:c r="X372" s="62">
        <x:v>0.98</x:v>
      </x:c>
      <x:c r="Y372" s="62">
        <x:v>-0.25</x:v>
      </x:c>
      <x:c r="Z372" s="62">
        <x:v>0.9</x:v>
      </x:c>
      <x:c r="AA372" s="62">
        <x:v>-0.25</x:v>
      </x:c>
      <x:c r="AB372" s="62">
        <x:v>0.9</x:v>
      </x:c>
      <x:c r="AC372" s="62">
        <x:v>1.07</x:v>
      </x:c>
      <x:c r="AD372" s="60">
        <x:v>3.15</x:v>
      </x:c>
      <x:c r="AE372" s="60">
        <x:v>3.3</x:v>
      </x:c>
      <x:c r="AF372" s="60">
        <x:v>2.19</x:v>
      </x:c>
      <x:c r="AG372" s="62">
        <x:v>0.0771116250568304</x:v>
      </x:c>
      <x:c r="AH372" s="62">
        <x:v>0.0271116250568304</x:v>
      </x:c>
      <x:c r="AI372" s="62">
        <x:v>0.29473297852817</x:v>
      </x:c>
      <x:c r="AJ372" s="62">
        <x:v>0.281336024958708</x:v>
      </x:c>
      <x:c r="AK372" s="62">
        <x:v>0.423930996513122</x:v>
      </x:c>
      <x:c r="AL372" s="62">
        <x:v>1.01</x:v>
      </x:c>
      <x:c r="AM372" s="62">
        <x:v>1.27</x:v>
      </x:c>
      <x:c r="AN372" s="62">
        <x:v>0.00058086656271047</x:v>
      </x:c>
      <x:c r="AO372" s="62">
        <x:v>1.36277017879343</x:v>
      </x:c>
      <x:c r="AP372" s="62">
        <x:v>-0.292770178793432</x:v>
      </x:c>
      <x:c r="AQ372" s="62" t="s">
        <x:v>99</x:v>
      </x:c>
      <x:c r="AR372" s="49">
        <x:v>-0.5</x:v>
      </x:c>
      <x:c r="AS372" s="62">
        <x:v>0.423232021876397</x:v>
      </x:c>
      <x:c r="AT372" s="62">
        <x:v>0.576767978123603</x:v>
      </x:c>
      <x:c r="AU372" s="60">
        <x:v>3.55</x:v>
      </x:c>
      <x:c r="AV372" s="60">
        <x:v>3.27</x:v>
      </x:c>
      <x:c r="AW372" s="60">
        <x:v>2.09</x:v>
      </x:c>
      <x:c r="AX372" s="49" t="s">
        <x:v>1356</x:v>
      </x:c>
      <x:c r="AY372" s="49" t="s">
        <x:v>101</x:v>
      </x:c>
    </x:row>
    <x:row r="373" ht="22" customHeight="1">
      <x:c r="A373" s="49" t="s">
        <x:v>1518</x:v>
      </x:c>
      <x:c r="B373" s="49" t="s">
        <x:v>1562</x:v>
      </x:c>
      <x:c r="C373" s="49" t="s">
        <x:v>333</x:v>
      </x:c>
      <x:c r="D373" s="49" t="s">
        <x:v>116</x:v>
      </x:c>
      <x:c r="E373" s="49" t="s">
        <x:v>145</x:v>
      </x:c>
      <x:c r="F373" s="49" t="s">
        <x:v>1566</x:v>
      </x:c>
      <x:c r="G373" s="60">
        <x:v>1.03</x:v>
      </x:c>
      <x:c r="H373" s="60">
        <x:v>0.25</x:v>
      </x:c>
      <x:c r="I373" s="60">
        <x:v>0.79</x:v>
      </x:c>
      <x:c r="J373" s="49" t="s">
        <x:v>1567</x:v>
      </x:c>
      <x:c r="K373" s="49" t="s">
        <x:v>189</x:v>
      </x:c>
      <x:c r="L373" s="49" t="s">
        <x:v>1568</x:v>
      </x:c>
      <x:c r="M373" s="61">
        <x:v>0.529</x:v>
      </x:c>
      <x:c r="N373" s="49" t="s">
        <x:v>96</x:v>
      </x:c>
      <x:c r="O373" s="49" t="s">
        <x:v>642</x:v>
      </x:c>
      <x:c r="P373" s="49" t="s">
        <x:v>30</x:v>
      </x:c>
      <x:c r="Q373" s="49" t="s">
        <x:v>23</x:v>
      </x:c>
      <x:c r="R373" s="50">
        <x:v>1.03</x:v>
      </x:c>
      <x:c r="S373" s="50">
        <x:f t="shared" si="24"/>
        <x:v>-1</x:v>
      </x:c>
      <x:c r="T373" s="49" t="s">
        <x:v>1569</x:v>
      </x:c>
      <x:c r="U373" s="49" t="str">
        <x:f t="shared" si="26"/>
        <x:v>红</x:v>
      </x:c>
      <x:c r="V373" s="50">
        <x:f t="shared" si="27"/>
        <x:v>0.79</x:v>
      </x:c>
      <x:c r="W373" s="50">
        <x:f t="shared" si="25"/>
        <x:v>0.79</x:v>
      </x:c>
      <x:c r="X373" s="62">
        <x:v>0.94</x:v>
      </x:c>
      <x:c r="Y373" s="62">
        <x:v>0</x:v>
      </x:c>
      <x:c r="Z373" s="62">
        <x:v>0.88</x:v>
      </x:c>
      <x:c r="AA373" s="62">
        <x:v>0</x:v>
      </x:c>
      <x:c r="AB373" s="62">
        <x:v>0.94</x:v>
      </x:c>
      <x:c r="AC373" s="62">
        <x:v>1.03</x:v>
      </x:c>
      <x:c r="AD373" s="60">
        <x:v>2.57</x:v>
      </x:c>
      <x:c r="AE373" s="60">
        <x:v>3.35</x:v>
      </x:c>
      <x:c r="AF373" s="60">
        <x:v>2.49</x:v>
      </x:c>
      <x:c r="AG373" s="62">
        <x:v>0.089218946755137</x:v>
      </x:c>
      <x:c r="AH373" s="62">
        <x:v>0.039218946755137</x:v>
      </x:c>
      <x:c r="AI373" s="62">
        <x:v>0.357233097647568</x:v>
      </x:c>
      <x:c r="AJ373" s="62">
        <x:v>0.274056436105746</x:v>
      </x:c>
      <x:c r="AK373" s="62">
        <x:v>0.368710466246686</x:v>
      </x:c>
      <x:c r="AL373" s="62">
        <x:v>1.21</x:v>
      </x:c>
      <x:c r="AM373" s="62">
        <x:v>1.23</x:v>
      </x:c>
      <x:c r="AN373" s="62">
        <x:v>0.000759201026850889</x:v>
      </x:c>
      <x:c r="AO373" s="62">
        <x:v>1.40921976687022</x:v>
      </x:c>
      <x:c r="AP373" s="62">
        <x:v>-0.379219766870224</x:v>
      </x:c>
      <x:c r="AQ373" s="62" t="s">
        <x:v>99</x:v>
      </x:c>
      <x:c r="AR373" s="49">
        <x:v>-0.25</x:v>
      </x:c>
      <x:c r="AS373" s="62">
        <x:v>0.358224148099767</x:v>
      </x:c>
      <x:c r="AT373" s="62">
        <x:v>0.504816550472439</x:v>
      </x:c>
      <x:c r="AU373" s="60">
        <x:v>2.37</x:v>
      </x:c>
      <x:c r="AV373" s="60">
        <x:v>3.39</x:v>
      </x:c>
      <x:c r="AW373" s="60">
        <x:v>2.76</x:v>
      </x:c>
      <x:c r="AX373" s="49" t="s">
        <x:v>1356</x:v>
      </x:c>
      <x:c r="AY373" s="49" t="s">
        <x:v>101</x:v>
      </x:c>
    </x:row>
    <x:row r="374" ht="22" customHeight="1">
      <x:c r="A374" s="49" t="s">
        <x:v>1518</x:v>
      </x:c>
      <x:c r="B374" s="49" t="s">
        <x:v>1570</x:v>
      </x:c>
      <x:c r="C374" s="49" t="s">
        <x:v>244</x:v>
      </x:c>
      <x:c r="D374" s="49" t="s">
        <x:v>116</x:v>
      </x:c>
      <x:c r="E374" s="49" t="s">
        <x:v>678</x:v>
      </x:c>
      <x:c r="F374" s="49" t="s">
        <x:v>1571</x:v>
      </x:c>
      <x:c r="G374" s="60">
        <x:v>0.99</x:v>
      </x:c>
      <x:c r="H374" s="60">
        <x:v>0</x:v>
      </x:c>
      <x:c r="I374" s="60">
        <x:v>0.77</x:v>
      </x:c>
      <x:c r="J374" s="49" t="s">
        <x:v>1572</x:v>
      </x:c>
      <x:c r="K374" s="49" t="s">
        <x:v>106</x:v>
      </x:c>
      <x:c r="L374" s="49" t="s">
        <x:v>1573</x:v>
      </x:c>
      <x:c r="M374" s="61">
        <x:v>0.592</x:v>
      </x:c>
      <x:c r="N374" s="49" t="s">
        <x:v>96</x:v>
      </x:c>
      <x:c r="O374" s="49" t="s">
        <x:v>126</x:v>
      </x:c>
      <x:c r="P374" s="49" t="s">
        <x:v>30</x:v>
      </x:c>
      <x:c r="Q374" s="49" t="s">
        <x:v>17</x:v>
      </x:c>
      <x:c r="R374" s="50">
        <x:v>0.77</x:v>
      </x:c>
      <x:c r="S374" s="50">
        <x:f t="shared" si="24"/>
        <x:v>0</x:v>
      </x:c>
      <x:c r="T374" s="49" t="s">
        <x:v>1574</x:v>
      </x:c>
      <x:c r="U374" s="49" t="str">
        <x:f t="shared" si="26"/>
        <x:v>走</x:v>
      </x:c>
      <x:c r="V374" s="50">
        <x:f t="shared" si="27"/>
        <x:v>0.99</x:v>
      </x:c>
      <x:c r="W374" s="50">
        <x:f t="shared" si="25"/>
        <x:v>0</x:v>
      </x:c>
      <x:c r="X374" s="62">
        <x:v>0.9</x:v>
      </x:c>
      <x:c r="Y374" s="62">
        <x:v>0</x:v>
      </x:c>
      <x:c r="Z374" s="62">
        <x:v>0.8</x:v>
      </x:c>
      <x:c r="AA374" s="62">
        <x:v>0</x:v>
      </x:c>
      <x:c r="AB374" s="62">
        <x:v>0.8</x:v>
      </x:c>
      <x:c r="AC374" s="62">
        <x:v>0.77</x:v>
      </x:c>
      <x:c r="AD374" s="60">
        <x:v>2.64</x:v>
      </x:c>
      <x:c r="AE374" s="60">
        <x:v>3.54</x:v>
      </x:c>
      <x:c r="AF374" s="60">
        <x:v>2.35</x:v>
      </x:c>
      <x:c r="AG374" s="62">
        <x:v>0.0868056693877104</x:v>
      </x:c>
      <x:c r="AH374" s="62">
        <x:v>0.0368056693877104</x:v>
      </x:c>
      <x:c r="AI374" s="62">
        <x:v>0.348533219376084</x:v>
      </x:c>
      <x:c r="AJ374" s="62">
        <x:v>0.259923078856741</x:v>
      </x:c>
      <x:c r="AK374" s="62">
        <x:v>0.391543701767175</x:v>
      </x:c>
      <x:c r="AL374" s="62">
        <x:v>1.29</x:v>
      </x:c>
      <x:c r="AM374" s="62">
        <x:v>1.38</x:v>
      </x:c>
      <x:c r="AN374" s="62">
        <x:v>0.000607034859063043</x:v>
      </x:c>
      <x:c r="AO374" s="62">
        <x:v>0.893445252232391</x:v>
      </x:c>
      <x:c r="AP374" s="62">
        <x:v>-0.123445252232391</x:v>
      </x:c>
      <x:c r="AQ374" s="62" t="s">
        <x:v>150</x:v>
      </x:c>
      <x:c r="AR374" s="49">
        <x:v>0</x:v>
      </x:c>
      <x:c r="AS374" s="62">
        <x:v>0.3910582352557</x:v>
      </x:c>
      <x:c r="AT374" s="62">
        <x:v>0.349389123635583</x:v>
      </x:c>
      <x:c r="AU374" s="60">
        <x:v>2.72</x:v>
      </x:c>
      <x:c r="AV374" s="60">
        <x:v>3.58</x:v>
      </x:c>
      <x:c r="AW374" s="60">
        <x:v>2.31</x:v>
      </x:c>
      <x:c r="AX374" s="49" t="s">
        <x:v>1356</x:v>
      </x:c>
      <x:c r="AY374" s="49" t="s">
        <x:v>101</x:v>
      </x:c>
    </x:row>
    <x:row r="375" ht="22" customHeight="1">
      <x:c r="A375" s="49" t="s">
        <x:v>1518</x:v>
      </x:c>
      <x:c r="B375" s="49" t="s">
        <x:v>1575</x:v>
      </x:c>
      <x:c r="C375" s="49" t="s">
        <x:v>89</x:v>
      </x:c>
      <x:c r="D375" s="49" t="s">
        <x:v>116</x:v>
      </x:c>
      <x:c r="E375" s="49" t="s">
        <x:v>687</x:v>
      </x:c>
      <x:c r="F375" s="49" t="s">
        <x:v>1576</x:v>
      </x:c>
      <x:c r="G375" s="60">
        <x:v>0.8</x:v>
      </x:c>
      <x:c r="H375" s="60">
        <x:v>1.5</x:v>
      </x:c>
      <x:c r="I375" s="60">
        <x:v>0.9</x:v>
      </x:c>
      <x:c r="J375" s="49" t="s">
        <x:v>1577</x:v>
      </x:c>
      <x:c r="K375" s="49" t="s">
        <x:v>106</x:v>
      </x:c>
      <x:c r="L375" s="49" t="s">
        <x:v>1578</x:v>
      </x:c>
      <x:c r="M375" s="61">
        <x:v>0.576</x:v>
      </x:c>
      <x:c r="N375" s="49" t="s">
        <x:v>96</x:v>
      </x:c>
      <x:c r="O375" s="49" t="s">
        <x:v>141</x:v>
      </x:c>
      <x:c r="P375" s="49" t="s">
        <x:v>30</x:v>
      </x:c>
      <x:c r="Q375" s="49" t="s">
        <x:v>11</x:v>
      </x:c>
      <x:c r="R375" s="50">
        <x:v>0.8</x:v>
      </x:c>
      <x:c r="S375" s="50">
        <x:f t="shared" si="24"/>
        <x:v>0.8</x:v>
      </x:c>
      <x:c r="T375" s="49" t="s">
        <x:v>1579</x:v>
      </x:c>
      <x:c r="U375" s="49" t="str">
        <x:f t="shared" si="26"/>
        <x:v>黑</x:v>
      </x:c>
      <x:c r="V375" s="50">
        <x:f t="shared" si="27"/>
        <x:v>0.9</x:v>
      </x:c>
      <x:c r="W375" s="50">
        <x:f t="shared" si="25"/>
        <x:v>-1</x:v>
      </x:c>
      <x:c r="X375" s="62">
        <x:v>0.8</x:v>
      </x:c>
      <x:c r="Y375" s="62">
        <x:v>1.5</x:v>
      </x:c>
      <x:c r="Z375" s="62">
        <x:v>0.9</x:v>
      </x:c>
      <x:c r="AA375" s="62">
        <x:v>-1.5</x:v>
      </x:c>
      <x:c r="AB375" s="62">
        <x:v>0.8</x:v>
      </x:c>
      <x:c r="AC375" s="62">
        <x:v>0.8</x:v>
      </x:c>
      <x:c r="AD375" s="60">
        <x:v>1.32</x:v>
      </x:c>
      <x:c r="AE375" s="60">
        <x:v>4.85</x:v>
      </x:c>
      <x:c r="AF375" s="60">
        <x:v>7.09</x:v>
      </x:c>
      <x:c r="AG375" s="62">
        <x:v>0.104805048140369</x:v>
      </x:c>
      <x:c r="AH375" s="62">
        <x:v>0.0548050481403688</x:v>
      </x:c>
      <x:c r="AI375" s="62">
        <x:v>0.685709898638611</x:v>
      </x:c>
      <x:c r="AJ375" s="62">
        <x:v>0.186626199217106</x:v>
      </x:c>
      <x:c r="AK375" s="62">
        <x:v>0.127663902144283</x:v>
      </x:c>
      <x:c r="AL375" s="62">
        <x:v>2.2</x:v>
      </x:c>
      <x:c r="AM375" s="62">
        <x:v>0.83</x:v>
      </x:c>
      <x:c r="AN375" s="62">
        <x:v>0.000463439458622066</x:v>
      </x:c>
      <x:c r="AO375" s="62">
        <x:v>1.23036118548865</x:v>
      </x:c>
      <x:c r="AP375" s="62">
        <x:v>-0.430361185488655</x:v>
      </x:c>
      <x:c r="AQ375" s="62" t="s">
        <x:v>99</x:v>
      </x:c>
      <x:c r="AR375" s="49">
        <x:v>-1.5</x:v>
      </x:c>
      <x:c r="AS375" s="62">
        <x:v>0.448357874278963</x:v>
      </x:c>
      <x:c r="AT375" s="62">
        <x:v>0.551642125721038</x:v>
      </x:c>
      <x:c r="AU375" s="60">
        <x:v>1.32</x:v>
      </x:c>
      <x:c r="AV375" s="60">
        <x:v>5</x:v>
      </x:c>
      <x:c r="AW375" s="60">
        <x:v>6.79</x:v>
      </x:c>
      <x:c r="AX375" s="49" t="s">
        <x:v>1356</x:v>
      </x:c>
      <x:c r="AY375" s="49" t="s">
        <x:v>101</x:v>
      </x:c>
    </x:row>
    <x:row r="376" ht="22" customHeight="1">
      <x:c r="A376" s="49" t="s">
        <x:v>1518</x:v>
      </x:c>
      <x:c r="B376" s="49" t="s">
        <x:v>1575</x:v>
      </x:c>
      <x:c r="C376" s="49" t="s">
        <x:v>333</x:v>
      </x:c>
      <x:c r="D376" s="49" t="s">
        <x:v>116</x:v>
      </x:c>
      <x:c r="E376" s="49" t="s">
        <x:v>747</x:v>
      </x:c>
      <x:c r="F376" s="49" t="s">
        <x:v>1580</x:v>
      </x:c>
      <x:c r="G376" s="60">
        <x:v>0.8</x:v>
      </x:c>
      <x:c r="H376" s="60">
        <x:v>0.25</x:v>
      </x:c>
      <x:c r="I376" s="60">
        <x:v>0.96</x:v>
      </x:c>
      <x:c r="J376" s="49" t="s">
        <x:v>1581</x:v>
      </x:c>
      <x:c r="K376" s="49" t="s">
        <x:v>106</x:v>
      </x:c>
      <x:c r="L376" s="49" t="s">
        <x:v>750</x:v>
      </x:c>
      <x:c r="M376" s="61">
        <x:v>0.584</x:v>
      </x:c>
      <x:c r="N376" s="49" t="s">
        <x:v>96</x:v>
      </x:c>
      <x:c r="O376" s="49" t="s">
        <x:v>231</x:v>
      </x:c>
      <x:c r="P376" s="49" t="s">
        <x:v>30</x:v>
      </x:c>
      <x:c r="Q376" s="49" t="s">
        <x:v>11</x:v>
      </x:c>
      <x:c r="R376" s="50">
        <x:v>0.8</x:v>
      </x:c>
      <x:c r="S376" s="50">
        <x:f t="shared" si="24"/>
        <x:v>0.8</x:v>
      </x:c>
      <x:c r="T376" s="49" t="s">
        <x:v>1582</x:v>
      </x:c>
      <x:c r="U376" s="49" t="str">
        <x:f t="shared" si="26"/>
        <x:v>黑</x:v>
      </x:c>
      <x:c r="V376" s="50">
        <x:f t="shared" si="27"/>
        <x:v>0.96</x:v>
      </x:c>
      <x:c r="W376" s="50">
        <x:f t="shared" si="25"/>
        <x:v>-1</x:v>
      </x:c>
      <x:c r="X376" s="62">
        <x:v>0.86</x:v>
      </x:c>
      <x:c r="Y376" s="62">
        <x:v>0.25</x:v>
      </x:c>
      <x:c r="Z376" s="62">
        <x:v>0.9</x:v>
      </x:c>
      <x:c r="AA376" s="62">
        <x:v>-0.25</x:v>
      </x:c>
      <x:c r="AB376" s="62">
        <x:v>0.86</x:v>
      </x:c>
      <x:c r="AC376" s="62">
        <x:v>0.8</x:v>
      </x:c>
      <x:c r="AD376" s="60">
        <x:v>2.17</x:v>
      </x:c>
      <x:c r="AE376" s="60">
        <x:v>3.25</x:v>
      </x:c>
      <x:c r="AF376" s="60">
        <x:v>3.16</x:v>
      </x:c>
      <x:c r="AG376" s="62">
        <x:v>0.0849774969823969</x:v>
      </x:c>
      <x:c r="AH376" s="62">
        <x:v>0.0349774969823969</x:v>
      </x:c>
      <x:c r="AI376" s="62">
        <x:v>0.424736452478732</x:v>
      </x:c>
      <x:c r="AJ376" s="62">
        <x:v>0.283593262116569</x:v>
      </x:c>
      <x:c r="AK376" s="62">
        <x:v>0.291670285404699</x:v>
      </x:c>
      <x:c r="AL376" s="62">
        <x:v>1.26</x:v>
      </x:c>
      <x:c r="AM376" s="62">
        <x:v>0.99</x:v>
      </x:c>
      <x:c r="AN376" s="62">
        <x:v>0.000547957970365419</x:v>
      </x:c>
      <x:c r="AO376" s="62">
        <x:v>1.01841744096583</x:v>
      </x:c>
      <x:c r="AP376" s="62">
        <x:v>-0.218417440965827</x:v>
      </x:c>
      <x:c r="AQ376" s="62" t="s">
        <x:v>99</x:v>
      </x:c>
      <x:c r="AR376" s="49">
        <x:v>-0.25</x:v>
      </x:c>
      <x:c r="AS376" s="62">
        <x:v>0.425079737894066</x:v>
      </x:c>
      <x:c r="AT376" s="62">
        <x:v>0.432908618872499</x:v>
      </x:c>
      <x:c r="AU376" s="60">
        <x:v>2.19</x:v>
      </x:c>
      <x:c r="AV376" s="60">
        <x:v>3.22</x:v>
      </x:c>
      <x:c r="AW376" s="60">
        <x:v>3.21</x:v>
      </x:c>
      <x:c r="AX376" s="49" t="s">
        <x:v>1356</x:v>
      </x:c>
      <x:c r="AY376" s="49" t="s">
        <x:v>101</x:v>
      </x:c>
    </x:row>
    <x:row r="377" ht="22" customHeight="1">
      <x:c r="A377" s="49" t="s">
        <x:v>1518</x:v>
      </x:c>
      <x:c r="B377" s="49" t="s">
        <x:v>1575</x:v>
      </x:c>
      <x:c r="C377" s="49" t="s">
        <x:v>333</x:v>
      </x:c>
      <x:c r="D377" s="49" t="s">
        <x:v>116</x:v>
      </x:c>
      <x:c r="E377" s="49" t="s">
        <x:v>613</x:v>
      </x:c>
      <x:c r="F377" s="49" t="s">
        <x:v>1583</x:v>
      </x:c>
      <x:c r="G377" s="60">
        <x:v>0.83</x:v>
      </x:c>
      <x:c r="H377" s="60">
        <x:v>0</x:v>
      </x:c>
      <x:c r="I377" s="60">
        <x:v>1.05</x:v>
      </x:c>
      <x:c r="J377" s="49" t="s">
        <x:v>1584</x:v>
      </x:c>
      <x:c r="K377" s="49" t="s">
        <x:v>106</x:v>
      </x:c>
      <x:c r="L377" s="49" t="s">
        <x:v>1585</x:v>
      </x:c>
      <x:c r="M377" s="61">
        <x:v>0.584</x:v>
      </x:c>
      <x:c r="N377" s="49" t="s">
        <x:v>96</x:v>
      </x:c>
      <x:c r="O377" s="49" t="s">
        <x:v>231</x:v>
      </x:c>
      <x:c r="P377" s="49" t="s">
        <x:v>30</x:v>
      </x:c>
      <x:c r="Q377" s="49" t="s">
        <x:v>11</x:v>
      </x:c>
      <x:c r="R377" s="50">
        <x:v>0.83</x:v>
      </x:c>
      <x:c r="S377" s="50">
        <x:f t="shared" si="24"/>
        <x:v>0.83</x:v>
      </x:c>
      <x:c r="T377" s="49" t="s">
        <x:v>1586</x:v>
      </x:c>
      <x:c r="U377" s="49" t="str">
        <x:f t="shared" si="26"/>
        <x:v>黑</x:v>
      </x:c>
      <x:c r="V377" s="50">
        <x:f t="shared" si="27"/>
        <x:v>1.05</x:v>
      </x:c>
      <x:c r="W377" s="50">
        <x:f t="shared" si="25"/>
        <x:v>-1</x:v>
      </x:c>
      <x:c r="X377" s="62">
        <x:v>0.8</x:v>
      </x:c>
      <x:c r="Y377" s="62">
        <x:v>0</x:v>
      </x:c>
      <x:c r="Z377" s="62">
        <x:v>1.08</x:v>
      </x:c>
      <x:c r="AA377" s="62">
        <x:v>0</x:v>
      </x:c>
      <x:c r="AB377" s="62">
        <x:v>0.8</x:v>
      </x:c>
      <x:c r="AC377" s="62">
        <x:v>0.83</x:v>
      </x:c>
      <x:c r="AD377" s="60">
        <x:v>2.44</x:v>
      </x:c>
      <x:c r="AE377" s="60">
        <x:v>3.41</x:v>
      </x:c>
      <x:c r="AF377" s="60">
        <x:v>2.77</x:v>
      </x:c>
      <x:c r="AG377" s="62">
        <x:v>0.0641020278634896</x:v>
      </x:c>
      <x:c r="AH377" s="62">
        <x:v>0.0141020278634896</x:v>
      </x:c>
      <x:c r="AI377" s="62">
        <x:v>0.385147340050316</x:v>
      </x:c>
      <x:c r="AJ377" s="62">
        <x:v>0.275589299038936</x:v>
      </x:c>
      <x:c r="AK377" s="62">
        <x:v>0.339263360910748</x:v>
      </x:c>
      <x:c r="AL377" s="62">
        <x:v>1.25</x:v>
      </x:c>
      <x:c r="AM377" s="62">
        <x:v>1.16</x:v>
      </x:c>
      <x:c r="AN377" s="62">
        <x:v>0.000946467085760538</x:v>
      </x:c>
      <x:c r="AO377" s="62">
        <x:v>0.886543726433484</x:v>
      </x:c>
      <x:c r="AP377" s="62">
        <x:v>-0.0565437264334838</x:v>
      </x:c>
      <x:c r="AQ377" s="62" t="s">
        <x:v>150</x:v>
      </x:c>
      <x:c r="AR377" s="49">
        <x:v>0</x:v>
      </x:c>
      <x:c r="AS377" s="62">
        <x:v>0.38398607383328</x:v>
      </x:c>
      <x:c r="AT377" s="62">
        <x:v>0.340420444794719</x:v>
      </x:c>
      <x:c r="AU377" s="60">
        <x:v>2.44</x:v>
      </x:c>
      <x:c r="AV377" s="60">
        <x:v>3.51</x:v>
      </x:c>
      <x:c r="AW377" s="60">
        <x:v>2.78</x:v>
      </x:c>
      <x:c r="AX377" s="49" t="s">
        <x:v>1356</x:v>
      </x:c>
      <x:c r="AY377" s="49" t="s">
        <x:v>101</x:v>
      </x:c>
    </x:row>
    <x:row r="378" ht="22" customHeight="1">
      <x:c r="A378" s="49" t="s">
        <x:v>1518</x:v>
      </x:c>
      <x:c r="B378" s="49" t="s">
        <x:v>1587</x:v>
      </x:c>
      <x:c r="C378" s="49" t="s">
        <x:v>333</x:v>
      </x:c>
      <x:c r="D378" s="49" t="s">
        <x:v>116</x:v>
      </x:c>
      <x:c r="E378" s="49" t="s">
        <x:v>764</x:v>
      </x:c>
      <x:c r="F378" s="49" t="s">
        <x:v>1588</x:v>
      </x:c>
      <x:c r="G378" s="60">
        <x:v>0.8</x:v>
      </x:c>
      <x:c r="H378" s="60">
        <x:v>0.75</x:v>
      </x:c>
      <x:c r="I378" s="60">
        <x:v>0.96</x:v>
      </x:c>
      <x:c r="J378" s="49" t="s">
        <x:v>1589</x:v>
      </x:c>
      <x:c r="K378" s="49" t="s">
        <x:v>106</x:v>
      </x:c>
      <x:c r="L378" s="49" t="s">
        <x:v>1590</x:v>
      </x:c>
      <x:c r="M378" s="61">
        <x:v>0.584</x:v>
      </x:c>
      <x:c r="N378" s="49" t="s">
        <x:v>96</x:v>
      </x:c>
      <x:c r="O378" s="49" t="s">
        <x:v>161</x:v>
      </x:c>
      <x:c r="P378" s="49" t="s">
        <x:v>30</x:v>
      </x:c>
      <x:c r="Q378" s="49" t="s">
        <x:v>11</x:v>
      </x:c>
      <x:c r="R378" s="50">
        <x:v>0.8</x:v>
      </x:c>
      <x:c r="S378" s="50">
        <x:f t="shared" si="24"/>
        <x:v>0.8</x:v>
      </x:c>
      <x:c r="T378" s="49" t="s">
        <x:v>1591</x:v>
      </x:c>
      <x:c r="U378" s="49" t="str">
        <x:f t="shared" si="26"/>
        <x:v>黑</x:v>
      </x:c>
      <x:c r="V378" s="50">
        <x:f t="shared" si="27"/>
        <x:v>0.96</x:v>
      </x:c>
      <x:c r="W378" s="50">
        <x:f t="shared" si="25"/>
        <x:v>-1</x:v>
      </x:c>
      <x:c r="X378" s="62">
        <x:v>0.8</x:v>
      </x:c>
      <x:c r="Y378" s="62">
        <x:v>0.75</x:v>
      </x:c>
      <x:c r="Z378" s="62">
        <x:v>0.96</x:v>
      </x:c>
      <x:c r="AA378" s="62">
        <x:v>-0.75</x:v>
      </x:c>
      <x:c r="AB378" s="62">
        <x:v>0.8</x:v>
      </x:c>
      <x:c r="AC378" s="62">
        <x:v>0.8</x:v>
      </x:c>
      <x:c r="AD378" s="60">
        <x:v>1.61</x:v>
      </x:c>
      <x:c r="AE378" s="60">
        <x:v>3.65</x:v>
      </x:c>
      <x:c r="AF378" s="60">
        <x:v>4.82</x:v>
      </x:c>
      <x:c r="AG378" s="62">
        <x:v>0.102559494830136</x:v>
      </x:c>
      <x:c r="AH378" s="62">
        <x:v>0.052559494830136</x:v>
      </x:c>
      <x:c r="AI378" s="62">
        <x:v>0.563341946928725</x:v>
      </x:c>
      <x:c r="AJ378" s="62">
        <x:v>0.248487817686369</x:v>
      </x:c>
      <x:c r="AK378" s="62">
        <x:v>0.188170235384906</x:v>
      </x:c>
      <x:c r="AL378" s="62">
        <x:v>1.61</x:v>
      </x:c>
      <x:c r="AM378" s="62">
        <x:v>0.81</x:v>
      </x:c>
      <x:c r="AN378" s="62">
        <x:v>0.000321743504884149</x:v>
      </x:c>
      <x:c r="AO378" s="62">
        <x:v>1.00530963759631</x:v>
      </x:c>
      <x:c r="AP378" s="62">
        <x:v>-0.20530963759631</x:v>
      </x:c>
      <x:c r="AQ378" s="62" t="s">
        <x:v>99</x:v>
      </x:c>
      <x:c r="AR378" s="49">
        <x:v>-0.75</x:v>
      </x:c>
      <x:c r="AS378" s="62">
        <x:v>0.43405801006749</x:v>
      </x:c>
      <x:c r="AT378" s="62">
        <x:v>0.436362700796724</x:v>
      </x:c>
      <x:c r="AU378" s="60">
        <x:v>1.6</x:v>
      </x:c>
      <x:c r="AV378" s="60">
        <x:v>3.69</x:v>
      </x:c>
      <x:c r="AW378" s="60">
        <x:v>4.91</x:v>
      </x:c>
      <x:c r="AX378" s="49" t="s">
        <x:v>1356</x:v>
      </x:c>
      <x:c r="AY378" s="49" t="s">
        <x:v>101</x:v>
      </x:c>
    </x:row>
    <x:row r="379" ht="22" customHeight="1">
      <x:c r="A379" s="49" t="s">
        <x:v>1518</x:v>
      </x:c>
      <x:c r="B379" s="49" t="s">
        <x:v>1587</x:v>
      </x:c>
      <x:c r="C379" s="49" t="s">
        <x:v>333</x:v>
      </x:c>
      <x:c r="D379" s="49" t="s">
        <x:v>116</x:v>
      </x:c>
      <x:c r="E379" s="49" t="s">
        <x:v>764</x:v>
      </x:c>
      <x:c r="F379" s="49" t="s">
        <x:v>1592</x:v>
      </x:c>
      <x:c r="G379" s="60">
        <x:v>0.94</x:v>
      </x:c>
      <x:c r="H379" s="60">
        <x:v>0</x:v>
      </x:c>
      <x:c r="I379" s="60">
        <x:v>0.82</x:v>
      </x:c>
      <x:c r="J379" s="49" t="s">
        <x:v>1593</x:v>
      </x:c>
      <x:c r="K379" s="49" t="s">
        <x:v>106</x:v>
      </x:c>
      <x:c r="L379" s="49" t="s">
        <x:v>1594</x:v>
      </x:c>
      <x:c r="M379" s="61">
        <x:v>0.584</x:v>
      </x:c>
      <x:c r="N379" s="49" t="s">
        <x:v>96</x:v>
      </x:c>
      <x:c r="O379" s="49" t="s">
        <x:v>708</x:v>
      </x:c>
      <x:c r="P379" s="49" t="s">
        <x:v>30</x:v>
      </x:c>
      <x:c r="Q379" s="49" t="s">
        <x:v>11</x:v>
      </x:c>
      <x:c r="R379" s="50">
        <x:v>0.82</x:v>
      </x:c>
      <x:c r="S379" s="50">
        <x:f t="shared" si="24"/>
        <x:v>0.82</x:v>
      </x:c>
      <x:c r="T379" s="49" t="s">
        <x:v>1595</x:v>
      </x:c>
      <x:c r="U379" s="49" t="str">
        <x:f t="shared" si="26"/>
        <x:v>黑</x:v>
      </x:c>
      <x:c r="V379" s="50">
        <x:f t="shared" si="27"/>
        <x:v>0.94</x:v>
      </x:c>
      <x:c r="W379" s="50">
        <x:f t="shared" si="25"/>
        <x:v>-1</x:v>
      </x:c>
      <x:c r="X379" s="62">
        <x:v>0.94</x:v>
      </x:c>
      <x:c r="Y379" s="62">
        <x:v>0</x:v>
      </x:c>
      <x:c r="Z379" s="62">
        <x:v>0.82</x:v>
      </x:c>
      <x:c r="AA379" s="62">
        <x:v>0</x:v>
      </x:c>
      <x:c r="AB379" s="62">
        <x:v>0.82</x:v>
      </x:c>
      <x:c r="AC379" s="62">
        <x:v>0.82</x:v>
      </x:c>
      <x:c r="AD379" s="60">
        <x:v>2.56</x:v>
      </x:c>
      <x:c r="AE379" s="60">
        <x:v>3.23</x:v>
      </x:c>
      <x:c r="AF379" s="60">
        <x:v>2.48</x:v>
      </x:c>
      <x:c r="AG379" s="62">
        <x:v>0.103448329671427</x:v>
      </x:c>
      <x:c r="AH379" s="62">
        <x:v>0.0534483296714272</x:v>
      </x:c>
      <x:c r="AI379" s="62">
        <x:v>0.354003888987096</x:v>
      </x:c>
      <x:c r="AJ379" s="62">
        <x:v>0.280572741735902</x:v>
      </x:c>
      <x:c r="AK379" s="62">
        <x:v>0.365423369277002</x:v>
      </x:c>
      <x:c r="AL379" s="62">
        <x:v>1.16</x:v>
      </x:c>
      <x:c r="AM379" s="62">
        <x:v>1.18</x:v>
      </x:c>
      <x:c r="AN379" s="62">
        <x:v>0.000674709995460185</x:v>
      </x:c>
      <x:c r="AO379" s="62">
        <x:v>0.97309350082548</x:v>
      </x:c>
      <x:c r="AP379" s="62">
        <x:v>-0.15309350082548</x:v>
      </x:c>
      <x:c r="AQ379" s="62" t="s">
        <x:v>150</x:v>
      </x:c>
      <x:c r="AR379" s="49">
        <x:v>0</x:v>
      </x:c>
      <x:c r="AS379" s="62">
        <x:v>0.364511946822273</x:v>
      </x:c>
      <x:c r="AT379" s="62">
        <x:v>0.354704206425997</x:v>
      </x:c>
      <x:c r="AU379" s="60">
        <x:v>2.58</x:v>
      </x:c>
      <x:c r="AV379" s="60">
        <x:v>3.22</x:v>
      </x:c>
      <x:c r="AW379" s="60">
        <x:v>2.48</x:v>
      </x:c>
      <x:c r="AX379" s="49" t="s">
        <x:v>1356</x:v>
      </x:c>
      <x:c r="AY379" s="49" t="s">
        <x:v>101</x:v>
      </x:c>
    </x:row>
    <x:row r="380" ht="22" customHeight="1">
      <x:c r="A380" s="49" t="s">
        <x:v>1518</x:v>
      </x:c>
      <x:c r="B380" s="49" t="s">
        <x:v>1587</x:v>
      </x:c>
      <x:c r="C380" s="49" t="s">
        <x:v>333</x:v>
      </x:c>
      <x:c r="D380" s="49" t="s">
        <x:v>116</x:v>
      </x:c>
      <x:c r="E380" s="49" t="s">
        <x:v>764</x:v>
      </x:c>
      <x:c r="F380" s="49" t="s">
        <x:v>1596</x:v>
      </x:c>
      <x:c r="G380" s="60">
        <x:v>0.96</x:v>
      </x:c>
      <x:c r="H380" s="60">
        <x:v>-0.25</x:v>
      </x:c>
      <x:c r="I380" s="60">
        <x:v>0.8</x:v>
      </x:c>
      <x:c r="J380" s="49" t="s">
        <x:v>1597</x:v>
      </x:c>
      <x:c r="K380" s="49" t="s">
        <x:v>106</x:v>
      </x:c>
      <x:c r="L380" s="49" t="s">
        <x:v>767</x:v>
      </x:c>
      <x:c r="M380" s="61">
        <x:v>0.584</x:v>
      </x:c>
      <x:c r="N380" s="49" t="s">
        <x:v>96</x:v>
      </x:c>
      <x:c r="O380" s="49" t="s">
        <x:v>191</x:v>
      </x:c>
      <x:c r="P380" s="49" t="s">
        <x:v>30</x:v>
      </x:c>
      <x:c r="Q380" s="49" t="s">
        <x:v>11</x:v>
      </x:c>
      <x:c r="R380" s="50">
        <x:v>0.8</x:v>
      </x:c>
      <x:c r="S380" s="50">
        <x:f t="shared" si="24"/>
        <x:v>0.8</x:v>
      </x:c>
      <x:c r="T380" s="49" t="s">
        <x:v>1598</x:v>
      </x:c>
      <x:c r="U380" s="49" t="str">
        <x:f t="shared" si="26"/>
        <x:v>黑</x:v>
      </x:c>
      <x:c r="V380" s="50">
        <x:f t="shared" si="27"/>
        <x:v>0.96</x:v>
      </x:c>
      <x:c r="W380" s="50">
        <x:f t="shared" si="25"/>
        <x:v>-1</x:v>
      </x:c>
      <x:c r="X380" s="62">
        <x:v>0.96</x:v>
      </x:c>
      <x:c r="Y380" s="62">
        <x:v>-0.25</x:v>
      </x:c>
      <x:c r="Z380" s="62">
        <x:v>0.8</x:v>
      </x:c>
      <x:c r="AA380" s="62">
        <x:v>-0.25</x:v>
      </x:c>
      <x:c r="AB380" s="62">
        <x:v>0.8</x:v>
      </x:c>
      <x:c r="AC380" s="62">
        <x:v>0.8</x:v>
      </x:c>
      <x:c r="AD380" s="60">
        <x:v>3.21</x:v>
      </x:c>
      <x:c r="AE380" s="60">
        <x:v>3.16</x:v>
      </x:c>
      <x:c r="AF380" s="60">
        <x:v>2.1</x:v>
      </x:c>
      <x:c r="AG380" s="62">
        <x:v>0.104172652143787</x:v>
      </x:c>
      <x:c r="AH380" s="62">
        <x:v>0.0541726521437867</x:v>
      </x:c>
      <x:c r="AI380" s="62">
        <x:v>0.282135659804597</x:v>
      </x:c>
      <x:c r="AJ380" s="62">
        <x:v>0.286599831636948</x:v>
      </x:c>
      <x:c r="AK380" s="62">
        <x:v>0.431264508558455</x:v>
      </x:c>
      <x:c r="AL380" s="62">
        <x:v>0.95</x:v>
      </x:c>
      <x:c r="AM380" s="62">
        <x:v>1.25</x:v>
      </x:c>
      <x:c r="AN380" s="62">
        <x:v>0.000586637501759488</x:v>
      </x:c>
      <x:c r="AO380" s="62">
        <x:v>0.984044291191843</x:v>
      </x:c>
      <x:c r="AP380" s="62">
        <x:v>-0.184044291191843</x:v>
      </x:c>
      <x:c r="AQ380" s="62" t="s">
        <x:v>99</x:v>
      </x:c>
      <x:c r="AR380" s="49">
        <x:v>-0.25</x:v>
      </x:c>
      <x:c r="AS380" s="62">
        <x:v>0.431694058348519</x:v>
      </x:c>
      <x:c r="AT380" s="62">
        <x:v>0.424806073659298</x:v>
      </x:c>
      <x:c r="AU380" s="60">
        <x:v>3.25</x:v>
      </x:c>
      <x:c r="AV380" s="60">
        <x:v>3.18</x:v>
      </x:c>
      <x:c r="AW380" s="60">
        <x:v>2.1</x:v>
      </x:c>
      <x:c r="AX380" s="49" t="s">
        <x:v>1356</x:v>
      </x:c>
      <x:c r="AY380" s="49" t="s">
        <x:v>101</x:v>
      </x:c>
    </x:row>
    <x:row r="381" ht="22" customHeight="1">
      <x:c r="A381" s="49" t="s">
        <x:v>1518</x:v>
      </x:c>
      <x:c r="B381" s="49" t="s">
        <x:v>1587</x:v>
      </x:c>
      <x:c r="C381" s="49" t="s">
        <x:v>333</x:v>
      </x:c>
      <x:c r="D381" s="49" t="s">
        <x:v>116</x:v>
      </x:c>
      <x:c r="E381" s="49" t="s">
        <x:v>764</x:v>
      </x:c>
      <x:c r="F381" s="49" t="s">
        <x:v>1599</x:v>
      </x:c>
      <x:c r="G381" s="60">
        <x:v>0.96</x:v>
      </x:c>
      <x:c r="H381" s="60">
        <x:v>-0.25</x:v>
      </x:c>
      <x:c r="I381" s="60">
        <x:v>0.8</x:v>
      </x:c>
      <x:c r="J381" s="49" t="s">
        <x:v>1597</x:v>
      </x:c>
      <x:c r="K381" s="49" t="s">
        <x:v>106</x:v>
      </x:c>
      <x:c r="L381" s="49" t="s">
        <x:v>1600</x:v>
      </x:c>
      <x:c r="M381" s="61">
        <x:v>0.584</x:v>
      </x:c>
      <x:c r="N381" s="49" t="s">
        <x:v>96</x:v>
      </x:c>
      <x:c r="O381" s="49" t="s">
        <x:v>708</x:v>
      </x:c>
      <x:c r="P381" s="49" t="s">
        <x:v>30</x:v>
      </x:c>
      <x:c r="Q381" s="49" t="s">
        <x:v>11</x:v>
      </x:c>
      <x:c r="R381" s="50">
        <x:v>0.8</x:v>
      </x:c>
      <x:c r="S381" s="50">
        <x:f t="shared" si="24"/>
        <x:v>0.8</x:v>
      </x:c>
      <x:c r="T381" s="49" t="s">
        <x:v>1601</x:v>
      </x:c>
      <x:c r="U381" s="49" t="str">
        <x:f t="shared" si="26"/>
        <x:v>黑</x:v>
      </x:c>
      <x:c r="V381" s="50">
        <x:f t="shared" si="27"/>
        <x:v>0.96</x:v>
      </x:c>
      <x:c r="W381" s="50">
        <x:f t="shared" si="25"/>
        <x:v>-1</x:v>
      </x:c>
      <x:c r="X381" s="62">
        <x:v>0.96</x:v>
      </x:c>
      <x:c r="Y381" s="62">
        <x:v>-0.25</x:v>
      </x:c>
      <x:c r="Z381" s="62">
        <x:v>0.8</x:v>
      </x:c>
      <x:c r="AA381" s="62">
        <x:v>-0.25</x:v>
      </x:c>
      <x:c r="AB381" s="62">
        <x:v>0.8</x:v>
      </x:c>
      <x:c r="AC381" s="62">
        <x:v>0.8</x:v>
      </x:c>
      <x:c r="AD381" s="60">
        <x:v>3.17</x:v>
      </x:c>
      <x:c r="AE381" s="60">
        <x:v>3.3</x:v>
      </x:c>
      <x:c r="AF381" s="60">
        <x:v>2.05</x:v>
      </x:c>
      <x:c r="AG381" s="62">
        <x:v>0.106292594328295</x:v>
      </x:c>
      <x:c r="AH381" s="62">
        <x:v>0.0562925943282949</x:v>
      </x:c>
      <x:c r="AI381" s="62">
        <x:v>0.285148264452359</x:v>
      </x:c>
      <x:c r="AJ381" s="62">
        <x:v>0.273915151004236</x:v>
      </x:c>
      <x:c r="AK381" s="62">
        <x:v>0.440936584543405</x:v>
      </x:c>
      <x:c r="AL381" s="62">
        <x:v>1.03</x:v>
      </x:c>
      <x:c r="AM381" s="62">
        <x:v>1.35</x:v>
      </x:c>
      <x:c r="AN381" s="62">
        <x:v>0.000399440494143299</x:v>
      </x:c>
      <x:c r="AO381" s="62">
        <x:v>0.958444688793406</x:v>
      </x:c>
      <x:c r="AP381" s="62">
        <x:v>-0.158444688793406</x:v>
      </x:c>
      <x:c r="AQ381" s="62" t="s">
        <x:v>99</x:v>
      </x:c>
      <x:c r="AR381" s="49">
        <x:v>-0.25</x:v>
      </x:c>
      <x:c r="AS381" s="62">
        <x:v>0.440776871205486</x:v>
      </x:c>
      <x:c r="AT381" s="62">
        <x:v>0.422460251149874</x:v>
      </x:c>
      <x:c r="AU381" s="60">
        <x:v>3.12</x:v>
      </x:c>
      <x:c r="AV381" s="60">
        <x:v>3.33</x:v>
      </x:c>
      <x:c r="AW381" s="60">
        <x:v>2.08</x:v>
      </x:c>
      <x:c r="AX381" s="49" t="s">
        <x:v>1356</x:v>
      </x:c>
      <x:c r="AY381" s="49" t="s">
        <x:v>101</x:v>
      </x:c>
    </x:row>
    <x:row r="382" ht="22" customHeight="1">
      <x:c r="A382" s="49" t="s">
        <x:v>1518</x:v>
      </x:c>
      <x:c r="B382" s="49" t="s">
        <x:v>1602</x:v>
      </x:c>
      <x:c r="C382" s="49" t="s">
        <x:v>333</x:v>
      </x:c>
      <x:c r="D382" s="49" t="s">
        <x:v>116</x:v>
      </x:c>
      <x:c r="E382" s="49" t="s">
        <x:v>927</x:v>
      </x:c>
      <x:c r="F382" s="49" t="s">
        <x:v>1603</x:v>
      </x:c>
      <x:c r="G382" s="60">
        <x:v>0.9</x:v>
      </x:c>
      <x:c r="H382" s="60">
        <x:v>0</x:v>
      </x:c>
      <x:c r="I382" s="60">
        <x:v>0.8</x:v>
      </x:c>
      <x:c r="J382" s="49" t="s">
        <x:v>1604</x:v>
      </x:c>
      <x:c r="K382" s="49" t="s">
        <x:v>106</x:v>
      </x:c>
      <x:c r="L382" s="49" t="s">
        <x:v>933</x:v>
      </x:c>
      <x:c r="M382" s="61">
        <x:v>0.584</x:v>
      </x:c>
      <x:c r="N382" s="49" t="s">
        <x:v>96</x:v>
      </x:c>
      <x:c r="O382" s="49" t="s">
        <x:v>191</x:v>
      </x:c>
      <x:c r="P382" s="49" t="s">
        <x:v>30</x:v>
      </x:c>
      <x:c r="Q382" s="49" t="s">
        <x:v>11</x:v>
      </x:c>
      <x:c r="R382" s="50">
        <x:v>0.8</x:v>
      </x:c>
      <x:c r="S382" s="50">
        <x:f t="shared" si="24"/>
        <x:v>0.8</x:v>
      </x:c>
      <x:c r="T382" s="49" t="s">
        <x:v>1605</x:v>
      </x:c>
      <x:c r="U382" s="49" t="str">
        <x:f t="shared" si="26"/>
        <x:v>黑</x:v>
      </x:c>
      <x:c r="V382" s="50">
        <x:f t="shared" si="27"/>
        <x:v>0.9</x:v>
      </x:c>
      <x:c r="W382" s="50">
        <x:f t="shared" si="25"/>
        <x:v>-1</x:v>
      </x:c>
      <x:c r="X382" s="62">
        <x:v>0.9</x:v>
      </x:c>
      <x:c r="Y382" s="62">
        <x:v>0</x:v>
      </x:c>
      <x:c r="Z382" s="62">
        <x:v>0.8</x:v>
      </x:c>
      <x:c r="AA382" s="62">
        <x:v>0</x:v>
      </x:c>
      <x:c r="AB382" s="62">
        <x:v>0.8</x:v>
      </x:c>
      <x:c r="AC382" s="62">
        <x:v>0.8</x:v>
      </x:c>
      <x:c r="AD382" s="60">
        <x:v>2.63</x:v>
      </x:c>
      <x:c r="AE382" s="60">
        <x:v>2.98</x:v>
      </x:c>
      <x:c r="AF382" s="60">
        <x:v>2.56</x:v>
      </x:c>
      <x:c r="AG382" s="62">
        <x:v>0.106423606680787</x:v>
      </x:c>
      <x:c r="AH382" s="62">
        <x:v>0.0564236066807871</x:v>
      </x:c>
      <x:c r="AI382" s="62">
        <x:v>0.343655119599982</x:v>
      </x:c>
      <x:c r="AJ382" s="62">
        <x:v>0.303292941123474</x:v>
      </x:c>
      <x:c r="AK382" s="62">
        <x:v>0.353051939276544</x:v>
      </x:c>
      <x:c r="AL382" s="62">
        <x:v>1.02</x:v>
      </x:c>
      <x:c r="AM382" s="62">
        <x:v>1.04</x:v>
      </x:c>
      <x:c r="AN382" s="62">
        <x:v>0.000430151339763152</x:v>
      </x:c>
      <x:c r="AO382" s="62">
        <x:v>0.970739131343</x:v>
      </x:c>
      <x:c r="AP382" s="62">
        <x:v>-0.170739131343</x:v>
      </x:c>
      <x:c r="AQ382" s="62" t="s">
        <x:v>150</x:v>
      </x:c>
      <x:c r="AR382" s="49">
        <x:v>0</x:v>
      </x:c>
      <x:c r="AS382" s="62">
        <x:v>0.353658334662985</x:v>
      </x:c>
      <x:c r="AT382" s="62">
        <x:v>0.343309984582957</x:v>
      </x:c>
      <x:c r="AU382" s="60">
        <x:v>2.64</x:v>
      </x:c>
      <x:c r="AV382" s="60">
        <x:v>2.94</x:v>
      </x:c>
      <x:c r="AW382" s="60">
        <x:v>2.6</x:v>
      </x:c>
      <x:c r="AX382" s="49" t="s">
        <x:v>1356</x:v>
      </x:c>
      <x:c r="AY382" s="49" t="s">
        <x:v>101</x:v>
      </x:c>
    </x:row>
    <x:row r="383" ht="22" customHeight="1">
      <x:c r="A383" s="49" t="s">
        <x:v>1518</x:v>
      </x:c>
      <x:c r="B383" s="49" t="s">
        <x:v>1602</x:v>
      </x:c>
      <x:c r="C383" s="49" t="s">
        <x:v>333</x:v>
      </x:c>
      <x:c r="D383" s="49" t="s">
        <x:v>116</x:v>
      </x:c>
      <x:c r="E383" s="49" t="s">
        <x:v>602</x:v>
      </x:c>
      <x:c r="F383" s="49" t="s">
        <x:v>1606</x:v>
      </x:c>
      <x:c r="G383" s="60">
        <x:v>0.9</x:v>
      </x:c>
      <x:c r="H383" s="60">
        <x:v>0.25</x:v>
      </x:c>
      <x:c r="I383" s="60">
        <x:v>0.98</x:v>
      </x:c>
      <x:c r="J383" s="49" t="s">
        <x:v>408</x:v>
      </x:c>
      <x:c r="K383" s="49" t="s">
        <x:v>132</x:v>
      </x:c>
      <x:c r="L383" s="49" t="s">
        <x:v>1607</x:v>
      </x:c>
      <x:c r="M383" s="61">
        <x:v>0.559</x:v>
      </x:c>
      <x:c r="N383" s="49" t="s">
        <x:v>96</x:v>
      </x:c>
      <x:c r="O383" s="49" t="s">
        <x:v>126</x:v>
      </x:c>
      <x:c r="P383" s="49" t="s">
        <x:v>30</x:v>
      </x:c>
      <x:c r="Q383" s="49" t="s">
        <x:v>20</x:v>
      </x:c>
      <x:c r="R383" s="50">
        <x:v>0.9</x:v>
      </x:c>
      <x:c r="S383" s="50">
        <x:f t="shared" si="24"/>
        <x:v>-0.5</x:v>
      </x:c>
      <x:c r="T383" s="49" t="s">
        <x:v>1608</x:v>
      </x:c>
      <x:c r="U383" s="49" t="str">
        <x:f t="shared" si="26"/>
        <x:v>半红</x:v>
      </x:c>
      <x:c r="V383" s="50">
        <x:f t="shared" si="27"/>
        <x:v>0.98</x:v>
      </x:c>
      <x:c r="W383" s="50">
        <x:f t="shared" si="25"/>
        <x:v>0.49</x:v>
      </x:c>
      <x:c r="X383" s="62">
        <x:v>0.85</x:v>
      </x:c>
      <x:c r="Y383" s="62">
        <x:v>0.5</x:v>
      </x:c>
      <x:c r="Z383" s="62">
        <x:v>1.03</x:v>
      </x:c>
      <x:c r="AA383" s="62">
        <x:v>-0.5</x:v>
      </x:c>
      <x:c r="AB383" s="62">
        <x:v>0.85</x:v>
      </x:c>
      <x:c r="AC383" s="62">
        <x:v>0.9</x:v>
      </x:c>
      <x:c r="AD383" s="60">
        <x:v>1.87</x:v>
      </x:c>
      <x:c r="AE383" s="60">
        <x:v>3.43</x:v>
      </x:c>
      <x:c r="AF383" s="60">
        <x:v>4.46</x:v>
      </x:c>
      <x:c r="AG383" s="62">
        <x:v>0.0505197944299145</x:v>
      </x:c>
      <x:c r="AH383" s="62">
        <x:v>0.000519794429914497</x:v>
      </x:c>
      <x:c r="AI383" s="62">
        <x:v>0.509042629300448</x:v>
      </x:c>
      <x:c r="AJ383" s="62">
        <x:v>0.277524698773131</x:v>
      </x:c>
      <x:c r="AK383" s="62">
        <x:v>0.213432671926421</x:v>
      </x:c>
      <x:c r="AL383" s="62">
        <x:v>1.37</x:v>
      </x:c>
      <x:c r="AM383" s="62">
        <x:v>0.78</x:v>
      </x:c>
      <x:c r="AN383" s="62">
        <x:v>0.000690640107501504</x:v>
      </x:c>
      <x:c r="AO383" s="62">
        <x:v>0.693508992249671</x:v>
      </x:c>
      <x:c r="AP383" s="62">
        <x:v>0.206491007750329</x:v>
      </x:c>
      <x:c r="AQ383" s="62" t="s">
        <x:v>165</x:v>
      </x:c>
      <x:c r="AR383" s="49">
        <x:v>-0.25</x:v>
      </x:c>
      <x:c r="AS383" s="62">
        <x:v>0.508283033021977</x:v>
      </x:c>
      <x:c r="AT383" s="62">
        <x:v>0.352498854008678</x:v>
      </x:c>
      <x:c r="AU383" s="60">
        <x:v>2.15</x:v>
      </x:c>
      <x:c r="AV383" s="60">
        <x:v>3.33</x:v>
      </x:c>
      <x:c r="AW383" s="60">
        <x:v>3.45</x:v>
      </x:c>
      <x:c r="AX383" s="49" t="s">
        <x:v>1356</x:v>
      </x:c>
      <x:c r="AY383" s="49" t="s">
        <x:v>101</x:v>
      </x:c>
    </x:row>
    <x:row r="384" ht="22" customHeight="1">
      <x:c r="A384" s="49" t="s">
        <x:v>1518</x:v>
      </x:c>
      <x:c r="B384" s="49" t="s">
        <x:v>1602</x:v>
      </x:c>
      <x:c r="C384" s="49" t="s">
        <x:v>89</x:v>
      </x:c>
      <x:c r="D384" s="49" t="s">
        <x:v>116</x:v>
      </x:c>
      <x:c r="E384" s="49" t="s">
        <x:v>347</x:v>
      </x:c>
      <x:c r="F384" s="49" t="s">
        <x:v>1609</x:v>
      </x:c>
      <x:c r="G384" s="60">
        <x:v>0.8</x:v>
      </x:c>
      <x:c r="H384" s="60">
        <x:v>0.25</x:v>
      </x:c>
      <x:c r="I384" s="60">
        <x:v>0.96</x:v>
      </x:c>
      <x:c r="J384" s="49" t="s">
        <x:v>1581</x:v>
      </x:c>
      <x:c r="K384" s="49" t="s">
        <x:v>106</x:v>
      </x:c>
      <x:c r="L384" s="49" t="s">
        <x:v>1610</x:v>
      </x:c>
      <x:c r="M384" s="61">
        <x:v>0.576</x:v>
      </x:c>
      <x:c r="N384" s="49" t="s">
        <x:v>96</x:v>
      </x:c>
      <x:c r="O384" s="49" t="s">
        <x:v>161</x:v>
      </x:c>
      <x:c r="P384" s="49" t="s">
        <x:v>30</x:v>
      </x:c>
      <x:c r="Q384" s="49" t="s">
        <x:v>11</x:v>
      </x:c>
      <x:c r="R384" s="50">
        <x:v>0.8</x:v>
      </x:c>
      <x:c r="S384" s="50">
        <x:f t="shared" si="24"/>
        <x:v>0.8</x:v>
      </x:c>
      <x:c r="T384" s="49" t="s">
        <x:v>1611</x:v>
      </x:c>
      <x:c r="U384" s="49" t="str">
        <x:f t="shared" si="26"/>
        <x:v>黑</x:v>
      </x:c>
      <x:c r="V384" s="50">
        <x:f t="shared" si="27"/>
        <x:v>0.96</x:v>
      </x:c>
      <x:c r="W384" s="50">
        <x:f t="shared" si="25"/>
        <x:v>-1</x:v>
      </x:c>
      <x:c r="X384" s="62">
        <x:v>0.8</x:v>
      </x:c>
      <x:c r="Y384" s="62">
        <x:v>0.25</x:v>
      </x:c>
      <x:c r="Z384" s="62">
        <x:v>0.96</x:v>
      </x:c>
      <x:c r="AA384" s="62">
        <x:v>-0.25</x:v>
      </x:c>
      <x:c r="AB384" s="62">
        <x:v>0.8</x:v>
      </x:c>
      <x:c r="AC384" s="62">
        <x:v>0.8</x:v>
      </x:c>
      <x:c r="AD384" s="60">
        <x:v>2.03</x:v>
      </x:c>
      <x:c r="AE384" s="60">
        <x:v>3.35</x:v>
      </x:c>
      <x:c r="AF384" s="60">
        <x:v>3.35</x:v>
      </x:c>
      <x:c r="AG384" s="62">
        <x:v>0.089625762811558</x:v>
      </x:c>
      <x:c r="AH384" s="62">
        <x:v>0.039625762811558</x:v>
      </x:c>
      <x:c r="AI384" s="62">
        <x:v>0.452091767881242</x:v>
      </x:c>
      <x:c r="AJ384" s="62">
        <x:v>0.273954116059379</x:v>
      </x:c>
      <x:c r="AK384" s="62">
        <x:v>0.273954116059379</x:v>
      </x:c>
      <x:c r="AL384" s="62">
        <x:v>1.36</x:v>
      </x:c>
      <x:c r="AM384" s="62">
        <x:v>0.99</x:v>
      </x:c>
      <x:c r="AN384" s="62">
        <x:v>0.000763298182168108</x:v>
      </x:c>
      <x:c r="AO384" s="62">
        <x:v>0.905108802332618</x:v>
      </x:c>
      <x:c r="AP384" s="62">
        <x:v>-0.105108802332618</x:v>
      </x:c>
      <x:c r="AQ384" s="62" t="s">
        <x:v>99</x:v>
      </x:c>
      <x:c r="AR384" s="49">
        <x:v>-0.25</x:v>
      </x:c>
      <x:c r="AS384" s="62">
        <x:v>0.452983116384526</x:v>
      </x:c>
      <x:c r="AT384" s="62">
        <x:v>0.409999005947696</x:v>
      </x:c>
      <x:c r="AU384" s="60">
        <x:v>2.14</x:v>
      </x:c>
      <x:c r="AV384" s="60">
        <x:v>3.31</x:v>
      </x:c>
      <x:c r="AW384" s="60">
        <x:v>3.19</x:v>
      </x:c>
      <x:c r="AX384" s="49" t="s">
        <x:v>1356</x:v>
      </x:c>
      <x:c r="AY384" s="49" t="s">
        <x:v>101</x:v>
      </x:c>
    </x:row>
    <x:row r="385" ht="22" customHeight="1">
      <x:c r="A385" s="49" t="s">
        <x:v>1518</x:v>
      </x:c>
      <x:c r="B385" s="49" t="s">
        <x:v>1612</x:v>
      </x:c>
      <x:c r="C385" s="49" t="s">
        <x:v>333</x:v>
      </x:c>
      <x:c r="D385" s="49" t="s">
        <x:v>116</x:v>
      </x:c>
      <x:c r="E385" s="49" t="s">
        <x:v>597</x:v>
      </x:c>
      <x:c r="F385" s="49" t="s">
        <x:v>1613</x:v>
      </x:c>
      <x:c r="G385" s="60">
        <x:v>1.01</x:v>
      </x:c>
      <x:c r="H385" s="60">
        <x:v>2</x:v>
      </x:c>
      <x:c r="I385" s="60">
        <x:v>0.87</x:v>
      </x:c>
      <x:c r="J385" s="49" t="s">
        <x:v>1614</x:v>
      </x:c>
      <x:c r="K385" s="49" t="s">
        <x:v>189</x:v>
      </x:c>
      <x:c r="L385" s="49" t="s">
        <x:v>806</x:v>
      </x:c>
      <x:c r="M385" s="61">
        <x:v>0.529</x:v>
      </x:c>
      <x:c r="N385" s="49" t="s">
        <x:v>96</x:v>
      </x:c>
      <x:c r="O385" s="49" t="s">
        <x:v>141</x:v>
      </x:c>
      <x:c r="P385" s="49" t="s">
        <x:v>30</x:v>
      </x:c>
      <x:c r="Q385" s="49" t="s">
        <x:v>11</x:v>
      </x:c>
      <x:c r="R385" s="50">
        <x:v>1.01</x:v>
      </x:c>
      <x:c r="S385" s="50">
        <x:f t="shared" si="24"/>
        <x:v>1.01</x:v>
      </x:c>
      <x:c r="T385" s="49" t="s">
        <x:v>1615</x:v>
      </x:c>
      <x:c r="U385" s="49" t="str">
        <x:f t="shared" si="26"/>
        <x:v>黑</x:v>
      </x:c>
      <x:c r="V385" s="50">
        <x:f t="shared" si="27"/>
        <x:v>0.87</x:v>
      </x:c>
      <x:c r="W385" s="50">
        <x:f t="shared" si="25"/>
        <x:v>-1</x:v>
      </x:c>
      <x:c r="X385" s="62">
        <x:v>0.84</x:v>
      </x:c>
      <x:c r="Y385" s="62">
        <x:v>1.75</x:v>
      </x:c>
      <x:c r="Z385" s="62">
        <x:v>1.04</x:v>
      </x:c>
      <x:c r="AA385" s="62">
        <x:v>-1.75</x:v>
      </x:c>
      <x:c r="AB385" s="62">
        <x:v>0.84</x:v>
      </x:c>
      <x:c r="AC385" s="62">
        <x:v>1.01</x:v>
      </x:c>
      <x:c r="AD385" s="60">
        <x:v>1.22</x:v>
      </x:c>
      <x:c r="AE385" s="60">
        <x:v>6.63</x:v>
      </x:c>
      <x:c r="AF385" s="60">
        <x:v>10.44</x:v>
      </x:c>
      <x:c r="AG385" s="62">
        <x:v>0.0662871343548364</x:v>
      </x:c>
      <x:c r="AH385" s="62">
        <x:v>0.0162871343548363</x:v>
      </x:c>
      <x:c r="AI385" s="62">
        <x:v>0.768716141026581</x:v>
      </x:c>
      <x:c r="AJ385" s="62">
        <x:v>0.141453045558436</x:v>
      </x:c>
      <x:c r="AK385" s="62">
        <x:v>0.0898308134149836</x:v>
      </x:c>
      <x:c r="AL385" s="62">
        <x:v>2.72</x:v>
      </x:c>
      <x:c r="AM385" s="62">
        <x:v>0.84</x:v>
      </x:c>
      <x:c r="AN385" s="62">
        <x:v>7.42317531151557e-5</x:v>
      </x:c>
      <x:c r="AO385" s="62">
        <x:v>1.25116550734344</x:v>
      </x:c>
      <x:c r="AP385" s="62">
        <x:v>-0.24116550734344</x:v>
      </x:c>
      <x:c r="AQ385" s="62" t="s">
        <x:v>99</x:v>
      </x:c>
      <x:c r="AR385" s="49">
        <x:v>-2</x:v>
      </x:c>
      <x:c r="AS385" s="62">
        <x:v>0.35002058970527</x:v>
      </x:c>
      <x:c r="AT385" s="62">
        <x:v>0.437933688699244</x:v>
      </x:c>
      <x:c r="AU385" s="60">
        <x:v>1.23</x:v>
      </x:c>
      <x:c r="AV385" s="60">
        <x:v>6.85</x:v>
      </x:c>
      <x:c r="AW385" s="60">
        <x:v>10.56</x:v>
      </x:c>
      <x:c r="AX385" s="49" t="s">
        <x:v>1356</x:v>
      </x:c>
      <x:c r="AY385" s="49" t="s">
        <x:v>101</x:v>
      </x:c>
    </x:row>
    <x:row r="386" ht="22" customHeight="1">
      <x:c r="A386" s="49" t="s">
        <x:v>1518</x:v>
      </x:c>
      <x:c r="B386" s="49" t="s">
        <x:v>1612</x:v>
      </x:c>
      <x:c r="C386" s="49" t="s">
        <x:v>333</x:v>
      </x:c>
      <x:c r="D386" s="49" t="s">
        <x:v>116</x:v>
      </x:c>
      <x:c r="E386" s="49" t="s">
        <x:v>597</x:v>
      </x:c>
      <x:c r="F386" s="49" t="s">
        <x:v>1616</x:v>
      </x:c>
      <x:c r="G386" s="60">
        <x:v>1.06</x:v>
      </x:c>
      <x:c r="H386" s="60">
        <x:v>0.25</x:v>
      </x:c>
      <x:c r="I386" s="60">
        <x:v>0.82</x:v>
      </x:c>
      <x:c r="J386" s="49" t="s">
        <x:v>1617</x:v>
      </x:c>
      <x:c r="K386" s="49" t="s">
        <x:v>189</x:v>
      </x:c>
      <x:c r="L386" s="49" t="s">
        <x:v>1618</x:v>
      </x:c>
      <x:c r="M386" s="61">
        <x:v>0.529</x:v>
      </x:c>
      <x:c r="N386" s="49" t="s">
        <x:v>96</x:v>
      </x:c>
      <x:c r="O386" s="49" t="s">
        <x:v>231</x:v>
      </x:c>
      <x:c r="P386" s="49" t="s">
        <x:v>30</x:v>
      </x:c>
      <x:c r="Q386" s="49" t="s">
        <x:v>11</x:v>
      </x:c>
      <x:c r="R386" s="50">
        <x:v>1.06</x:v>
      </x:c>
      <x:c r="S386" s="50">
        <x:f t="shared" si="24"/>
        <x:v>1.06</x:v>
      </x:c>
      <x:c r="T386" s="49" t="s">
        <x:v>1619</x:v>
      </x:c>
      <x:c r="U386" s="49" t="str">
        <x:f t="shared" si="26"/>
        <x:v>黑</x:v>
      </x:c>
      <x:c r="V386" s="50">
        <x:f t="shared" si="27"/>
        <x:v>0.82</x:v>
      </x:c>
      <x:c r="W386" s="50">
        <x:f t="shared" si="25"/>
        <x:v>-1</x:v>
      </x:c>
      <x:c r="X386" s="62">
        <x:v>0.84</x:v>
      </x:c>
      <x:c r="Y386" s="62">
        <x:v>0</x:v>
      </x:c>
      <x:c r="Z386" s="62">
        <x:v>1.04</x:v>
      </x:c>
      <x:c r="AA386" s="62">
        <x:v>0</x:v>
      </x:c>
      <x:c r="AB386" s="62">
        <x:v>0.84</x:v>
      </x:c>
      <x:c r="AC386" s="62">
        <x:v>1.06</x:v>
      </x:c>
      <x:c r="AD386" s="60">
        <x:v>2.27</x:v>
      </x:c>
      <x:c r="AE386" s="60">
        <x:v>3.86</x:v>
      </x:c>
      <x:c r="AF386" s="60">
        <x:v>2.73</x:v>
      </x:c>
      <x:c r="AG386" s="62">
        <x:v>0.0658963581745531</x:v>
      </x:c>
      <x:c r="AH386" s="62">
        <x:v>0.0158963581745531</x:v>
      </x:c>
      <x:c r="AI386" s="62">
        <x:v>0.4132940608932</x:v>
      </x:c>
      <x:c r="AJ386" s="62">
        <x:v>0.243051170525276</x:v>
      </x:c>
      <x:c r="AK386" s="62">
        <x:v>0.343654768581525</x:v>
      </x:c>
      <x:c r="AL386" s="62">
        <x:v>1.57</x:v>
      </x:c>
      <x:c r="AM386" s="62">
        <x:v>1.41</x:v>
      </x:c>
      <x:c r="AN386" s="62">
        <x:v>0.000357198260007023</x:v>
      </x:c>
      <x:c r="AO386" s="62">
        <x:v>1.12334364982551</x:v>
      </x:c>
      <x:c r="AP386" s="62">
        <x:v>-0.0633436498255133</x:v>
      </x:c>
      <x:c r="AQ386" s="62" t="s">
        <x:v>99</x:v>
      </x:c>
      <x:c r="AR386" s="49">
        <x:v>-0.25</x:v>
      </x:c>
      <x:c r="AS386" s="62">
        <x:v>0.413714675952385</x:v>
      </x:c>
      <x:c r="AT386" s="62">
        <x:v>0.464743754070732</x:v>
      </x:c>
      <x:c r="AU386" s="60">
        <x:v>2.32</x:v>
      </x:c>
      <x:c r="AV386" s="60">
        <x:v>3.98</x:v>
      </x:c>
      <x:c r="AW386" s="60">
        <x:v>2.67</x:v>
      </x:c>
      <x:c r="AX386" s="49" t="s">
        <x:v>1356</x:v>
      </x:c>
      <x:c r="AY386" s="49" t="s">
        <x:v>101</x:v>
      </x:c>
    </x:row>
    <x:row r="387" ht="22" customHeight="1">
      <x:c r="A387" s="49" t="s">
        <x:v>1518</x:v>
      </x:c>
      <x:c r="B387" s="49" t="s">
        <x:v>1620</x:v>
      </x:c>
      <x:c r="C387" s="49" t="s">
        <x:v>89</x:v>
      </x:c>
      <x:c r="D387" s="49" t="s">
        <x:v>116</x:v>
      </x:c>
      <x:c r="E387" s="49" t="s">
        <x:v>592</x:v>
      </x:c>
      <x:c r="F387" s="49" t="s">
        <x:v>1621</x:v>
      </x:c>
      <x:c r="G387" s="60">
        <x:v>0.93</x:v>
      </x:c>
      <x:c r="H387" s="60">
        <x:v>-0.25</x:v>
      </x:c>
      <x:c r="I387" s="60">
        <x:v>0.83</x:v>
      </x:c>
      <x:c r="J387" s="49" t="s">
        <x:v>1622</x:v>
      </x:c>
      <x:c r="K387" s="49" t="s">
        <x:v>106</x:v>
      </x:c>
      <x:c r="L387" s="49" t="s">
        <x:v>1623</x:v>
      </x:c>
      <x:c r="M387" s="61">
        <x:v>0.576</x:v>
      </x:c>
      <x:c r="N387" s="49" t="s">
        <x:v>96</x:v>
      </x:c>
      <x:c r="O387" s="49" t="s">
        <x:v>288</x:v>
      </x:c>
      <x:c r="P387" s="49" t="s">
        <x:v>30</x:v>
      </x:c>
      <x:c r="Q387" s="49" t="s">
        <x:v>11</x:v>
      </x:c>
      <x:c r="R387" s="50">
        <x:v>0.83</x:v>
      </x:c>
      <x:c r="S387" s="50">
        <x:f t="shared" si="24"/>
        <x:v>0.83</x:v>
      </x:c>
      <x:c r="T387" s="49" t="s">
        <x:v>1624</x:v>
      </x:c>
      <x:c r="U387" s="49" t="str">
        <x:f t="shared" si="26"/>
        <x:v>黑</x:v>
      </x:c>
      <x:c r="V387" s="50">
        <x:f t="shared" si="27"/>
        <x:v>0.93</x:v>
      </x:c>
      <x:c r="W387" s="50">
        <x:f t="shared" si="25"/>
        <x:v>-1</x:v>
      </x:c>
      <x:c r="X387" s="62">
        <x:v>0.93</x:v>
      </x:c>
      <x:c r="Y387" s="62">
        <x:v>-0.25</x:v>
      </x:c>
      <x:c r="Z387" s="62">
        <x:v>0.83</x:v>
      </x:c>
      <x:c r="AA387" s="62">
        <x:v>-0.25</x:v>
      </x:c>
      <x:c r="AB387" s="62">
        <x:v>0.83</x:v>
      </x:c>
      <x:c r="AC387" s="62">
        <x:v>0.83</x:v>
      </x:c>
      <x:c r="AD387" s="60">
        <x:v>2.9</x:v>
      </x:c>
      <x:c r="AE387" s="60">
        <x:v>3.63</x:v>
      </x:c>
      <x:c r="AF387" s="60">
        <x:v>2.06</x:v>
      </x:c>
      <x:c r="AG387" s="62">
        <x:v>0.105746573074692</x:v>
      </x:c>
      <x:c r="AH387" s="62">
        <x:v>0.055746573074692</x:v>
      </x:c>
      <x:c r="AI387" s="62">
        <x:v>0.311850467913323</x:v>
      </x:c>
      <x:c r="AJ387" s="62">
        <x:v>0.249136737451415</x:v>
      </x:c>
      <x:c r="AK387" s="62">
        <x:v>0.439012794635261</x:v>
      </x:c>
      <x:c r="AL387" s="62">
        <x:v>1.27</x:v>
      </x:c>
      <x:c r="AM387" s="62">
        <x:v>1.55</x:v>
      </x:c>
      <x:c r="AN387" s="62">
        <x:v>0.000408808510151673</x:v>
      </x:c>
      <x:c r="AO387" s="62">
        <x:v>0.99614034510244</x:v>
      </x:c>
      <x:c r="AP387" s="62">
        <x:v>-0.16614034510244</x:v>
      </x:c>
      <x:c r="AQ387" s="62" t="s">
        <x:v>99</x:v>
      </x:c>
      <x:c r="AR387" s="49">
        <x:v>-0.25</x:v>
      </x:c>
      <x:c r="AS387" s="62">
        <x:v>0.438597352198233</x:v>
      </x:c>
      <x:c r="AT387" s="62">
        <x:v>0.436904517779765</x:v>
      </x:c>
      <x:c r="AU387" s="60">
        <x:v>2.88</x:v>
      </x:c>
      <x:c r="AV387" s="60">
        <x:v>3.66</x:v>
      </x:c>
      <x:c r="AW387" s="60">
        <x:v>2.08</x:v>
      </x:c>
      <x:c r="AX387" s="49" t="s">
        <x:v>1356</x:v>
      </x:c>
      <x:c r="AY387" s="49" t="s">
        <x:v>101</x:v>
      </x:c>
    </x:row>
    <x:row r="388" ht="22" customHeight="1">
      <x:c r="A388" s="49" t="s">
        <x:v>1518</x:v>
      </x:c>
      <x:c r="B388" s="49" t="s">
        <x:v>1620</x:v>
      </x:c>
      <x:c r="C388" s="49" t="s">
        <x:v>333</x:v>
      </x:c>
      <x:c r="D388" s="49" t="s">
        <x:v>116</x:v>
      </x:c>
      <x:c r="E388" s="49" t="s">
        <x:v>156</x:v>
      </x:c>
      <x:c r="F388" s="49" t="s">
        <x:v>1625</x:v>
      </x:c>
      <x:c r="G388" s="60">
        <x:v>0.85</x:v>
      </x:c>
      <x:c r="H388" s="60">
        <x:v>0.75</x:v>
      </x:c>
      <x:c r="I388" s="60">
        <x:v>1.03</x:v>
      </x:c>
      <x:c r="J388" s="49" t="s">
        <x:v>507</x:v>
      </x:c>
      <x:c r="K388" s="49" t="s">
        <x:v>276</x:v>
      </x:c>
      <x:c r="L388" s="49" t="s">
        <x:v>1626</x:v>
      </x:c>
      <x:c r="M388" s="61">
        <x:v>0.532</x:v>
      </x:c>
      <x:c r="N388" s="49" t="s">
        <x:v>96</x:v>
      </x:c>
      <x:c r="O388" s="49" t="s">
        <x:v>410</x:v>
      </x:c>
      <x:c r="P388" s="49" t="s">
        <x:v>30</x:v>
      </x:c>
      <x:c r="Q388" s="49" t="s">
        <x:v>23</x:v>
      </x:c>
      <x:c r="R388" s="50">
        <x:v>1.03</x:v>
      </x:c>
      <x:c r="S388" s="50" t="n">
        <x:f t="shared" ref="S388:S451" si="28">IF(OR(Q388="",Q388="待结算"),"",IF(Q388="红",R388,IF(Q388="半红",R388*0.5,IF(Q388="走",0,IF(Q388="半黑",-0.5,-1)))))</x:f>
        <x:v>-1</x:v>
      </x:c>
      <x:c r="T388" s="49" t="s">
        <x:v>1627</x:v>
      </x:c>
      <x:c r="U388" s="49" t="str">
        <x:f t="shared" si="26"/>
        <x:v>红</x:v>
      </x:c>
      <x:c r="V388" s="50">
        <x:f t="shared" si="27"/>
        <x:v>0.85</x:v>
      </x:c>
      <x:c r="W388" s="50" t="n">
        <x:f t="shared" ref="W388:W451" si="29">IF(OR(U388="",U388="待结算"),"",IF(U388="红",V388,IF(U388="半红",V388*0.5,IF(U388="走",0,IF(U388="半黑",-0.5,-1)))))</x:f>
        <x:v>0.85</x:v>
      </x:c>
      <x:c r="X388" s="62">
        <x:v>0.93</x:v>
      </x:c>
      <x:c r="Y388" s="62">
        <x:v>0.75</x:v>
      </x:c>
      <x:c r="Z388" s="62">
        <x:v>0.95</x:v>
      </x:c>
      <x:c r="AA388" s="62">
        <x:v>0.75</x:v>
      </x:c>
      <x:c r="AB388" s="62">
        <x:v>0.95</x:v>
      </x:c>
      <x:c r="AC388" s="62">
        <x:v>1.03</x:v>
      </x:c>
      <x:c r="AD388" s="60">
        <x:v>1.61</x:v>
      </x:c>
      <x:c r="AE388" s="60">
        <x:v>4.11</x:v>
      </x:c>
      <x:c r="AF388" s="60">
        <x:v>4.75</x:v>
      </x:c>
      <x:c r="AG388" s="62">
        <x:v>0.0749533306449239</x:v>
      </x:c>
      <x:c r="AH388" s="62">
        <x:v>0.0249533306449239</x:v>
      </x:c>
      <x:c r="AI388" s="62">
        <x:v>0.577809282240855</x:v>
      </x:c>
      <x:c r="AJ388" s="62">
        <x:v>0.22634378209435</x:v>
      </x:c>
      <x:c r="AK388" s="62">
        <x:v>0.195846935664795</x:v>
      </x:c>
      <x:c r="AL388" s="62">
        <x:v>1.84</x:v>
      </x:c>
      <x:c r="AM388" s="62">
        <x:v>0.97</x:v>
      </x:c>
      <x:c r="AN388" s="62">
        <x:v>8.22659607520475e-5</x:v>
      </x:c>
      <x:c r="AO388" s="62">
        <x:v>1.0803651814784</x:v>
      </x:c>
      <x:c r="AP388" s="62">
        <x:v>-0.0503651814783967</x:v>
      </x:c>
      <x:c r="AQ388" s="62" t="s">
        <x:v>289</x:v>
      </x:c>
      <x:c r="AR388" s="49">
        <x:v>0.75</x:v>
      </x:c>
      <x:c r="AS388" s="62">
        <x:v>0.422082163329926</x:v>
      </x:c>
      <x:c r="AT388" s="62">
        <x:v>0.45600287298473</x:v>
      </x:c>
      <x:c r="AU388" s="60">
        <x:v>1.66</x:v>
      </x:c>
      <x:c r="AV388" s="60">
        <x:v>4.08</x:v>
      </x:c>
      <x:c r="AW388" s="60">
        <x:v>4.58</x:v>
      </x:c>
      <x:c r="AX388" s="49" t="s">
        <x:v>1356</x:v>
      </x:c>
      <x:c r="AY388" s="49" t="s">
        <x:v>101</x:v>
      </x:c>
    </x:row>
    <x:row r="389" ht="22" customHeight="1">
      <x:c r="A389" s="49" t="s">
        <x:v>1518</x:v>
      </x:c>
      <x:c r="B389" s="49" t="s">
        <x:v>1620</x:v>
      </x:c>
      <x:c r="C389" s="49" t="s">
        <x:v>333</x:v>
      </x:c>
      <x:c r="D389" s="49" t="s">
        <x:v>116</x:v>
      </x:c>
      <x:c r="E389" s="49" t="s">
        <x:v>156</x:v>
      </x:c>
      <x:c r="F389" s="49" t="s">
        <x:v>1628</x:v>
      </x:c>
      <x:c r="G389" s="60">
        <x:v>0.81</x:v>
      </x:c>
      <x:c r="H389" s="60">
        <x:v>-0.25</x:v>
      </x:c>
      <x:c r="I389" s="60">
        <x:v>1.07</x:v>
      </x:c>
      <x:c r="J389" s="49" t="s">
        <x:v>214</x:v>
      </x:c>
      <x:c r="K389" s="49" t="s">
        <x:v>189</x:v>
      </x:c>
      <x:c r="L389" s="49" t="s">
        <x:v>1629</x:v>
      </x:c>
      <x:c r="M389" s="61">
        <x:v>0.529</x:v>
      </x:c>
      <x:c r="N389" s="49" t="s">
        <x:v>96</x:v>
      </x:c>
      <x:c r="O389" s="49" t="s">
        <x:v>197</x:v>
      </x:c>
      <x:c r="P389" s="49" t="s">
        <x:v>30</x:v>
      </x:c>
      <x:c r="Q389" s="49" t="s">
        <x:v>23</x:v>
      </x:c>
      <x:c r="R389" s="50">
        <x:v>1.07</x:v>
      </x:c>
      <x:c r="S389" s="50">
        <x:f t="shared" si="28"/>
        <x:v>-1</x:v>
      </x:c>
      <x:c r="T389" s="49" t="s">
        <x:v>1630</x:v>
      </x:c>
      <x:c r="U389" s="49" t="str">
        <x:f t="shared" si="26"/>
        <x:v>红</x:v>
      </x:c>
      <x:c r="V389" s="50">
        <x:f t="shared" si="27"/>
        <x:v>0.81</x:v>
      </x:c>
      <x:c r="W389" s="50">
        <x:f t="shared" si="29"/>
        <x:v>0.81</x:v>
      </x:c>
      <x:c r="X389" s="62">
        <x:v>1.08</x:v>
      </x:c>
      <x:c r="Y389" s="62">
        <x:v>0</x:v>
      </x:c>
      <x:c r="Z389" s="62">
        <x:v>0.8</x:v>
      </x:c>
      <x:c r="AA389" s="62">
        <x:v>0</x:v>
      </x:c>
      <x:c r="AB389" s="62">
        <x:v>0.8</x:v>
      </x:c>
      <x:c r="AC389" s="62">
        <x:v>1.07</x:v>
      </x:c>
      <x:c r="AD389" s="60">
        <x:v>2.85</x:v>
      </x:c>
      <x:c r="AE389" s="60">
        <x:v>3.32</x:v>
      </x:c>
      <x:c r="AF389" s="60">
        <x:v>2.37</x:v>
      </x:c>
      <x:c r="AG389" s="62">
        <x:v>0.0740229405296067</x:v>
      </x:c>
      <x:c r="AH389" s="62">
        <x:v>0.0240229405296067</x:v>
      </x:c>
      <x:c r="AI389" s="62">
        <x:v>0.326694318847078</x:v>
      </x:c>
      <x:c r="AJ389" s="62">
        <x:v>0.280445424311498</x:v>
      </x:c>
      <x:c r="AK389" s="62">
        <x:v>0.392860256841423</x:v>
      </x:c>
      <x:c r="AL389" s="62">
        <x:v>1.1</x:v>
      </x:c>
      <x:c r="AM389" s="62">
        <x:v>1.23</x:v>
      </x:c>
      <x:c r="AN389" s="62">
        <x:v>0.000982911153913922</x:v>
      </x:c>
      <x:c r="AO389" s="62">
        <x:v>1.19553694314897</x:v>
      </x:c>
      <x:c r="AP389" s="62">
        <x:v>-0.125536943148972</x:v>
      </x:c>
      <x:c r="AQ389" s="62" t="s">
        <x:v>99</x:v>
      </x:c>
      <x:c r="AR389" s="49">
        <x:v>-0.25</x:v>
      </x:c>
      <x:c r="AS389" s="62">
        <x:v>0.39153147258707</x:v>
      </x:c>
      <x:c r="AT389" s="62">
        <x:v>0.468090339883362</x:v>
      </x:c>
      <x:c r="AU389" s="60">
        <x:v>2.82</x:v>
      </x:c>
      <x:c r="AV389" s="60">
        <x:v>3.33</x:v>
      </x:c>
      <x:c r="AW389" s="60">
        <x:v>2.43</x:v>
      </x:c>
      <x:c r="AX389" s="49" t="s">
        <x:v>1356</x:v>
      </x:c>
      <x:c r="AY389" s="49" t="s">
        <x:v>101</x:v>
      </x:c>
    </x:row>
    <x:row r="390" ht="22" customHeight="1">
      <x:c r="A390" s="49" t="s">
        <x:v>1518</x:v>
      </x:c>
      <x:c r="B390" s="49" t="s">
        <x:v>1620</x:v>
      </x:c>
      <x:c r="C390" s="49" t="s">
        <x:v>333</x:v>
      </x:c>
      <x:c r="D390" s="49" t="s">
        <x:v>116</x:v>
      </x:c>
      <x:c r="E390" s="49" t="s">
        <x:v>156</x:v>
      </x:c>
      <x:c r="F390" s="49" t="s">
        <x:v>1631</x:v>
      </x:c>
      <x:c r="G390" s="60">
        <x:v>1.04</x:v>
      </x:c>
      <x:c r="H390" s="60">
        <x:v>0.5</x:v>
      </x:c>
      <x:c r="I390" s="60">
        <x:v>0.84</x:v>
      </x:c>
      <x:c r="J390" s="49" t="s">
        <x:v>1632</x:v>
      </x:c>
      <x:c r="K390" s="49" t="s">
        <x:v>189</x:v>
      </x:c>
      <x:c r="L390" s="49" t="s">
        <x:v>1633</x:v>
      </x:c>
      <x:c r="M390" s="61">
        <x:v>0.529</x:v>
      </x:c>
      <x:c r="N390" s="49" t="s">
        <x:v>96</x:v>
      </x:c>
      <x:c r="O390" s="49" t="s">
        <x:v>197</x:v>
      </x:c>
      <x:c r="P390" s="49" t="s">
        <x:v>30</x:v>
      </x:c>
      <x:c r="Q390" s="49" t="s">
        <x:v>11</x:v>
      </x:c>
      <x:c r="R390" s="50">
        <x:v>1.04</x:v>
      </x:c>
      <x:c r="S390" s="50">
        <x:f t="shared" si="28"/>
        <x:v>1.04</x:v>
      </x:c>
      <x:c r="T390" s="49" t="s">
        <x:v>1634</x:v>
      </x:c>
      <x:c r="U390" s="49" t="str">
        <x:f t="shared" si="26"/>
        <x:v>黑</x:v>
      </x:c>
      <x:c r="V390" s="50">
        <x:f t="shared" si="27"/>
        <x:v>0.84</x:v>
      </x:c>
      <x:c r="W390" s="50">
        <x:f t="shared" si="29"/>
        <x:v>-1</x:v>
      </x:c>
      <x:c r="X390" s="62">
        <x:v>0.94</x:v>
      </x:c>
      <x:c r="Y390" s="62">
        <x:v>0.25</x:v>
      </x:c>
      <x:c r="Z390" s="62">
        <x:v>0.94</x:v>
      </x:c>
      <x:c r="AA390" s="62">
        <x:v>-0.25</x:v>
      </x:c>
      <x:c r="AB390" s="62">
        <x:v>0.94</x:v>
      </x:c>
      <x:c r="AC390" s="62">
        <x:v>1.04</x:v>
      </x:c>
      <x:c r="AD390" s="60">
        <x:v>2.14</x:v>
      </x:c>
      <x:c r="AE390" s="60">
        <x:v>3.45</x:v>
      </x:c>
      <x:c r="AF390" s="60">
        <x:v>3.13</x:v>
      </x:c>
      <x:c r="AG390" s="62">
        <x:v>0.0766336099813101</x:v>
      </x:c>
      <x:c r="AH390" s="62">
        <x:v>0.0266336099813101</x:v>
      </x:c>
      <x:c r="AI390" s="62">
        <x:v>0.434028545360274</x:v>
      </x:c>
      <x:c r="AJ390" s="62">
        <x:v>0.269223503498836</x:v>
      </x:c>
      <x:c r="AK390" s="62">
        <x:v>0.29674795114089</x:v>
      </x:c>
      <x:c r="AL390" s="62">
        <x:v>1.38</x:v>
      </x:c>
      <x:c r="AM390" s="62">
        <x:v>1.09</x:v>
      </x:c>
      <x:c r="AN390" s="62">
        <x:v>0.000717561707445456</x:v>
      </x:c>
      <x:c r="AO390" s="62">
        <x:v>1.29891072541502</x:v>
      </x:c>
      <x:c r="AP390" s="62">
        <x:v>-0.258910725415017</x:v>
      </x:c>
      <x:c r="AQ390" s="62" t="s">
        <x:v>99</x:v>
      </x:c>
      <x:c r="AR390" s="49">
        <x:v>-0.5</x:v>
      </x:c>
      <x:c r="AS390" s="62">
        <x:v>0.434988618281152</x:v>
      </x:c>
      <x:c r="AT390" s="62">
        <x:v>0.565011381718848</x:v>
      </x:c>
      <x:c r="AU390" s="60">
        <x:v>2.05</x:v>
      </x:c>
      <x:c r="AV390" s="60">
        <x:v>3.46</x:v>
      </x:c>
      <x:c r="AW390" s="60">
        <x:v>3.47</x:v>
      </x:c>
      <x:c r="AX390" s="49" t="s">
        <x:v>1356</x:v>
      </x:c>
      <x:c r="AY390" s="49" t="s">
        <x:v>101</x:v>
      </x:c>
    </x:row>
    <x:row r="391" ht="22" customHeight="1">
      <x:c r="A391" s="49" t="s">
        <x:v>1518</x:v>
      </x:c>
      <x:c r="B391" s="49" t="s">
        <x:v>1620</x:v>
      </x:c>
      <x:c r="C391" s="49" t="s">
        <x:v>333</x:v>
      </x:c>
      <x:c r="D391" s="49" t="s">
        <x:v>116</x:v>
      </x:c>
      <x:c r="E391" s="49" t="s">
        <x:v>156</x:v>
      </x:c>
      <x:c r="F391" s="49" t="s">
        <x:v>1635</x:v>
      </x:c>
      <x:c r="G391" s="60">
        <x:v>0.84</x:v>
      </x:c>
      <x:c r="H391" s="60">
        <x:v>0.5</x:v>
      </x:c>
      <x:c r="I391" s="60">
        <x:v>1.04</x:v>
      </x:c>
      <x:c r="J391" s="49" t="s">
        <x:v>920</x:v>
      </x:c>
      <x:c r="K391" s="49" t="s">
        <x:v>106</x:v>
      </x:c>
      <x:c r="L391" s="49" t="s">
        <x:v>424</x:v>
      </x:c>
      <x:c r="M391" s="61">
        <x:v>0.584</x:v>
      </x:c>
      <x:c r="N391" s="49" t="s">
        <x:v>96</x:v>
      </x:c>
      <x:c r="O391" s="49" t="s">
        <x:v>421</x:v>
      </x:c>
      <x:c r="P391" s="49" t="s">
        <x:v>30</x:v>
      </x:c>
      <x:c r="Q391" s="49" t="s">
        <x:v>11</x:v>
      </x:c>
      <x:c r="R391" s="50">
        <x:v>0.84</x:v>
      </x:c>
      <x:c r="S391" s="50">
        <x:f t="shared" si="28"/>
        <x:v>0.84</x:v>
      </x:c>
      <x:c r="T391" s="49" t="s">
        <x:v>1636</x:v>
      </x:c>
      <x:c r="U391" s="49" t="str">
        <x:f t="shared" si="26"/>
        <x:v>黑</x:v>
      </x:c>
      <x:c r="V391" s="50">
        <x:f t="shared" si="27"/>
        <x:v>1.04</x:v>
      </x:c>
      <x:c r="W391" s="50">
        <x:f t="shared" si="29"/>
        <x:v>-1</x:v>
      </x:c>
      <x:c r="X391" s="62">
        <x:v>0.87</x:v>
      </x:c>
      <x:c r="Y391" s="62">
        <x:v>0.5</x:v>
      </x:c>
      <x:c r="Z391" s="62">
        <x:v>1.01</x:v>
      </x:c>
      <x:c r="AA391" s="62">
        <x:v>-0.5</x:v>
      </x:c>
      <x:c r="AB391" s="62">
        <x:v>0.87</x:v>
      </x:c>
      <x:c r="AC391" s="62">
        <x:v>0.84</x:v>
      </x:c>
      <x:c r="AD391" s="60">
        <x:v>1.78</x:v>
      </x:c>
      <x:c r="AE391" s="60">
        <x:v>3.83</x:v>
      </x:c>
      <x:c r="AF391" s="60">
        <x:v>3.98</x:v>
      </x:c>
      <x:c r="AG391" s="62">
        <x:v>0.0741506399601493</x:v>
      </x:c>
      <x:c r="AH391" s="62">
        <x:v>0.0241506399601492</x:v>
      </x:c>
      <x:c r="AI391" s="62">
        <x:v>0.523015796769279</x:v>
      </x:c>
      <x:c r="AJ391" s="62">
        <x:v>0.243072615730892</x:v>
      </x:c>
      <x:c r="AK391" s="62">
        <x:v>0.233911587499828</x:v>
      </x:c>
      <x:c r="AL391" s="62">
        <x:v>1.67</x:v>
      </x:c>
      <x:c r="AM391" s="62">
        <x:v>1.03</x:v>
      </x:c>
      <x:c r="AN391" s="62">
        <x:v>0.00036257037458985</x:v>
      </x:c>
      <x:c r="AO391" s="62">
        <x:v>0.910444349193075</x:v>
      </x:c>
      <x:c r="AP391" s="62">
        <x:v>-0.0704443491930752</x:v>
      </x:c>
      <x:c r="AQ391" s="62" t="s">
        <x:v>99</x:v>
      </x:c>
      <x:c r="AR391" s="49">
        <x:v>-0.5</x:v>
      </x:c>
      <x:c r="AS391" s="62">
        <x:v>0.523438434844949</x:v>
      </x:c>
      <x:c r="AT391" s="62">
        <x:v>0.476561565155051</x:v>
      </x:c>
      <x:c r="AU391" s="60">
        <x:v>1.84</x:v>
      </x:c>
      <x:c r="AV391" s="60">
        <x:v>3.87</x:v>
      </x:c>
      <x:c r="AW391" s="60">
        <x:v>3.78</x:v>
      </x:c>
      <x:c r="AX391" s="49" t="s">
        <x:v>1356</x:v>
      </x:c>
      <x:c r="AY391" s="49" t="s">
        <x:v>101</x:v>
      </x:c>
    </x:row>
    <x:row r="392" ht="22" customHeight="1">
      <x:c r="A392" s="49" t="s">
        <x:v>1518</x:v>
      </x:c>
      <x:c r="B392" s="49" t="s">
        <x:v>1620</x:v>
      </x:c>
      <x:c r="C392" s="49" t="s">
        <x:v>333</x:v>
      </x:c>
      <x:c r="D392" s="49" t="s">
        <x:v>116</x:v>
      </x:c>
      <x:c r="E392" s="49" t="s">
        <x:v>145</x:v>
      </x:c>
      <x:c r="F392" s="49" t="s">
        <x:v>1637</x:v>
      </x:c>
      <x:c r="G392" s="60">
        <x:v>0.84</x:v>
      </x:c>
      <x:c r="H392" s="60">
        <x:v>0</x:v>
      </x:c>
      <x:c r="I392" s="60">
        <x:v>0.98</x:v>
      </x:c>
      <x:c r="J392" s="49" t="s">
        <x:v>1638</x:v>
      </x:c>
      <x:c r="K392" s="49" t="s">
        <x:v>106</x:v>
      </x:c>
      <x:c r="L392" s="49" t="s">
        <x:v>1639</x:v>
      </x:c>
      <x:c r="M392" s="61">
        <x:v>0.584</x:v>
      </x:c>
      <x:c r="N392" s="49" t="s">
        <x:v>96</x:v>
      </x:c>
      <x:c r="O392" s="49" t="s">
        <x:v>231</x:v>
      </x:c>
      <x:c r="P392" s="49" t="s">
        <x:v>30</x:v>
      </x:c>
      <x:c r="Q392" s="49" t="s">
        <x:v>11</x:v>
      </x:c>
      <x:c r="R392" s="50">
        <x:v>0.84</x:v>
      </x:c>
      <x:c r="S392" s="50">
        <x:f t="shared" si="28"/>
        <x:v>0.84</x:v>
      </x:c>
      <x:c r="T392" s="49" t="s">
        <x:v>1640</x:v>
      </x:c>
      <x:c r="U392" s="49" t="str">
        <x:f t="shared" si="26"/>
        <x:v>黑</x:v>
      </x:c>
      <x:c r="V392" s="50">
        <x:f t="shared" si="27"/>
        <x:v>0.98</x:v>
      </x:c>
      <x:c r="W392" s="50">
        <x:f t="shared" si="29"/>
        <x:v>-1</x:v>
      </x:c>
      <x:c r="X392" s="62">
        <x:v>0.85</x:v>
      </x:c>
      <x:c r="Y392" s="62">
        <x:v>0</x:v>
      </x:c>
      <x:c r="Z392" s="62">
        <x:v>0.97</x:v>
      </x:c>
      <x:c r="AA392" s="62">
        <x:v>0</x:v>
      </x:c>
      <x:c r="AB392" s="62">
        <x:v>0.85</x:v>
      </x:c>
      <x:c r="AC392" s="62">
        <x:v>0.84</x:v>
      </x:c>
      <x:c r="AD392" s="60">
        <x:v>2.34</x:v>
      </x:c>
      <x:c r="AE392" s="60">
        <x:v>3.27</x:v>
      </x:c>
      <x:c r="AF392" s="60">
        <x:v>2.84</x:v>
      </x:c>
      <x:c r="AG392" s="62">
        <x:v>0.0852735009602823</x:v>
      </x:c>
      <x:c r="AH392" s="62">
        <x:v>0.0352735009602823</x:v>
      </x:c>
      <x:c r="AI392" s="62">
        <x:v>0.393772101661282</x:v>
      </x:c>
      <x:c r="AJ392" s="62">
        <x:v>0.281781870913578</x:v>
      </x:c>
      <x:c r="AK392" s="62">
        <x:v>0.324446027425141</x:v>
      </x:c>
      <x:c r="AL392" s="62">
        <x:v>1.23</x:v>
      </x:c>
      <x:c r="AM392" s="62">
        <x:v>1.09</x:v>
      </x:c>
      <x:c r="AN392" s="62">
        <x:v>0.000362479096514224</x:v>
      </x:c>
      <x:c r="AO392" s="62">
        <x:v>0.825151520125888</x:v>
      </x:c>
      <x:c r="AP392" s="62">
        <x:v>0.0148484798741124</x:v>
      </x:c>
      <x:c r="AQ392" s="62" t="s">
        <x:v>174</x:v>
      </x:c>
      <x:c r="AR392" s="49">
        <x:v>0</x:v>
      </x:c>
      <x:c r="AS392" s="62">
        <x:v>0.39374782166403</x:v>
      </x:c>
      <x:c r="AT392" s="62">
        <x:v>0.324901613592331</x:v>
      </x:c>
      <x:c r="AU392" s="60">
        <x:v>2.59</x:v>
      </x:c>
      <x:c r="AV392" s="60">
        <x:v>3.27</x:v>
      </x:c>
      <x:c r="AW392" s="60">
        <x:v>2.58</x:v>
      </x:c>
      <x:c r="AX392" s="49" t="s">
        <x:v>1356</x:v>
      </x:c>
      <x:c r="AY392" s="49" t="s">
        <x:v>101</x:v>
      </x:c>
    </x:row>
    <x:row r="393" ht="22" customHeight="1">
      <x:c r="A393" s="49" t="s">
        <x:v>1518</x:v>
      </x:c>
      <x:c r="B393" s="49" t="s">
        <x:v>1620</x:v>
      </x:c>
      <x:c r="C393" s="49" t="s">
        <x:v>333</x:v>
      </x:c>
      <x:c r="D393" s="49" t="s">
        <x:v>116</x:v>
      </x:c>
      <x:c r="E393" s="49" t="s">
        <x:v>145</x:v>
      </x:c>
      <x:c r="F393" s="49" t="s">
        <x:v>1641</x:v>
      </x:c>
      <x:c r="G393" s="60">
        <x:v>0.8</x:v>
      </x:c>
      <x:c r="H393" s="60">
        <x:v>0.75</x:v>
      </x:c>
      <x:c r="I393" s="60">
        <x:v>1.02</x:v>
      </x:c>
      <x:c r="J393" s="49" t="s">
        <x:v>450</x:v>
      </x:c>
      <x:c r="K393" s="49" t="s">
        <x:v>106</x:v>
      </x:c>
      <x:c r="L393" s="49" t="s">
        <x:v>1642</x:v>
      </x:c>
      <x:c r="M393" s="61">
        <x:v>0.584</x:v>
      </x:c>
      <x:c r="N393" s="49" t="s">
        <x:v>96</x:v>
      </x:c>
      <x:c r="O393" s="49" t="s">
        <x:v>141</x:v>
      </x:c>
      <x:c r="P393" s="49" t="s">
        <x:v>30</x:v>
      </x:c>
      <x:c r="Q393" s="49" t="s">
        <x:v>11</x:v>
      </x:c>
      <x:c r="R393" s="50">
        <x:v>0.8</x:v>
      </x:c>
      <x:c r="S393" s="50">
        <x:f t="shared" si="28"/>
        <x:v>0.8</x:v>
      </x:c>
      <x:c r="T393" s="49" t="s">
        <x:v>1643</x:v>
      </x:c>
      <x:c r="U393" s="49" t="str">
        <x:f t="shared" si="26"/>
        <x:v>黑</x:v>
      </x:c>
      <x:c r="V393" s="50">
        <x:f t="shared" si="27"/>
        <x:v>1.02</x:v>
      </x:c>
      <x:c r="W393" s="50">
        <x:f t="shared" si="29"/>
        <x:v>-1</x:v>
      </x:c>
      <x:c r="X393" s="62">
        <x:v>0.97</x:v>
      </x:c>
      <x:c r="Y393" s="62">
        <x:v>0.75</x:v>
      </x:c>
      <x:c r="Z393" s="62">
        <x:v>0.85</x:v>
      </x:c>
      <x:c r="AA393" s="62">
        <x:v>-0.75</x:v>
      </x:c>
      <x:c r="AB393" s="62">
        <x:v>0.97</x:v>
      </x:c>
      <x:c r="AC393" s="62">
        <x:v>0.8</x:v>
      </x:c>
      <x:c r="AD393" s="60">
        <x:v>1.69</x:v>
      </x:c>
      <x:c r="AE393" s="60">
        <x:v>3.91</x:v>
      </x:c>
      <x:c r="AF393" s="60">
        <x:v>4.15</x:v>
      </x:c>
      <x:c r="AG393" s="62">
        <x:v>0.0884343074563725</x:v>
      </x:c>
      <x:c r="AH393" s="62">
        <x:v>0.0384343074563725</x:v>
      </x:c>
      <x:c r="AI393" s="62">
        <x:v>0.543639586034528</x:v>
      </x:c>
      <x:c r="AJ393" s="62">
        <x:v>0.234974654833338</x:v>
      </x:c>
      <x:c r="AK393" s="62">
        <x:v>0.221385759132133</x:v>
      </x:c>
      <x:c r="AL393" s="62">
        <x:v>1.75</x:v>
      </x:c>
      <x:c r="AM393" s="62">
        <x:v>1.03</x:v>
      </x:c>
      <x:c r="AN393" s="62">
        <x:v>0.000747495819768661</x:v>
      </x:c>
      <x:c r="AO393" s="62">
        <x:v>1.08324846168701</x:v>
      </x:c>
      <x:c r="AP393" s="62">
        <x:v>-0.283248461687012</x:v>
      </x:c>
      <x:c r="AQ393" s="62" t="s">
        <x:v>99</x:v>
      </x:c>
      <x:c r="AR393" s="49">
        <x:v>-0.75</x:v>
      </x:c>
      <x:c r="AS393" s="62">
        <x:v>0.422262003924085</x:v>
      </x:c>
      <x:c r="AT393" s="62">
        <x:v>0.45741466617964</x:v>
      </x:c>
      <x:c r="AU393" s="60">
        <x:v>1.63</x:v>
      </x:c>
      <x:c r="AV393" s="60">
        <x:v>4.07</x:v>
      </x:c>
      <x:c r="AW393" s="60">
        <x:v>4.53</x:v>
      </x:c>
      <x:c r="AX393" s="49" t="s">
        <x:v>1356</x:v>
      </x:c>
      <x:c r="AY393" s="49" t="s">
        <x:v>101</x:v>
      </x:c>
    </x:row>
    <x:row r="394" ht="22" customHeight="1">
      <x:c r="A394" s="49" t="s">
        <x:v>1518</x:v>
      </x:c>
      <x:c r="B394" s="49" t="s">
        <x:v>1620</x:v>
      </x:c>
      <x:c r="C394" s="49" t="s">
        <x:v>333</x:v>
      </x:c>
      <x:c r="D394" s="49" t="s">
        <x:v>116</x:v>
      </x:c>
      <x:c r="E394" s="49" t="s">
        <x:v>145</x:v>
      </x:c>
      <x:c r="F394" s="49" t="s">
        <x:v>1644</x:v>
      </x:c>
      <x:c r="G394" s="60">
        <x:v>0.83</x:v>
      </x:c>
      <x:c r="H394" s="60">
        <x:v>0.75</x:v>
      </x:c>
      <x:c r="I394" s="60">
        <x:v>0.99</x:v>
      </x:c>
      <x:c r="J394" s="49" t="s">
        <x:v>434</x:v>
      </x:c>
      <x:c r="K394" s="49" t="s">
        <x:v>106</x:v>
      </x:c>
      <x:c r="L394" s="49" t="s">
        <x:v>168</x:v>
      </x:c>
      <x:c r="M394" s="61">
        <x:v>0.584</x:v>
      </x:c>
      <x:c r="N394" s="49" t="s">
        <x:v>96</x:v>
      </x:c>
      <x:c r="O394" s="49" t="s">
        <x:v>149</x:v>
      </x:c>
      <x:c r="P394" s="49" t="s">
        <x:v>30</x:v>
      </x:c>
      <x:c r="Q394" s="49" t="s">
        <x:v>23</x:v>
      </x:c>
      <x:c r="R394" s="50">
        <x:v>0.83</x:v>
      </x:c>
      <x:c r="S394" s="50">
        <x:f t="shared" si="28"/>
        <x:v>-1</x:v>
      </x:c>
      <x:c r="T394" s="49" t="s">
        <x:v>1645</x:v>
      </x:c>
      <x:c r="U394" s="49" t="str">
        <x:f t="shared" si="26"/>
        <x:v>红</x:v>
      </x:c>
      <x:c r="V394" s="50">
        <x:f t="shared" si="27"/>
        <x:v>0.99</x:v>
      </x:c>
      <x:c r="W394" s="50">
        <x:f t="shared" si="29"/>
        <x:v>0.99</x:v>
      </x:c>
      <x:c r="X394" s="62">
        <x:v>0.86</x:v>
      </x:c>
      <x:c r="Y394" s="62">
        <x:v>0.5</x:v>
      </x:c>
      <x:c r="Z394" s="62">
        <x:v>0.96</x:v>
      </x:c>
      <x:c r="AA394" s="62">
        <x:v>-0.5</x:v>
      </x:c>
      <x:c r="AB394" s="62">
        <x:v>0.86</x:v>
      </x:c>
      <x:c r="AC394" s="62">
        <x:v>0.83</x:v>
      </x:c>
      <x:c r="AD394" s="60">
        <x:v>1.82</x:v>
      </x:c>
      <x:c r="AE394" s="60">
        <x:v>3.67</x:v>
      </x:c>
      <x:c r="AF394" s="60">
        <x:v>3.78</x:v>
      </x:c>
      <x:c r="AG394" s="62">
        <x:v>0.0864803780335115</x:v>
      </x:c>
      <x:c r="AH394" s="62">
        <x:v>0.0364803780335115</x:v>
      </x:c>
      <x:c r="AI394" s="62">
        <x:v>0.505716035521078</x:v>
      </x:c>
      <x:c r="AJ394" s="62">
        <x:v>0.250791058487292</x:v>
      </x:c>
      <x:c r="AK394" s="62">
        <x:v>0.24349290599163</x:v>
      </x:c>
      <x:c r="AL394" s="62">
        <x:v>1.59</x:v>
      </x:c>
      <x:c r="AM394" s="62">
        <x:v>1.02</x:v>
      </x:c>
      <x:c r="AN394" s="62">
        <x:v>0.000312555010136484</x:v>
      </x:c>
      <x:c r="AO394" s="62">
        <x:v>1.28109826260698</x:v>
      </x:c>
      <x:c r="AP394" s="62">
        <x:v>-0.451098262606981</x:v>
      </x:c>
      <x:c r="AQ394" s="62" t="s">
        <x:v>99</x:v>
      </x:c>
      <x:c r="AR394" s="49">
        <x:v>-0.75</x:v>
      </x:c>
      <x:c r="AS394" s="62">
        <x:v>0.385534092500958</x:v>
      </x:c>
      <x:c r="AT394" s="62">
        <x:v>0.493907056078737</x:v>
      </x:c>
      <x:c r="AU394" s="60">
        <x:v>1.62</x:v>
      </x:c>
      <x:c r="AV394" s="60">
        <x:v>3.99</x:v>
      </x:c>
      <x:c r="AW394" s="60">
        <x:v>4.77</x:v>
      </x:c>
      <x:c r="AX394" s="49" t="s">
        <x:v>1356</x:v>
      </x:c>
      <x:c r="AY394" s="49" t="s">
        <x:v>101</x:v>
      </x:c>
    </x:row>
    <x:row r="395" ht="22" customHeight="1">
      <x:c r="A395" s="49" t="s">
        <x:v>1518</x:v>
      </x:c>
      <x:c r="B395" s="49" t="s">
        <x:v>1620</x:v>
      </x:c>
      <x:c r="C395" s="49" t="s">
        <x:v>333</x:v>
      </x:c>
      <x:c r="D395" s="49" t="s">
        <x:v>116</x:v>
      </x:c>
      <x:c r="E395" s="49" t="s">
        <x:v>609</x:v>
      </x:c>
      <x:c r="F395" s="49" t="s">
        <x:v>1646</x:v>
      </x:c>
      <x:c r="G395" s="60">
        <x:v>1.04</x:v>
      </x:c>
      <x:c r="H395" s="60">
        <x:v>2</x:v>
      </x:c>
      <x:c r="I395" s="60">
        <x:v>0.84</x:v>
      </x:c>
      <x:c r="J395" s="49" t="s">
        <x:v>1647</x:v>
      </x:c>
      <x:c r="K395" s="49" t="s">
        <x:v>189</x:v>
      </x:c>
      <x:c r="L395" s="49" t="s">
        <x:v>1648</x:v>
      </x:c>
      <x:c r="M395" s="61">
        <x:v>0.529</x:v>
      </x:c>
      <x:c r="N395" s="49" t="s">
        <x:v>96</x:v>
      </x:c>
      <x:c r="O395" s="49" t="s">
        <x:v>273</x:v>
      </x:c>
      <x:c r="P395" s="49" t="s">
        <x:v>30</x:v>
      </x:c>
      <x:c r="Q395" s="49" t="s">
        <x:v>23</x:v>
      </x:c>
      <x:c r="R395" s="50">
        <x:v>1.04</x:v>
      </x:c>
      <x:c r="S395" s="50">
        <x:f t="shared" si="28"/>
        <x:v>-1</x:v>
      </x:c>
      <x:c r="T395" s="49" t="s">
        <x:v>1649</x:v>
      </x:c>
      <x:c r="U395" s="49" t="str">
        <x:f t="shared" si="26"/>
        <x:v>红</x:v>
      </x:c>
      <x:c r="V395" s="50">
        <x:f t="shared" si="27"/>
        <x:v>0.84</x:v>
      </x:c>
      <x:c r="W395" s="50">
        <x:f t="shared" si="29"/>
        <x:v>0.84</x:v>
      </x:c>
      <x:c r="X395" s="62">
        <x:v>0.86</x:v>
      </x:c>
      <x:c r="Y395" s="62">
        <x:v>1.75</x:v>
      </x:c>
      <x:c r="Z395" s="62">
        <x:v>1.02</x:v>
      </x:c>
      <x:c r="AA395" s="62">
        <x:v>-1.75</x:v>
      </x:c>
      <x:c r="AB395" s="62">
        <x:v>0.86</x:v>
      </x:c>
      <x:c r="AC395" s="62">
        <x:v>1.04</x:v>
      </x:c>
      <x:c r="AD395" s="60">
        <x:v>1.22</x:v>
      </x:c>
      <x:c r="AE395" s="60">
        <x:v>6.25</x:v>
      </x:c>
      <x:c r="AF395" s="60">
        <x:v>12.39</x:v>
      </x:c>
      <x:c r="AG395" s="62">
        <x:v>0.0603823813493167</x:v>
      </x:c>
      <x:c r="AH395" s="62">
        <x:v>0.0103823813493167</x:v>
      </x:c>
      <x:c r="AI395" s="62">
        <x:v>0.772996746800455</x:v>
      </x:c>
      <x:c r="AJ395" s="62">
        <x:v>0.150888964975449</x:v>
      </x:c>
      <x:c r="AK395" s="62">
        <x:v>0.0761142882240964</x:v>
      </x:c>
      <x:c r="AL395" s="62">
        <x:v>2.44</x:v>
      </x:c>
      <x:c r="AM395" s="62">
        <x:v>0.63</x:v>
      </x:c>
      <x:c r="AN395" s="62">
        <x:v>0.000380907067503221</x:v>
      </x:c>
      <x:c r="AO395" s="62">
        <x:v>1.39966832231146</x:v>
      </x:c>
      <x:c r="AP395" s="62">
        <x:v>-0.359668322311456</x:v>
      </x:c>
      <x:c r="AQ395" s="62" t="s">
        <x:v>99</x:v>
      </x:c>
      <x:c r="AR395" s="49">
        <x:v>-2</x:v>
      </x:c>
      <x:c r="AS395" s="62">
        <x:v>0.323341838582981</x:v>
      </x:c>
      <x:c r="AT395" s="62">
        <x:v>0.452571328742542</x:v>
      </x:c>
      <x:c r="AU395" s="60">
        <x:v>1.23</x:v>
      </x:c>
      <x:c r="AV395" s="60">
        <x:v>6.51</x:v>
      </x:c>
      <x:c r="AW395" s="60">
        <x:v>12.04</x:v>
      </x:c>
      <x:c r="AX395" s="49" t="s">
        <x:v>1356</x:v>
      </x:c>
      <x:c r="AY395" s="49" t="s">
        <x:v>101</x:v>
      </x:c>
    </x:row>
    <x:row r="396" ht="22" customHeight="1">
      <x:c r="A396" s="49" t="s">
        <x:v>1518</x:v>
      </x:c>
      <x:c r="B396" s="49" t="s">
        <x:v>1620</x:v>
      </x:c>
      <x:c r="C396" s="49" t="s">
        <x:v>333</x:v>
      </x:c>
      <x:c r="D396" s="49" t="s">
        <x:v>116</x:v>
      </x:c>
      <x:c r="E396" s="49" t="s">
        <x:v>609</x:v>
      </x:c>
      <x:c r="F396" s="49" t="s">
        <x:v>1650</x:v>
      </x:c>
      <x:c r="G396" s="60">
        <x:v>0.97</x:v>
      </x:c>
      <x:c r="H396" s="60">
        <x:v>0.25</x:v>
      </x:c>
      <x:c r="I396" s="60">
        <x:v>0.91</x:v>
      </x:c>
      <x:c r="J396" s="49" t="s">
        <x:v>1651</x:v>
      </x:c>
      <x:c r="K396" s="49" t="s">
        <x:v>132</x:v>
      </x:c>
      <x:c r="L396" s="49" t="s">
        <x:v>1652</x:v>
      </x:c>
      <x:c r="M396" s="61">
        <x:v>0.559</x:v>
      </x:c>
      <x:c r="N396" s="49" t="s">
        <x:v>96</x:v>
      </x:c>
      <x:c r="O396" s="49" t="s">
        <x:v>169</x:v>
      </x:c>
      <x:c r="P396" s="49" t="s">
        <x:v>30</x:v>
      </x:c>
      <x:c r="Q396" s="49" t="s">
        <x:v>23</x:v>
      </x:c>
      <x:c r="R396" s="50">
        <x:v>0.97</x:v>
      </x:c>
      <x:c r="S396" s="50">
        <x:f t="shared" si="28"/>
        <x:v>-1</x:v>
      </x:c>
      <x:c r="T396" s="49" t="s">
        <x:v>1653</x:v>
      </x:c>
      <x:c r="U396" s="49" t="str">
        <x:f t="shared" si="26"/>
        <x:v>红</x:v>
      </x:c>
      <x:c r="V396" s="50">
        <x:f t="shared" si="27"/>
        <x:v>0.91</x:v>
      </x:c>
      <x:c r="W396" s="50">
        <x:f t="shared" si="29"/>
        <x:v>0.91</x:v>
      </x:c>
      <x:c r="X396" s="62">
        <x:v>0.99</x:v>
      </x:c>
      <x:c r="Y396" s="62">
        <x:v>0.5</x:v>
      </x:c>
      <x:c r="Z396" s="62">
        <x:v>0.89</x:v>
      </x:c>
      <x:c r="AA396" s="62">
        <x:v>-0.5</x:v>
      </x:c>
      <x:c r="AB396" s="62">
        <x:v>0.99</x:v>
      </x:c>
      <x:c r="AC396" s="62">
        <x:v>0.97</x:v>
      </x:c>
      <x:c r="AD396" s="60">
        <x:v>1.97</x:v>
      </x:c>
      <x:c r="AE396" s="60">
        <x:v>3.52</x:v>
      </x:c>
      <x:c r="AF396" s="60">
        <x:v>3.83</x:v>
      </x:c>
      <x:c r="AG396" s="62">
        <x:v>0.052801728033004</x:v>
      </x:c>
      <x:c r="AH396" s="62">
        <x:v>0.00280172803300398</x:v>
      </x:c>
      <x:c r="AI396" s="62">
        <x:v>0.482155566125796</x:v>
      </x:c>
      <x:c r="AJ396" s="62">
        <x:v>0.269842745814721</x:v>
      </x:c>
      <x:c r="AK396" s="62">
        <x:v>0.248001688059483</x:v>
      </x:c>
      <x:c r="AL396" s="62">
        <x:v>1.41</x:v>
      </x:c>
      <x:c r="AM396" s="62">
        <x:v>0.93</x:v>
      </x:c>
      <x:c r="AN396" s="62">
        <x:v>0.000728673292862378</x:v>
      </x:c>
      <x:c r="AO396" s="62">
        <x:v>0.797056179523048</x:v>
      </x:c>
      <x:c r="AP396" s="62">
        <x:v>0.172943820476952</x:v>
      </x:c>
      <x:c r="AQ396" s="62" t="s">
        <x:v>165</x:v>
      </x:c>
      <x:c r="AR396" s="49">
        <x:v>-0.25</x:v>
      </x:c>
      <x:c r="AS396" s="62">
        <x:v>0.481174225865404</x:v>
      </x:c>
      <x:c r="AT396" s="62">
        <x:v>0.383522890153239</x:v>
      </x:c>
      <x:c r="AU396" s="60">
        <x:v>2.27</x:v>
      </x:c>
      <x:c r="AV396" s="60">
        <x:v>3.37</x:v>
      </x:c>
      <x:c r="AW396" s="60">
        <x:v>3.17</x:v>
      </x:c>
      <x:c r="AX396" s="49" t="s">
        <x:v>1356</x:v>
      </x:c>
      <x:c r="AY396" s="49" t="s">
        <x:v>101</x:v>
      </x:c>
    </x:row>
    <x:row r="397" ht="22" customHeight="1">
      <x:c r="A397" s="49" t="s">
        <x:v>1518</x:v>
      </x:c>
      <x:c r="B397" s="49" t="s">
        <x:v>1654</x:v>
      </x:c>
      <x:c r="C397" s="49" t="s">
        <x:v>333</x:v>
      </x:c>
      <x:c r="D397" s="49" t="s">
        <x:v>116</x:v>
      </x:c>
      <x:c r="E397" s="49" t="s">
        <x:v>613</x:v>
      </x:c>
      <x:c r="F397" s="49" t="s">
        <x:v>1655</x:v>
      </x:c>
      <x:c r="G397" s="60">
        <x:v>0.92</x:v>
      </x:c>
      <x:c r="H397" s="60">
        <x:v>0.25</x:v>
      </x:c>
      <x:c r="I397" s="60">
        <x:v>0.96</x:v>
      </x:c>
      <x:c r="J397" s="49" t="s">
        <x:v>1656</x:v>
      </x:c>
      <x:c r="K397" s="49" t="s">
        <x:v>132</x:v>
      </x:c>
      <x:c r="L397" s="49" t="s">
        <x:v>1657</x:v>
      </x:c>
      <x:c r="M397" s="61">
        <x:v>0.559</x:v>
      </x:c>
      <x:c r="N397" s="49" t="s">
        <x:v>96</x:v>
      </x:c>
      <x:c r="O397" s="49" t="s">
        <x:v>114</x:v>
      </x:c>
      <x:c r="P397" s="49" t="s">
        <x:v>30</x:v>
      </x:c>
      <x:c r="Q397" s="49" t="s">
        <x:v>23</x:v>
      </x:c>
      <x:c r="R397" s="50">
        <x:v>0.92</x:v>
      </x:c>
      <x:c r="S397" s="50">
        <x:f t="shared" si="28"/>
        <x:v>-1</x:v>
      </x:c>
      <x:c r="T397" s="49" t="s">
        <x:v>1658</x:v>
      </x:c>
      <x:c r="U397" s="49" t="str">
        <x:f t="shared" si="26"/>
        <x:v>红</x:v>
      </x:c>
      <x:c r="V397" s="50">
        <x:f t="shared" si="27"/>
        <x:v>0.96</x:v>
      </x:c>
      <x:c r="W397" s="50">
        <x:f t="shared" si="29"/>
        <x:v>0.96</x:v>
      </x:c>
      <x:c r="X397" s="62">
        <x:v>0.96</x:v>
      </x:c>
      <x:c r="Y397" s="62">
        <x:v>0.5</x:v>
      </x:c>
      <x:c r="Z397" s="62">
        <x:v>0.92</x:v>
      </x:c>
      <x:c r="AA397" s="62">
        <x:v>-0.5</x:v>
      </x:c>
      <x:c r="AB397" s="62">
        <x:v>0.96</x:v>
      </x:c>
      <x:c r="AC397" s="62">
        <x:v>0.92</x:v>
      </x:c>
      <x:c r="AD397" s="60">
        <x:v>1.97</x:v>
      </x:c>
      <x:c r="AE397" s="60">
        <x:v>3.34</x:v>
      </x:c>
      <x:c r="AF397" s="60">
        <x:v>3.92</x:v>
      </x:c>
      <x:c r="AG397" s="62">
        <x:v>0.0621174516190866</x:v>
      </x:c>
      <x:c r="AH397" s="62">
        <x:v>0.0121174516190866</x:v>
      </x:c>
      <x:c r="AI397" s="62">
        <x:v>0.477926628946888</x:v>
      </x:c>
      <x:c r="AJ397" s="62">
        <x:v>0.28189085599562</x:v>
      </x:c>
      <x:c r="AK397" s="62">
        <x:v>0.240182515057492</x:v>
      </x:c>
      <x:c r="AL397" s="62">
        <x:v>1.33</x:v>
      </x:c>
      <x:c r="AM397" s="62">
        <x:v>0.85</x:v>
      </x:c>
      <x:c r="AN397" s="62">
        <x:v>0.000904779866846138</x:v>
      </x:c>
      <x:c r="AO397" s="62">
        <x:v>0.793254133202576</x:v>
      </x:c>
      <x:c r="AP397" s="62">
        <x:v>0.126745866797424</x:v>
      </x:c>
      <x:c r="AQ397" s="62" t="s">
        <x:v>165</x:v>
      </x:c>
      <x:c r="AR397" s="49">
        <x:v>-0.25</x:v>
      </x:c>
      <x:c r="AS397" s="62">
        <x:v>0.479066261470632</x:v>
      </x:c>
      <x:c r="AT397" s="62">
        <x:v>0.380021291989485</x:v>
      </x:c>
      <x:c r="AU397" s="60">
        <x:v>2.21</x:v>
      </x:c>
      <x:c r="AV397" s="60">
        <x:v>3.23</x:v>
      </x:c>
      <x:c r="AW397" s="60">
        <x:v>3.51</x:v>
      </x:c>
      <x:c r="AX397" s="49" t="s">
        <x:v>1356</x:v>
      </x:c>
      <x:c r="AY397" s="49" t="s">
        <x:v>101</x:v>
      </x:c>
    </x:row>
    <x:row r="398" ht="22" customHeight="1">
      <x:c r="A398" s="49" t="s">
        <x:v>1518</x:v>
      </x:c>
      <x:c r="B398" s="49" t="s">
        <x:v>1659</x:v>
      </x:c>
      <x:c r="C398" s="49" t="s">
        <x:v>89</x:v>
      </x:c>
      <x:c r="D398" s="49" t="s">
        <x:v>116</x:v>
      </x:c>
      <x:c r="E398" s="49" t="s">
        <x:v>755</x:v>
      </x:c>
      <x:c r="F398" s="49" t="s">
        <x:v>1660</x:v>
      </x:c>
      <x:c r="G398" s="60">
        <x:v>0.83</x:v>
      </x:c>
      <x:c r="H398" s="60">
        <x:v>0.25</x:v>
      </x:c>
      <x:c r="I398" s="60">
        <x:v>0.99</x:v>
      </x:c>
      <x:c r="J398" s="49" t="s">
        <x:v>1661</x:v>
      </x:c>
      <x:c r="K398" s="49" t="s">
        <x:v>106</x:v>
      </x:c>
      <x:c r="L398" s="49" t="s">
        <x:v>1662</x:v>
      </x:c>
      <x:c r="M398" s="61">
        <x:v>0.576</x:v>
      </x:c>
      <x:c r="N398" s="49" t="s">
        <x:v>96</x:v>
      </x:c>
      <x:c r="O398" s="49" t="s">
        <x:v>1663</x:v>
      </x:c>
      <x:c r="P398" s="49" t="s">
        <x:v>1664</x:v>
      </x:c>
      <x:c r="Q398" s="49"/>
      <x:c r="R398" s="50">
        <x:v>0.83</x:v>
      </x:c>
      <x:c r="S398" s="50" t="str">
        <x:f t="shared" si="28"/>
      </x:c>
      <x:c r="T398" s="49" t="s">
        <x:v>1665</x:v>
      </x:c>
      <x:c r="U398" s="49" t="str">
        <x:f t="shared" si="26"/>
      </x:c>
      <x:c r="V398" s="50" t="str">
        <x:f t="shared" si="27"/>
      </x:c>
      <x:c r="W398" s="50" t="str">
        <x:f t="shared" si="29"/>
      </x:c>
      <x:c r="X398" s="62">
        <x:v>0.8</x:v>
      </x:c>
      <x:c r="Y398" s="62">
        <x:v>0.25</x:v>
      </x:c>
      <x:c r="Z398" s="62">
        <x:v>1.02</x:v>
      </x:c>
      <x:c r="AA398" s="62">
        <x:v>-0.25</x:v>
      </x:c>
      <x:c r="AB398" s="62">
        <x:v>0.8</x:v>
      </x:c>
      <x:c r="AC398" s="62">
        <x:v>0.83</x:v>
      </x:c>
      <x:c r="AD398" s="60">
        <x:v>1.93</x:v>
      </x:c>
      <x:c r="AE398" s="60">
        <x:v>3.24</x:v>
      </x:c>
      <x:c r="AF398" s="60">
        <x:v>3.76</x:v>
      </x:c>
      <x:c r="AG398" s="62">
        <x:v>0.0927341371430594</x:v>
      </x:c>
      <x:c r="AH398" s="62">
        <x:v>0.0427341371430594</x:v>
      </x:c>
      <x:c r="AI398" s="62">
        <x:v>0.474163565879404</x:v>
      </x:c>
      <x:c r="AJ398" s="62">
        <x:v>0.282449284613349</x:v>
      </x:c>
      <x:c r="AK398" s="62">
        <x:v>0.243387149507247</x:v>
      </x:c>
      <x:c r="AL398" s="62">
        <x:v>1.32</x:v>
      </x:c>
      <x:c r="AM398" s="62">
        <x:v>0.86</x:v>
      </x:c>
      <x:c r="AN398" s="62">
        <x:v>0.000315425227408275</x:v>
      </x:c>
      <x:c r="AO398" s="62">
        <x:v>0.812543655964868</x:v>
      </x:c>
      <x:c r="AP398" s="62">
        <x:v>0.0174563440351322</x:v>
      </x:c>
      <x:c r="AQ398" s="62" t="s">
        <x:v>174</x:v>
      </x:c>
      <x:c r="AR398" s="49">
        <x:v>-0.25</x:v>
      </x:c>
      <x:c r="AS398" s="62">
        <x:v>0.473721106721783</x:v>
      </x:c>
      <x:c r="AT398" s="62">
        <x:v>0.384919079963441</x:v>
      </x:c>
      <x:c r="AU398" s="60">
        <x:v>2.05</x:v>
      </x:c>
      <x:c r="AV398" s="60">
        <x:v>3.15</x:v>
      </x:c>
      <x:c r="AW398" s="60">
        <x:v>3.53</x:v>
      </x:c>
      <x:c r="AX398" s="49" t="s">
        <x:v>1356</x:v>
      </x:c>
      <x:c r="AY398" s="49" t="s">
        <x:v>101</x:v>
      </x:c>
    </x:row>
    <x:row r="399" ht="22" customHeight="1">
      <x:c r="A399" s="49" t="s">
        <x:v>1518</x:v>
      </x:c>
      <x:c r="B399" s="49" t="s">
        <x:v>1659</x:v>
      </x:c>
      <x:c r="C399" s="49" t="s">
        <x:v>89</x:v>
      </x:c>
      <x:c r="D399" s="49" t="s">
        <x:v>116</x:v>
      </x:c>
      <x:c r="E399" s="49" t="s">
        <x:v>883</x:v>
      </x:c>
      <x:c r="F399" s="49" t="s">
        <x:v>1666</x:v>
      </x:c>
      <x:c r="G399" s="60">
        <x:v>0.86</x:v>
      </x:c>
      <x:c r="H399" s="60">
        <x:v>-1.25</x:v>
      </x:c>
      <x:c r="I399" s="60">
        <x:v>0.84</x:v>
      </x:c>
      <x:c r="J399" s="49" t="s">
        <x:v>1667</x:v>
      </x:c>
      <x:c r="K399" s="49" t="s">
        <x:v>106</x:v>
      </x:c>
      <x:c r="L399" s="49" t="s">
        <x:v>886</x:v>
      </x:c>
      <x:c r="M399" s="61">
        <x:v>0.576</x:v>
      </x:c>
      <x:c r="N399" s="49" t="s">
        <x:v>96</x:v>
      </x:c>
      <x:c r="O399" s="49" t="s">
        <x:v>173</x:v>
      </x:c>
      <x:c r="P399" s="49" t="s">
        <x:v>30</x:v>
      </x:c>
      <x:c r="Q399" s="49" t="s">
        <x:v>23</x:v>
      </x:c>
      <x:c r="R399" s="50">
        <x:v>0.84</x:v>
      </x:c>
      <x:c r="S399" s="50">
        <x:f t="shared" si="28"/>
        <x:v>-1</x:v>
      </x:c>
      <x:c r="T399" s="49" t="s">
        <x:v>1668</x:v>
      </x:c>
      <x:c r="U399" s="49" t="str">
        <x:f t="shared" si="26"/>
        <x:v>红</x:v>
      </x:c>
      <x:c r="V399" s="50">
        <x:f t="shared" si="27"/>
        <x:v>0.86</x:v>
      </x:c>
      <x:c r="W399" s="50">
        <x:f t="shared" si="29"/>
        <x:v>0.86</x:v>
      </x:c>
      <x:c r="X399" s="62">
        <x:v>0.96</x:v>
      </x:c>
      <x:c r="Y399" s="62">
        <x:v>-0.75</x:v>
      </x:c>
      <x:c r="Z399" s="62">
        <x:v>0.8</x:v>
      </x:c>
      <x:c r="AA399" s="62">
        <x:v>-0.75</x:v>
      </x:c>
      <x:c r="AB399" s="62">
        <x:v>0.8</x:v>
      </x:c>
      <x:c r="AC399" s="62">
        <x:v>0.84</x:v>
      </x:c>
      <x:c r="AD399" s="60">
        <x:v>4.61</x:v>
      </x:c>
      <x:c r="AE399" s="60">
        <x:v>3.81</x:v>
      </x:c>
      <x:c r="AF399" s="60">
        <x:v>1.63</x:v>
      </x:c>
      <x:c r="AG399" s="62">
        <x:v>0.0928838638126996</x:v>
      </x:c>
      <x:c r="AH399" s="62">
        <x:v>0.0428838638126996</x:v>
      </x:c>
      <x:c r="AI399" s="62">
        <x:v>0.198483797664972</x:v>
      </x:c>
      <x:c r="AJ399" s="62">
        <x:v>0.240160185626121</x:v>
      </x:c>
      <x:c r="AK399" s="62">
        <x:v>0.561356016708908</x:v>
      </x:c>
      <x:c r="AL399" s="62">
        <x:v>0.9</x:v>
      </x:c>
      <x:c r="AM399" s="62">
        <x:v>1.69</x:v>
      </x:c>
      <x:c r="AN399" s="62">
        <x:v>0.000789948463029383</x:v>
      </x:c>
      <x:c r="AO399" s="62">
        <x:v>1.82775881476845</x:v>
      </x:c>
      <x:c r="AP399" s="62">
        <x:v>-0.98775881476845</x:v>
      </x:c>
      <x:c r="AQ399" s="62" t="s">
        <x:v>99</x:v>
      </x:c>
      <x:c r="AR399" s="49">
        <x:v>-1.25</x:v>
      </x:c>
      <x:c r="AS399" s="62">
        <x:v>0.309257048727436</x:v>
      </x:c>
      <x:c r="AT399" s="62">
        <x:v>0.565247296840848</x:v>
      </x:c>
      <x:c r="AU399" s="60">
        <x:v>6.17</x:v>
      </x:c>
      <x:c r="AV399" s="60">
        <x:v>4.45</x:v>
      </x:c>
      <x:c r="AW399" s="60">
        <x:v>1.43</x:v>
      </x:c>
      <x:c r="AX399" s="49" t="s">
        <x:v>1356</x:v>
      </x:c>
      <x:c r="AY399" s="49" t="s">
        <x:v>101</x:v>
      </x:c>
    </x:row>
    <x:row r="400" ht="22" customHeight="1">
      <x:c r="A400" s="49" t="s">
        <x:v>1518</x:v>
      </x:c>
      <x:c r="B400" s="49" t="s">
        <x:v>1659</x:v>
      </x:c>
      <x:c r="C400" s="49" t="s">
        <x:v>89</x:v>
      </x:c>
      <x:c r="D400" s="49" t="s">
        <x:v>116</x:v>
      </x:c>
      <x:c r="E400" s="49" t="s">
        <x:v>784</x:v>
      </x:c>
      <x:c r="F400" s="49" t="s">
        <x:v>1669</x:v>
      </x:c>
      <x:c r="G400" s="60">
        <x:v>0.8</x:v>
      </x:c>
      <x:c r="H400" s="60">
        <x:v>0.25</x:v>
      </x:c>
      <x:c r="I400" s="60">
        <x:v>0.9</x:v>
      </x:c>
      <x:c r="J400" s="49" t="s">
        <x:v>1670</x:v>
      </x:c>
      <x:c r="K400" s="49" t="s">
        <x:v>106</x:v>
      </x:c>
      <x:c r="L400" s="49" t="s">
        <x:v>1671</x:v>
      </x:c>
      <x:c r="M400" s="61">
        <x:v>0.576</x:v>
      </x:c>
      <x:c r="N400" s="49" t="s">
        <x:v>96</x:v>
      </x:c>
      <x:c r="O400" s="49" t="s">
        <x:v>169</x:v>
      </x:c>
      <x:c r="P400" s="49" t="s">
        <x:v>30</x:v>
      </x:c>
      <x:c r="Q400" s="49" t="s">
        <x:v>23</x:v>
      </x:c>
      <x:c r="R400" s="50">
        <x:v>0.8</x:v>
      </x:c>
      <x:c r="S400" s="50">
        <x:f t="shared" si="28"/>
        <x:v>-1</x:v>
      </x:c>
      <x:c r="T400" s="49" t="s">
        <x:v>1672</x:v>
      </x:c>
      <x:c r="U400" s="49" t="str">
        <x:f t="shared" si="26"/>
        <x:v>红</x:v>
      </x:c>
      <x:c r="V400" s="50">
        <x:f t="shared" si="27"/>
        <x:v>0.9</x:v>
      </x:c>
      <x:c r="W400" s="50">
        <x:f t="shared" si="29"/>
        <x:v>0.9</x:v>
      </x:c>
      <x:c r="X400" s="62">
        <x:v>0.8</x:v>
      </x:c>
      <x:c r="Y400" s="62">
        <x:v>0.25</x:v>
      </x:c>
      <x:c r="Z400" s="62">
        <x:v>0.9</x:v>
      </x:c>
      <x:c r="AA400" s="62">
        <x:v>-0.25</x:v>
      </x:c>
      <x:c r="AB400" s="62">
        <x:v>0.8</x:v>
      </x:c>
      <x:c r="AC400" s="62">
        <x:v>0.8</x:v>
      </x:c>
      <x:c r="AD400" s="60">
        <x:v>2.16</x:v>
      </x:c>
      <x:c r="AE400" s="60">
        <x:v>3.12</x:v>
      </x:c>
      <x:c r="AF400" s="60">
        <x:v>3.16</x:v>
      </x:c>
      <x:c r="AG400" s="62">
        <x:v>0.0999314796783151</x:v>
      </x:c>
      <x:c r="AH400" s="62">
        <x:v>0.0499314796783151</x:v>
      </x:c>
      <x:c r="AI400" s="62">
        <x:v>0.420901639344262</x:v>
      </x:c>
      <x:c r="AJ400" s="62">
        <x:v>0.291393442622951</x:v>
      </x:c>
      <x:c r="AK400" s="62">
        <x:v>0.287704918032787</x:v>
      </x:c>
      <x:c r="AL400" s="62">
        <x:v>1.21</x:v>
      </x:c>
      <x:c r="AM400" s="62">
        <x:v>0.95</x:v>
      </x:c>
      <x:c r="AN400" s="62">
        <x:v>0.000712054326275258</x:v>
      </x:c>
      <x:c r="AO400" s="62">
        <x:v>1.03363475713389</x:v>
      </x:c>
      <x:c r="AP400" s="62">
        <x:v>-0.233634757133891</x:v>
      </x:c>
      <x:c r="AQ400" s="62" t="s">
        <x:v>99</x:v>
      </x:c>
      <x:c r="AR400" s="49">
        <x:v>-0.25</x:v>
      </x:c>
      <x:c r="AS400" s="62">
        <x:v>0.420129652477515</x:v>
      </x:c>
      <x:c r="AT400" s="62">
        <x:v>0.434260611303343</x:v>
      </x:c>
      <x:c r="AU400" s="60">
        <x:v>2.21</x:v>
      </x:c>
      <x:c r="AV400" s="60">
        <x:v>2.99</x:v>
      </x:c>
      <x:c r="AW400" s="60">
        <x:v>3.14</x:v>
      </x:c>
      <x:c r="AX400" s="49" t="s">
        <x:v>1356</x:v>
      </x:c>
      <x:c r="AY400" s="49" t="s">
        <x:v>101</x:v>
      </x:c>
    </x:row>
    <x:row r="401" ht="22" customHeight="1">
      <x:c r="A401" s="49" t="s">
        <x:v>1518</x:v>
      </x:c>
      <x:c r="B401" s="49" t="s">
        <x:v>1673</x:v>
      </x:c>
      <x:c r="C401" s="49" t="s">
        <x:v>333</x:v>
      </x:c>
      <x:c r="D401" s="49" t="s">
        <x:v>116</x:v>
      </x:c>
      <x:c r="E401" s="49" t="s">
        <x:v>532</x:v>
      </x:c>
      <x:c r="F401" s="49" t="s">
        <x:v>1674</x:v>
      </x:c>
      <x:c r="G401" s="60">
        <x:v>1.02</x:v>
      </x:c>
      <x:c r="H401" s="60">
        <x:v>-0.25</x:v>
      </x:c>
      <x:c r="I401" s="60">
        <x:v>0.86</x:v>
      </x:c>
      <x:c r="J401" s="49" t="s">
        <x:v>1675</x:v>
      </x:c>
      <x:c r="K401" s="49" t="s">
        <x:v>276</x:v>
      </x:c>
      <x:c r="L401" s="49" t="s">
        <x:v>1676</x:v>
      </x:c>
      <x:c r="M401" s="61">
        <x:v>0.532</x:v>
      </x:c>
      <x:c r="N401" s="49" t="s">
        <x:v>96</x:v>
      </x:c>
      <x:c r="O401" s="49" t="s">
        <x:v>126</x:v>
      </x:c>
      <x:c r="P401" s="49" t="s">
        <x:v>30</x:v>
      </x:c>
      <x:c r="Q401" s="49" t="s">
        <x:v>14</x:v>
      </x:c>
      <x:c r="R401" s="50">
        <x:v>1.02</x:v>
      </x:c>
      <x:c r="S401" s="50">
        <x:f t="shared" si="28"/>
        <x:v>0.51</x:v>
      </x:c>
      <x:c r="T401" s="49" t="s">
        <x:v>1677</x:v>
      </x:c>
      <x:c r="U401" s="49" t="str">
        <x:f t="shared" si="26"/>
        <x:v>半黑</x:v>
      </x:c>
      <x:c r="V401" s="50">
        <x:f t="shared" si="27"/>
        <x:v>0.86</x:v>
      </x:c>
      <x:c r="W401" s="50">
        <x:f t="shared" si="29"/>
        <x:v>-0.5</x:v>
      </x:c>
      <x:c r="X401" s="62">
        <x:v>0.93</x:v>
      </x:c>
      <x:c r="Y401" s="62">
        <x:v>-0.25</x:v>
      </x:c>
      <x:c r="Z401" s="62">
        <x:v>0.95</x:v>
      </x:c>
      <x:c r="AA401" s="62">
        <x:v>0.25</x:v>
      </x:c>
      <x:c r="AB401" s="62">
        <x:v>0.93</x:v>
      </x:c>
      <x:c r="AC401" s="62">
        <x:v>1.02</x:v>
      </x:c>
      <x:c r="AD401" s="60">
        <x:v>3.04</x:v>
      </x:c>
      <x:c r="AE401" s="60">
        <x:v>3.71</x:v>
      </x:c>
      <x:c r="AF401" s="60">
        <x:v>2.14</x:v>
      </x:c>
      <x:c r="AG401" s="62">
        <x:v>0.0657788670229622</x:v>
      </x:c>
      <x:c r="AH401" s="62">
        <x:v>0.0157788670229622</x:v>
      </x:c>
      <x:c r="AI401" s="62">
        <x:v>0.308645046922258</x:v>
      </x:c>
      <x:c r="AJ401" s="62">
        <x:v>0.252905914459208</x:v>
      </x:c>
      <x:c r="AK401" s="62">
        <x:v>0.438449038618534</x:v>
      </x:c>
      <x:c r="AL401" s="62">
        <x:v>1.23</x:v>
      </x:c>
      <x:c r="AM401" s="62">
        <x:v>1.51</x:v>
      </x:c>
      <x:c r="AN401" s="62">
        <x:v>0.000831211621696651</x:v>
      </x:c>
      <x:c r="AO401" s="62">
        <x:v>1.00285154383246</x:v>
      </x:c>
      <x:c r="AP401" s="62">
        <x:v>0.0171484561675432</x:v>
      </x:c>
      <x:c r="AQ401" s="62" t="s">
        <x:v>174</x:v>
      </x:c>
      <x:c r="AR401" s="49">
        <x:v>0.25</x:v>
      </x:c>
      <x:c r="AS401" s="62">
        <x:v>0.43610032216843</x:v>
      </x:c>
      <x:c r="AT401" s="62">
        <x:v>0.437343881352442</x:v>
      </x:c>
      <x:c r="AU401" s="60">
        <x:v>3.14</x:v>
      </x:c>
      <x:c r="AV401" s="60">
        <x:v>3.71</x:v>
      </x:c>
      <x:c r="AW401" s="60">
        <x:v>2.13</x:v>
      </x:c>
      <x:c r="AX401" s="49" t="s">
        <x:v>1356</x:v>
      </x:c>
      <x:c r="AY401" s="49" t="s">
        <x:v>101</x:v>
      </x:c>
    </x:row>
    <x:row r="402" ht="22" customHeight="1">
      <x:c r="A402" s="49" t="s">
        <x:v>1518</x:v>
      </x:c>
      <x:c r="B402" s="49" t="s">
        <x:v>1678</x:v>
      </x:c>
      <x:c r="C402" s="49" t="s">
        <x:v>333</x:v>
      </x:c>
      <x:c r="D402" s="49" t="s">
        <x:v>116</x:v>
      </x:c>
      <x:c r="E402" s="49" t="s">
        <x:v>927</x:v>
      </x:c>
      <x:c r="F402" s="49" t="s">
        <x:v>1679</x:v>
      </x:c>
      <x:c r="G402" s="60">
        <x:v>0.8</x:v>
      </x:c>
      <x:c r="H402" s="60">
        <x:v>0.75</x:v>
      </x:c>
      <x:c r="I402" s="60">
        <x:v>0.9</x:v>
      </x:c>
      <x:c r="J402" s="49" t="s">
        <x:v>1515</x:v>
      </x:c>
      <x:c r="K402" s="49" t="s">
        <x:v>106</x:v>
      </x:c>
      <x:c r="L402" s="49" t="s">
        <x:v>1680</x:v>
      </x:c>
      <x:c r="M402" s="61">
        <x:v>0.584</x:v>
      </x:c>
      <x:c r="N402" s="49" t="s">
        <x:v>96</x:v>
      </x:c>
      <x:c r="O402" s="49" t="s">
        <x:v>161</x:v>
      </x:c>
      <x:c r="P402" s="49" t="s">
        <x:v>30</x:v>
      </x:c>
      <x:c r="Q402" s="49" t="s">
        <x:v>11</x:v>
      </x:c>
      <x:c r="R402" s="50">
        <x:v>0.8</x:v>
      </x:c>
      <x:c r="S402" s="50">
        <x:f t="shared" si="28"/>
        <x:v>0.8</x:v>
      </x:c>
      <x:c r="T402" s="49" t="s">
        <x:v>1681</x:v>
      </x:c>
      <x:c r="U402" s="49" t="str">
        <x:f t="shared" si="26"/>
        <x:v>黑</x:v>
      </x:c>
      <x:c r="V402" s="50">
        <x:f t="shared" si="27"/>
        <x:v>0.9</x:v>
      </x:c>
      <x:c r="W402" s="50">
        <x:f t="shared" si="29"/>
        <x:v>-1</x:v>
      </x:c>
      <x:c r="X402" s="62">
        <x:v>0.8</x:v>
      </x:c>
      <x:c r="Y402" s="62">
        <x:v>0.75</x:v>
      </x:c>
      <x:c r="Z402" s="62">
        <x:v>0.9</x:v>
      </x:c>
      <x:c r="AA402" s="62">
        <x:v>-0.75</x:v>
      </x:c>
      <x:c r="AB402" s="62">
        <x:v>0.8</x:v>
      </x:c>
      <x:c r="AC402" s="62">
        <x:v>0.8</x:v>
      </x:c>
      <x:c r="AD402" s="60">
        <x:v>1.72</x:v>
      </x:c>
      <x:c r="AE402" s="60">
        <x:v>3.32</x:v>
      </x:c>
      <x:c r="AF402" s="60">
        <x:v>4.53</x:v>
      </x:c>
      <x:c r="AG402" s="62">
        <x:v>0.103350719990698</x:v>
      </x:c>
      <x:c r="AH402" s="62">
        <x:v>0.0533507199906976</x:v>
      </x:c>
      <x:c r="AI402" s="62">
        <x:v>0.526936121310648</x:v>
      </x:c>
      <x:c r="AJ402" s="62">
        <x:v>0.272991002606721</x:v>
      </x:c>
      <x:c r="AK402" s="62">
        <x:v>0.20007287608263</x:v>
      </x:c>
      <x:c r="AL402" s="62">
        <x:v>1.42</x:v>
      </x:c>
      <x:c r="AM402" s="62">
        <x:v>0.76</x:v>
      </x:c>
      <x:c r="AN402" s="62">
        <x:v>0.00057790517425091</x:v>
      </x:c>
      <x:c r="AO402" s="62">
        <x:v>1.19605637613515</x:v>
      </x:c>
      <x:c r="AP402" s="62">
        <x:v>-0.396056376135151</x:v>
      </x:c>
      <x:c r="AQ402" s="62" t="s">
        <x:v>99</x:v>
      </x:c>
      <x:c r="AR402" s="49">
        <x:v>-0.75</x:v>
      </x:c>
      <x:c r="AS402" s="62">
        <x:v>0.395209834294479</x:v>
      </x:c>
      <x:c r="AT402" s="62">
        <x:v>0.472693242219228</x:v>
      </x:c>
      <x:c r="AU402" s="60">
        <x:v>1.63</x:v>
      </x:c>
      <x:c r="AV402" s="60">
        <x:v>3.41</x:v>
      </x:c>
      <x:c r="AW402" s="60">
        <x:v>5.04</x:v>
      </x:c>
      <x:c r="AX402" s="49" t="s">
        <x:v>1356</x:v>
      </x:c>
      <x:c r="AY402" s="49" t="s">
        <x:v>101</x:v>
      </x:c>
    </x:row>
    <x:row r="403" ht="22" customHeight="1">
      <x:c r="A403" s="49" t="s">
        <x:v>1518</x:v>
      </x:c>
      <x:c r="B403" s="49" t="s">
        <x:v>1678</x:v>
      </x:c>
      <x:c r="C403" s="49" t="s">
        <x:v>89</x:v>
      </x:c>
      <x:c r="D403" s="49" t="s">
        <x:v>116</x:v>
      </x:c>
      <x:c r="E403" s="49" t="s">
        <x:v>1682</x:v>
      </x:c>
      <x:c r="F403" s="49" t="s">
        <x:v>1683</x:v>
      </x:c>
      <x:c r="G403" s="60">
        <x:v>0.8</x:v>
      </x:c>
      <x:c r="H403" s="60">
        <x:v>0.75</x:v>
      </x:c>
      <x:c r="I403" s="60">
        <x:v>0.96</x:v>
      </x:c>
      <x:c r="J403" s="49" t="s">
        <x:v>1589</x:v>
      </x:c>
      <x:c r="K403" s="49" t="s">
        <x:v>106</x:v>
      </x:c>
      <x:c r="L403" s="49" t="s">
        <x:v>1684</x:v>
      </x:c>
      <x:c r="M403" s="61">
        <x:v>0.576</x:v>
      </x:c>
      <x:c r="N403" s="49" t="s">
        <x:v>96</x:v>
      </x:c>
      <x:c r="O403" s="49" t="s">
        <x:v>273</x:v>
      </x:c>
      <x:c r="P403" s="49" t="s">
        <x:v>30</x:v>
      </x:c>
      <x:c r="Q403" s="49" t="s">
        <x:v>23</x:v>
      </x:c>
      <x:c r="R403" s="50">
        <x:v>0.8</x:v>
      </x:c>
      <x:c r="S403" s="50">
        <x:f t="shared" si="28"/>
        <x:v>-1</x:v>
      </x:c>
      <x:c r="T403" s="49" t="s">
        <x:v>1685</x:v>
      </x:c>
      <x:c r="U403" s="49" t="str">
        <x:f t="shared" si="26"/>
        <x:v>红</x:v>
      </x:c>
      <x:c r="V403" s="50">
        <x:f t="shared" si="27"/>
        <x:v>0.96</x:v>
      </x:c>
      <x:c r="W403" s="50">
        <x:f t="shared" si="29"/>
        <x:v>0.96</x:v>
      </x:c>
      <x:c r="X403" s="62">
        <x:v>0.8</x:v>
      </x:c>
      <x:c r="Y403" s="62">
        <x:v>0.75</x:v>
      </x:c>
      <x:c r="Z403" s="62">
        <x:v>0.9</x:v>
      </x:c>
      <x:c r="AA403" s="62">
        <x:v>-0.75</x:v>
      </x:c>
      <x:c r="AB403" s="62">
        <x:v>0.8</x:v>
      </x:c>
      <x:c r="AC403" s="62">
        <x:v>0.8</x:v>
      </x:c>
      <x:c r="AD403" s="60">
        <x:v>1.66</x:v>
      </x:c>
      <x:c r="AE403" s="60">
        <x:v>4.08</x:v>
      </x:c>
      <x:c r="AF403" s="60">
        <x:v>3.96</x:v>
      </x:c>
      <x:c r="AG403" s="62">
        <x:v>0.100032930295156</x:v>
      </x:c>
      <x:c r="AH403" s="62">
        <x:v>0.0500329302951557</x:v>
      </x:c>
      <x:c r="AI403" s="62">
        <x:v>0.547628731798585</x:v>
      </x:c>
      <x:c r="AJ403" s="62">
        <x:v>0.22280972911413</x:v>
      </x:c>
      <x:c r="AK403" s="62">
        <x:v>0.229561539087285</x:v>
      </x:c>
      <x:c r="AL403" s="62">
        <x:v>1.91</x:v>
      </x:c>
      <x:c r="AM403" s="62">
        <x:v>1.16</x:v>
      </x:c>
      <x:c r="AN403" s="62">
        <x:v>0.000664645750976555</x:v>
      </x:c>
      <x:c r="AO403" s="62">
        <x:v>1.04199271386951</x:v>
      </x:c>
      <x:c r="AP403" s="62">
        <x:v>-0.24199271386951</x:v>
      </x:c>
      <x:c r="AQ403" s="62" t="s">
        <x:v>99</x:v>
      </x:c>
      <x:c r="AR403" s="49">
        <x:v>-0.75</x:v>
      </x:c>
      <x:c r="AS403" s="62">
        <x:v>0.433240162365546</x:v>
      </x:c>
      <x:c r="AT403" s="62">
        <x:v>0.451433092540542</x:v>
      </x:c>
      <x:c r="AU403" s="60">
        <x:v>1.66</x:v>
      </x:c>
      <x:c r="AV403" s="60">
        <x:v>4.11</x:v>
      </x:c>
      <x:c r="AW403" s="60">
        <x:v>4.01</x:v>
      </x:c>
      <x:c r="AX403" s="49" t="s">
        <x:v>1356</x:v>
      </x:c>
      <x:c r="AY403" s="49" t="s">
        <x:v>101</x:v>
      </x:c>
    </x:row>
    <x:row r="404" ht="22" customHeight="1">
      <x:c r="A404" s="49" t="s">
        <x:v>1518</x:v>
      </x:c>
      <x:c r="B404" s="49" t="s">
        <x:v>1686</x:v>
      </x:c>
      <x:c r="C404" s="49" t="s">
        <x:v>89</x:v>
      </x:c>
      <x:c r="D404" s="49" t="s">
        <x:v>116</x:v>
      </x:c>
      <x:c r="E404" s="49" t="s">
        <x:v>553</x:v>
      </x:c>
      <x:c r="F404" s="49" t="s">
        <x:v>1687</x:v>
      </x:c>
      <x:c r="G404" s="60">
        <x:v>0.98</x:v>
      </x:c>
      <x:c r="H404" s="60">
        <x:v>-0.5</x:v>
      </x:c>
      <x:c r="I404" s="60">
        <x:v>0.9</x:v>
      </x:c>
      <x:c r="J404" s="49" t="s">
        <x:v>1688</x:v>
      </x:c>
      <x:c r="K404" s="49" t="s">
        <x:v>132</x:v>
      </x:c>
      <x:c r="L404" s="49" t="s">
        <x:v>1689</x:v>
      </x:c>
      <x:c r="M404" s="61">
        <x:v>0.555</x:v>
      </x:c>
      <x:c r="N404" s="49" t="s">
        <x:v>96</x:v>
      </x:c>
      <x:c r="O404" s="49" t="s">
        <x:v>149</x:v>
      </x:c>
      <x:c r="P404" s="49" t="s">
        <x:v>30</x:v>
      </x:c>
      <x:c r="Q404" s="49" t="s">
        <x:v>11</x:v>
      </x:c>
      <x:c r="R404" s="50">
        <x:v>0.98</x:v>
      </x:c>
      <x:c r="S404" s="50">
        <x:f t="shared" si="28"/>
        <x:v>0.98</x:v>
      </x:c>
      <x:c r="T404" s="49" t="s">
        <x:v>1690</x:v>
      </x:c>
      <x:c r="U404" s="49" t="str">
        <x:f t="shared" si="26"/>
        <x:v>黑</x:v>
      </x:c>
      <x:c r="V404" s="50">
        <x:f t="shared" si="27"/>
        <x:v>0.9</x:v>
      </x:c>
      <x:c r="W404" s="50">
        <x:f t="shared" si="29"/>
        <x:v>-1</x:v>
      </x:c>
      <x:c r="X404" s="62">
        <x:v>0.8</x:v>
      </x:c>
      <x:c r="Y404" s="62">
        <x:v>-0.75</x:v>
      </x:c>
      <x:c r="Z404" s="62">
        <x:v>1.02</x:v>
      </x:c>
      <x:c r="AA404" s="62">
        <x:v>0.75</x:v>
      </x:c>
      <x:c r="AB404" s="62">
        <x:v>0.8</x:v>
      </x:c>
      <x:c r="AC404" s="62">
        <x:v>0.98</x:v>
      </x:c>
      <x:c r="AD404" s="60">
        <x:v>3.86</x:v>
      </x:c>
      <x:c r="AE404" s="60">
        <x:v>3.69</x:v>
      </x:c>
      <x:c r="AF404" s="60">
        <x:v>1.76</x:v>
      </x:c>
      <x:c r="AG404" s="62">
        <x:v>0.0982518857218719</x:v>
      </x:c>
      <x:c r="AH404" s="62">
        <x:v>0.0482518857218719</x:v>
      </x:c>
      <x:c r="AI404" s="62">
        <x:v>0.235890655760332</x:v>
      </x:c>
      <x:c r="AJ404" s="62">
        <x:v>0.246758246947122</x:v>
      </x:c>
      <x:c r="AK404" s="62">
        <x:v>0.517351097292546</x:v>
      </x:c>
      <x:c r="AL404" s="62">
        <x:v>1.02</x:v>
      </x:c>
      <x:c r="AM404" s="62">
        <x:v>1.64</x:v>
      </x:c>
      <x:c r="AN404" s="62">
        <x:v>0.000833761627294735</x:v>
      </x:c>
      <x:c r="AO404" s="62">
        <x:v>1.07689940919058</x:v>
      </x:c>
      <x:c r="AP404" s="62">
        <x:v>-0.0968994091905777</x:v>
      </x:c>
      <x:c r="AQ404" s="62" t="s">
        <x:v>289</x:v>
      </x:c>
      <x:c r="AR404" s="49">
        <x:v>0.5</x:v>
      </x:c>
      <x:c r="AS404" s="62">
        <x:v>0.481486968302296</x:v>
      </x:c>
      <x:c r="AT404" s="62">
        <x:v>0.518513031697705</x:v>
      </x:c>
      <x:c r="AU404" s="60">
        <x:v>3.67</x:v>
      </x:c>
      <x:c r="AV404" s="60">
        <x:v>3.69</x:v>
      </x:c>
      <x:c r="AW404" s="60">
        <x:v>1.83</x:v>
      </x:c>
      <x:c r="AX404" s="49" t="s">
        <x:v>1356</x:v>
      </x:c>
      <x:c r="AY404" s="49" t="s">
        <x:v>101</x:v>
      </x:c>
    </x:row>
    <x:row r="405" ht="22" customHeight="1">
      <x:c r="A405" s="49" t="s">
        <x:v>1518</x:v>
      </x:c>
      <x:c r="B405" s="49" t="s">
        <x:v>1686</x:v>
      </x:c>
      <x:c r="C405" s="49" t="s">
        <x:v>333</x:v>
      </x:c>
      <x:c r="D405" s="49" t="s">
        <x:v>116</x:v>
      </x:c>
      <x:c r="E405" s="49" t="s">
        <x:v>865</x:v>
      </x:c>
      <x:c r="F405" s="49" t="s">
        <x:v>1691</x:v>
      </x:c>
      <x:c r="G405" s="60">
        <x:v>0.84</x:v>
      </x:c>
      <x:c r="H405" s="60">
        <x:v>0.25</x:v>
      </x:c>
      <x:c r="I405" s="60">
        <x:v>1.04</x:v>
      </x:c>
      <x:c r="J405" s="49" t="s">
        <x:v>1692</x:v>
      </x:c>
      <x:c r="K405" s="49" t="s">
        <x:v>106</x:v>
      </x:c>
      <x:c r="L405" s="49" t="s">
        <x:v>1693</x:v>
      </x:c>
      <x:c r="M405" s="61">
        <x:v>0.584</x:v>
      </x:c>
      <x:c r="N405" s="49" t="s">
        <x:v>96</x:v>
      </x:c>
      <x:c r="O405" s="49" t="s">
        <x:v>126</x:v>
      </x:c>
      <x:c r="P405" s="49" t="s">
        <x:v>30</x:v>
      </x:c>
      <x:c r="Q405" s="49" t="s">
        <x:v>20</x:v>
      </x:c>
      <x:c r="R405" s="50">
        <x:v>0.84</x:v>
      </x:c>
      <x:c r="S405" s="50">
        <x:f t="shared" si="28"/>
        <x:v>-0.5</x:v>
      </x:c>
      <x:c r="T405" s="49" t="s">
        <x:v>1694</x:v>
      </x:c>
      <x:c r="U405" s="49" t="str">
        <x:f t="shared" si="26"/>
        <x:v>半红</x:v>
      </x:c>
      <x:c r="V405" s="50">
        <x:f t="shared" si="27"/>
        <x:v>1.04</x:v>
      </x:c>
      <x:c r="W405" s="50">
        <x:f t="shared" si="29"/>
        <x:v>0.52</x:v>
      </x:c>
      <x:c r="X405" s="62">
        <x:v>0.82</x:v>
      </x:c>
      <x:c r="Y405" s="62">
        <x:v>0.25</x:v>
      </x:c>
      <x:c r="Z405" s="62">
        <x:v>1.06</x:v>
      </x:c>
      <x:c r="AA405" s="62">
        <x:v>-0.25</x:v>
      </x:c>
      <x:c r="AB405" s="62">
        <x:v>0.82</x:v>
      </x:c>
      <x:c r="AC405" s="62">
        <x:v>0.84</x:v>
      </x:c>
      <x:c r="AD405" s="60">
        <x:v>2.1</x:v>
      </x:c>
      <x:c r="AE405" s="60">
        <x:v>3.21</x:v>
      </x:c>
      <x:c r="AF405" s="60">
        <x:v>3.37</x:v>
      </x:c>
      <x:c r="AG405" s="62">
        <x:v>0.0844528609857653</x:v>
      </x:c>
      <x:c r="AH405" s="62">
        <x:v>0.0344528609857653</x:v>
      </x:c>
      <x:c r="AI405" s="62">
        <x:v>0.439106662282785</x:v>
      </x:c>
      <x:c r="AJ405" s="62">
        <x:v>0.287266040745747</x:v>
      </x:c>
      <x:c r="AK405" s="62">
        <x:v>0.273627296971468</x:v>
      </x:c>
      <x:c r="AL405" s="62">
        <x:v>1.26</x:v>
      </x:c>
      <x:c r="AM405" s="62">
        <x:v>0.93</x:v>
      </x:c>
      <x:c r="AN405" s="62">
        <x:v>0.000287107916461643</x:v>
      </x:c>
      <x:c r="AO405" s="62">
        <x:v>0.94955623817646</x:v>
      </x:c>
      <x:c r="AP405" s="62">
        <x:v>-0.10955623817646</x:v>
      </x:c>
      <x:c r="AQ405" s="62" t="s">
        <x:v>99</x:v>
      </x:c>
      <x:c r="AR405" s="49">
        <x:v>-0.25</x:v>
      </x:c>
      <x:c r="AS405" s="62">
        <x:v>0.439365207737946</x:v>
      </x:c>
      <x:c r="AT405" s="62">
        <x:v>0.417201973845263</x:v>
      </x:c>
      <x:c r="AU405" s="60">
        <x:v>2.1</x:v>
      </x:c>
      <x:c r="AV405" s="60">
        <x:v>3.21</x:v>
      </x:c>
      <x:c r="AW405" s="60">
        <x:v>3.48</x:v>
      </x:c>
      <x:c r="AX405" s="49" t="s">
        <x:v>1356</x:v>
      </x:c>
      <x:c r="AY405" s="49" t="s">
        <x:v>101</x:v>
      </x:c>
    </x:row>
    <x:row r="406" ht="22" customHeight="1">
      <x:c r="A406" s="49" t="s">
        <x:v>1518</x:v>
      </x:c>
      <x:c r="B406" s="49" t="s">
        <x:v>1695</x:v>
      </x:c>
      <x:c r="C406" s="49" t="s">
        <x:v>333</x:v>
      </x:c>
      <x:c r="D406" s="49" t="s">
        <x:v>116</x:v>
      </x:c>
      <x:c r="E406" s="49" t="s">
        <x:v>953</x:v>
      </x:c>
      <x:c r="F406" s="49" t="s">
        <x:v>1696</x:v>
      </x:c>
      <x:c r="G406" s="60">
        <x:v>0.84</x:v>
      </x:c>
      <x:c r="H406" s="60">
        <x:v>0.25</x:v>
      </x:c>
      <x:c r="I406" s="60">
        <x:v>0.86</x:v>
      </x:c>
      <x:c r="J406" s="49" t="s">
        <x:v>1697</x:v>
      </x:c>
      <x:c r="K406" s="49" t="s">
        <x:v>106</x:v>
      </x:c>
      <x:c r="L406" s="49" t="s">
        <x:v>1698</x:v>
      </x:c>
      <x:c r="M406" s="61">
        <x:v>0.584</x:v>
      </x:c>
      <x:c r="N406" s="49" t="s">
        <x:v>96</x:v>
      </x:c>
      <x:c r="O406" s="49" t="s">
        <x:v>197</x:v>
      </x:c>
      <x:c r="P406" s="49" t="s">
        <x:v>30</x:v>
      </x:c>
      <x:c r="Q406" s="49" t="s">
        <x:v>11</x:v>
      </x:c>
      <x:c r="R406" s="50">
        <x:v>0.84</x:v>
      </x:c>
      <x:c r="S406" s="50">
        <x:f t="shared" si="28"/>
        <x:v>0.84</x:v>
      </x:c>
      <x:c r="T406" s="49" t="s">
        <x:v>1699</x:v>
      </x:c>
      <x:c r="U406" s="49" t="str">
        <x:f t="shared" si="26"/>
        <x:v>黑</x:v>
      </x:c>
      <x:c r="V406" s="50">
        <x:f t="shared" si="27"/>
        <x:v>0.86</x:v>
      </x:c>
      <x:c r="W406" s="50">
        <x:f t="shared" si="29"/>
        <x:v>-1</x:v>
      </x:c>
      <x:c r="X406" s="62">
        <x:v>0.83</x:v>
      </x:c>
      <x:c r="Y406" s="62">
        <x:v>0.25</x:v>
      </x:c>
      <x:c r="Z406" s="62">
        <x:v>0.87</x:v>
      </x:c>
      <x:c r="AA406" s="62">
        <x:v>-0.25</x:v>
      </x:c>
      <x:c r="AB406" s="62">
        <x:v>0.83</x:v>
      </x:c>
      <x:c r="AC406" s="62">
        <x:v>0.84</x:v>
      </x:c>
      <x:c r="AD406" s="60">
        <x:v>2.15</x:v>
      </x:c>
      <x:c r="AE406" s="60">
        <x:v>3.14</x:v>
      </x:c>
      <x:c r="AF406" s="60">
        <x:v>3.1</x:v>
      </x:c>
      <x:c r="AG406" s="62">
        <x:v>0.106168261810676</x:v>
      </x:c>
      <x:c r="AH406" s="62">
        <x:v>0.0561682618106756</x:v>
      </x:c>
      <x:c r="AI406" s="62">
        <x:v>0.420475161987041</x:v>
      </x:c>
      <x:c r="AJ406" s="62">
        <x:v>0.287904967602592</x:v>
      </x:c>
      <x:c r="AK406" s="62">
        <x:v>0.291619870410367</x:v>
      </x:c>
      <x:c r="AL406" s="62">
        <x:v>1.23</x:v>
      </x:c>
      <x:c r="AM406" s="62">
        <x:v>0.97</x:v>
      </x:c>
      <x:c r="AN406" s="62">
        <x:v>0.000670540782565856</x:v>
      </x:c>
      <x:c r="AO406" s="62">
        <x:v>1.03220004939101</x:v>
      </x:c>
      <x:c r="AP406" s="62">
        <x:v>-0.192200049391006</x:v>
      </x:c>
      <x:c r="AQ406" s="62" t="s">
        <x:v>99</x:v>
      </x:c>
      <x:c r="AR406" s="49">
        <x:v>-0.25</x:v>
      </x:c>
      <x:c r="AS406" s="62">
        <x:v>0.421201027840798</x:v>
      </x:c>
      <x:c r="AT406" s="62">
        <x:v>0.434763721740814</x:v>
      </x:c>
      <x:c r="AU406" s="60">
        <x:v>2.03</x:v>
      </x:c>
      <x:c r="AV406" s="60">
        <x:v>3.2</x:v>
      </x:c>
      <x:c r="AW406" s="60">
        <x:v>3.34</x:v>
      </x:c>
      <x:c r="AX406" s="49" t="s">
        <x:v>1356</x:v>
      </x:c>
      <x:c r="AY406" s="49" t="s">
        <x:v>101</x:v>
      </x:c>
    </x:row>
    <x:row r="407" ht="22" customHeight="1">
      <x:c r="A407" s="49" t="s">
        <x:v>1518</x:v>
      </x:c>
      <x:c r="B407" s="49" t="s">
        <x:v>1700</x:v>
      </x:c>
      <x:c r="C407" s="49" t="s">
        <x:v>89</x:v>
      </x:c>
      <x:c r="D407" s="49" t="s">
        <x:v>116</x:v>
      </x:c>
      <x:c r="E407" s="49" t="s">
        <x:v>117</x:v>
      </x:c>
      <x:c r="F407" s="49" t="s">
        <x:v>1701</x:v>
      </x:c>
      <x:c r="G407" s="60">
        <x:v>0.84</x:v>
      </x:c>
      <x:c r="H407" s="60">
        <x:v>0</x:v>
      </x:c>
      <x:c r="I407" s="60">
        <x:v>0.92</x:v>
      </x:c>
      <x:c r="J407" s="49" t="s">
        <x:v>1702</x:v>
      </x:c>
      <x:c r="K407" s="49" t="s">
        <x:v>106</x:v>
      </x:c>
      <x:c r="L407" s="49" t="s">
        <x:v>1703</x:v>
      </x:c>
      <x:c r="M407" s="61">
        <x:v>0.576</x:v>
      </x:c>
      <x:c r="N407" s="49" t="s">
        <x:v>96</x:v>
      </x:c>
      <x:c r="O407" s="49" t="s">
        <x:v>108</x:v>
      </x:c>
      <x:c r="P407" s="49" t="s">
        <x:v>30</x:v>
      </x:c>
      <x:c r="Q407" s="49" t="s">
        <x:v>11</x:v>
      </x:c>
      <x:c r="R407" s="50">
        <x:v>0.84</x:v>
      </x:c>
      <x:c r="S407" s="50">
        <x:f t="shared" si="28"/>
        <x:v>0.84</x:v>
      </x:c>
      <x:c r="T407" s="49" t="s">
        <x:v>1704</x:v>
      </x:c>
      <x:c r="U407" s="49" t="str">
        <x:f t="shared" si="26"/>
        <x:v>黑</x:v>
      </x:c>
      <x:c r="V407" s="50">
        <x:f t="shared" si="27"/>
        <x:v>0.92</x:v>
      </x:c>
      <x:c r="W407" s="50">
        <x:f t="shared" si="29"/>
        <x:v>-1</x:v>
      </x:c>
      <x:c r="X407" s="62">
        <x:v>0.77</x:v>
      </x:c>
      <x:c r="Y407" s="62">
        <x:v>0</x:v>
      </x:c>
      <x:c r="Z407" s="62">
        <x:v>0.99</x:v>
      </x:c>
      <x:c r="AA407" s="62">
        <x:v>0</x:v>
      </x:c>
      <x:c r="AB407" s="62">
        <x:v>0.77</x:v>
      </x:c>
      <x:c r="AC407" s="62">
        <x:v>0.84</x:v>
      </x:c>
      <x:c r="AD407" s="60">
        <x:v>2.46</x:v>
      </x:c>
      <x:c r="AE407" s="60">
        <x:v>3.13</x:v>
      </x:c>
      <x:c r="AF407" s="60">
        <x:v>2.67</x:v>
      </x:c>
      <x:c r="AG407" s="62">
        <x:v>0.100524718138017</x:v>
      </x:c>
      <x:c r="AH407" s="62">
        <x:v>0.0505247181380167</x:v>
      </x:c>
      <x:c r="AI407" s="62">
        <x:v>0.369372953047721</x:v>
      </x:c>
      <x:c r="AJ407" s="62">
        <x:v>0.290305899200446</x:v>
      </x:c>
      <x:c r="AK407" s="62">
        <x:v>0.340321147751833</x:v>
      </x:c>
      <x:c r="AL407" s="62">
        <x:v>1.14</x:v>
      </x:c>
      <x:c r="AM407" s="62">
        <x:v>1.08</x:v>
      </x:c>
      <x:c r="AN407" s="62">
        <x:v>0.000667766457919253</x:v>
      </x:c>
      <x:c r="AO407" s="62">
        <x:v>0.91874744357175</x:v>
      </x:c>
      <x:c r="AP407" s="62">
        <x:v>-0.0787474435717501</x:v>
      </x:c>
      <x:c r="AQ407" s="62" t="s">
        <x:v>150</x:v>
      </x:c>
      <x:c r="AR407" s="49">
        <x:v>0</x:v>
      </x:c>
      <x:c r="AS407" s="62">
        <x:v>0.370255395700665</x:v>
      </x:c>
      <x:c r="AT407" s="62">
        <x:v>0.340171198268633</x:v>
      </x:c>
      <x:c r="AU407" s="60">
        <x:v>2.51</x:v>
      </x:c>
      <x:c r="AV407" s="60">
        <x:v>3.12</x:v>
      </x:c>
      <x:c r="AW407" s="60">
        <x:v>2.64</x:v>
      </x:c>
      <x:c r="AX407" s="49" t="s">
        <x:v>1356</x:v>
      </x:c>
      <x:c r="AY407" s="49" t="s">
        <x:v>101</x:v>
      </x:c>
    </x:row>
    <x:row r="408" ht="22" customHeight="1">
      <x:c r="A408" s="49" t="s">
        <x:v>1518</x:v>
      </x:c>
      <x:c r="B408" s="49" t="s">
        <x:v>1700</x:v>
      </x:c>
      <x:c r="C408" s="49" t="s">
        <x:v>89</x:v>
      </x:c>
      <x:c r="D408" s="49" t="s">
        <x:v>116</x:v>
      </x:c>
      <x:c r="E408" s="49" t="s">
        <x:v>622</x:v>
      </x:c>
      <x:c r="F408" s="49" t="s">
        <x:v>1705</x:v>
      </x:c>
      <x:c r="G408" s="60">
        <x:v>1.04</x:v>
      </x:c>
      <x:c r="H408" s="60">
        <x:v>-1.5</x:v>
      </x:c>
      <x:c r="I408" s="60">
        <x:v>0.84</x:v>
      </x:c>
      <x:c r="J408" s="49" t="s">
        <x:v>1706</x:v>
      </x:c>
      <x:c r="K408" s="49" t="s">
        <x:v>106</x:v>
      </x:c>
      <x:c r="L408" s="49" t="s">
        <x:v>1707</x:v>
      </x:c>
      <x:c r="M408" s="61">
        <x:v>0.576</x:v>
      </x:c>
      <x:c r="N408" s="49" t="s">
        <x:v>96</x:v>
      </x:c>
      <x:c r="O408" s="49" t="s">
        <x:v>353</x:v>
      </x:c>
      <x:c r="P408" s="49" t="s">
        <x:v>30</x:v>
      </x:c>
      <x:c r="Q408" s="49" t="s">
        <x:v>11</x:v>
      </x:c>
      <x:c r="R408" s="50">
        <x:v>0.84</x:v>
      </x:c>
      <x:c r="S408" s="50">
        <x:f t="shared" si="28"/>
        <x:v>0.84</x:v>
      </x:c>
      <x:c r="T408" s="49" t="s">
        <x:v>1708</x:v>
      </x:c>
      <x:c r="U408" s="49" t="str">
        <x:f t="shared" si="26"/>
        <x:v>黑</x:v>
      </x:c>
      <x:c r="V408" s="50">
        <x:f t="shared" si="27"/>
        <x:v>1.04</x:v>
      </x:c>
      <x:c r="W408" s="50">
        <x:f t="shared" si="29"/>
        <x:v>-1</x:v>
      </x:c>
      <x:c r="X408" s="62">
        <x:v>0.93</x:v>
      </x:c>
      <x:c r="Y408" s="62">
        <x:v>-1.5</x:v>
      </x:c>
      <x:c r="Z408" s="62">
        <x:v>0.95</x:v>
      </x:c>
      <x:c r="AA408" s="62">
        <x:v>-1.5</x:v>
      </x:c>
      <x:c r="AB408" s="62">
        <x:v>0.95</x:v>
      </x:c>
      <x:c r="AC408" s="62">
        <x:v>0.84</x:v>
      </x:c>
      <x:c r="AD408" s="60">
        <x:v>10.47</x:v>
      </x:c>
      <x:c r="AE408" s="60">
        <x:v>5.27</x:v>
      </x:c>
      <x:c r="AF408" s="60">
        <x:v>1.27</x:v>
      </x:c>
      <x:c r="AG408" s="62">
        <x:v>0.0726658792493944</x:v>
      </x:c>
      <x:c r="AH408" s="62">
        <x:v>0.0226658792493944</x:v>
      </x:c>
      <x:c r="AI408" s="62">
        <x:v>0.08904075874024</x:v>
      </x:c>
      <x:c r="AJ408" s="62">
        <x:v>0.176898812905183</x:v>
      </x:c>
      <x:c r="AK408" s="62">
        <x:v>0.734060428354577</x:v>
      </x:c>
      <x:c r="AL408" s="62">
        <x:v>0.59</x:v>
      </x:c>
      <x:c r="AM408" s="62">
        <x:v>2.14</x:v>
      </x:c>
      <x:c r="AN408" s="62">
        <x:v>0.000453628278183244</x:v>
      </x:c>
      <x:c r="AO408" s="62">
        <x:v>1.06066859317907</x:v>
      </x:c>
      <x:c r="AP408" s="62">
        <x:v>-0.220668593179068</x:v>
      </x:c>
      <x:c r="AQ408" s="62" t="s">
        <x:v>99</x:v>
      </x:c>
      <x:c r="AR408" s="49">
        <x:v>-1.5</x:v>
      </x:c>
      <x:c r="AS408" s="62">
        <x:v>0.485279391023893</x:v>
      </x:c>
      <x:c r="AT408" s="62">
        <x:v>0.514720608976107</x:v>
      </x:c>
      <x:c r="AU408" s="60">
        <x:v>11.66</x:v>
      </x:c>
      <x:c r="AV408" s="60">
        <x:v>5.76</x:v>
      </x:c>
      <x:c r="AW408" s="60">
        <x:v>1.24</x:v>
      </x:c>
      <x:c r="AX408" s="49" t="s">
        <x:v>1356</x:v>
      </x:c>
      <x:c r="AY408" s="49" t="s">
        <x:v>101</x:v>
      </x:c>
    </x:row>
    <x:row r="409" ht="22" customHeight="1">
      <x:c r="A409" s="49" t="s">
        <x:v>1518</x:v>
      </x:c>
      <x:c r="B409" s="49" t="s">
        <x:v>1709</x:v>
      </x:c>
      <x:c r="C409" s="49" t="s">
        <x:v>89</x:v>
      </x:c>
      <x:c r="D409" s="49" t="s">
        <x:v>116</x:v>
      </x:c>
      <x:c r="E409" s="49" t="s">
        <x:v>883</x:v>
      </x:c>
      <x:c r="F409" s="49" t="s">
        <x:v>1710</x:v>
      </x:c>
      <x:c r="G409" s="60">
        <x:v>0.79</x:v>
      </x:c>
      <x:c r="H409" s="60">
        <x:v>-1</x:v>
      </x:c>
      <x:c r="I409" s="60">
        <x:v>1.03</x:v>
      </x:c>
      <x:c r="J409" s="49" t="s">
        <x:v>1711</x:v>
      </x:c>
      <x:c r="K409" s="49" t="s">
        <x:v>189</x:v>
      </x:c>
      <x:c r="L409" s="49" t="s">
        <x:v>976</x:v>
      </x:c>
      <x:c r="M409" s="61">
        <x:v>0.576</x:v>
      </x:c>
      <x:c r="N409" s="49" t="s">
        <x:v>96</x:v>
      </x:c>
      <x:c r="O409" s="49" t="s">
        <x:v>126</x:v>
      </x:c>
      <x:c r="P409" s="49" t="s">
        <x:v>30</x:v>
      </x:c>
      <x:c r="Q409" s="49" t="s">
        <x:v>23</x:v>
      </x:c>
      <x:c r="R409" s="50">
        <x:v>0.85</x:v>
      </x:c>
      <x:c r="S409" s="50">
        <x:f t="shared" si="28"/>
        <x:v>-1</x:v>
      </x:c>
      <x:c r="T409" s="49" t="s">
        <x:v>1712</x:v>
      </x:c>
      <x:c r="U409" s="49" t="str">
        <x:f t="shared" si="26"/>
        <x:v>红</x:v>
      </x:c>
      <x:c r="V409" s="50">
        <x:f t="shared" si="27"/>
        <x:v>0.79</x:v>
      </x:c>
      <x:c r="W409" s="50">
        <x:f t="shared" si="29"/>
        <x:v>0.79</x:v>
      </x:c>
      <x:c r="X409" s="62">
        <x:v>0.91</x:v>
      </x:c>
      <x:c r="Y409" s="62">
        <x:v>-0.75</x:v>
      </x:c>
      <x:c r="Z409" s="62">
        <x:v>0.85</x:v>
      </x:c>
      <x:c r="AA409" s="62">
        <x:v>-0.75</x:v>
      </x:c>
      <x:c r="AB409" s="62">
        <x:v>0.85</x:v>
      </x:c>
      <x:c r="AC409" s="62">
        <x:v>0.85</x:v>
      </x:c>
      <x:c r="AD409" s="60">
        <x:v>4.8</x:v>
      </x:c>
      <x:c r="AE409" s="60">
        <x:v>3.8</x:v>
      </x:c>
      <x:c r="AF409" s="60">
        <x:v>1.54</x:v>
      </x:c>
      <x:c r="AG409" s="62">
        <x:v>0.120841877420825</x:v>
      </x:c>
      <x:c r="AH409" s="62">
        <x:v>0.0708418774208249</x:v>
      </x:c>
      <x:c r="AI409" s="62">
        <x:v>0.185872189048405</x:v>
      </x:c>
      <x:c r="AJ409" s="62">
        <x:v>0.234785923008512</x:v>
      </x:c>
      <x:c r="AK409" s="62">
        <x:v>0.579341887943082</x:v>
      </x:c>
      <x:c r="AL409" s="62">
        <x:v>0.87</x:v>
      </x:c>
      <x:c r="AM409" s="62">
        <x:v>1.74</x:v>
      </x:c>
      <x:c r="AN409" s="62">
        <x:v>0.000279463983815546</x:v>
      </x:c>
      <x:c r="AO409" s="62">
        <x:v>1.2848433426054</x:v>
      </x:c>
      <x:c r="AP409" s="62">
        <x:v>-0.434843342605398</x:v>
      </x:c>
      <x:c r="AQ409" s="62" t="s">
        <x:v>99</x:v>
      </x:c>
      <x:c r="AR409" s="49">
        <x:v>-1</x:v>
      </x:c>
      <x:c r="AS409" s="62">
        <x:v>0.327130729567134</x:v>
      </x:c>
      <x:c r="AT409" s="62">
        <x:v>0.42031174004598</x:v>
      </x:c>
      <x:c r="AU409" s="60">
        <x:v>4.2</x:v>
      </x:c>
      <x:c r="AV409" s="60">
        <x:v>3.65</x:v>
      </x:c>
      <x:c r="AW409" s="60">
        <x:v>1.65</x:v>
      </x:c>
      <x:c r="AX409" s="49" t="s">
        <x:v>1356</x:v>
      </x:c>
      <x:c r="AY409" s="49" t="s">
        <x:v>101</x:v>
      </x:c>
    </x:row>
    <x:row r="410" ht="22" customHeight="1">
      <x:c r="A410" s="49" t="s">
        <x:v>1518</x:v>
      </x:c>
      <x:c r="B410" s="49" t="s">
        <x:v>1713</x:v>
      </x:c>
      <x:c r="C410" s="49" t="s">
        <x:v>333</x:v>
      </x:c>
      <x:c r="D410" s="49" t="s">
        <x:v>116</x:v>
      </x:c>
      <x:c r="E410" s="49" t="s">
        <x:v>532</x:v>
      </x:c>
      <x:c r="F410" s="49" t="s">
        <x:v>1714</x:v>
      </x:c>
      <x:c r="G410" s="60">
        <x:v>0.85</x:v>
      </x:c>
      <x:c r="H410" s="60">
        <x:v>0</x:v>
      </x:c>
      <x:c r="I410" s="60">
        <x:v>1.04</x:v>
      </x:c>
      <x:c r="J410" s="49" t="s">
        <x:v>658</x:v>
      </x:c>
      <x:c r="K410" s="49" t="s">
        <x:v>1715</x:v>
      </x:c>
      <x:c r="L410" s="49" t="s">
        <x:v>1716</x:v>
      </x:c>
      <x:c r="M410" s="61">
        <x:v>0.559</x:v>
      </x:c>
      <x:c r="N410" s="49" t="s">
        <x:v>96</x:v>
      </x:c>
      <x:c r="O410" s="49" t="s">
        <x:v>149</x:v>
      </x:c>
      <x:c r="P410" s="49" t="s">
        <x:v>30</x:v>
      </x:c>
      <x:c r="Q410" s="49" t="s">
        <x:v>17</x:v>
      </x:c>
      <x:c r="R410" s="50">
        <x:v>0.9</x:v>
      </x:c>
      <x:c r="S410" s="50">
        <x:f t="shared" si="28"/>
        <x:v>0</x:v>
      </x:c>
      <x:c r="T410" s="49" t="s">
        <x:v>1717</x:v>
      </x:c>
      <x:c r="U410" s="49" t="str">
        <x:f t="shared" si="26"/>
        <x:v>走</x:v>
      </x:c>
      <x:c r="V410" s="50">
        <x:f t="shared" si="27"/>
        <x:v>1.04</x:v>
      </x:c>
      <x:c r="W410" s="50">
        <x:f t="shared" si="29"/>
        <x:v>0</x:v>
      </x:c>
      <x:c r="X410" s="62">
        <x:v>0.93</x:v>
      </x:c>
      <x:c r="Y410" s="62">
        <x:v>0.25</x:v>
      </x:c>
      <x:c r="Z410" s="62">
        <x:v>0.95</x:v>
      </x:c>
      <x:c r="AA410" s="62">
        <x:v>-0.25</x:v>
      </x:c>
      <x:c r="AB410" s="62">
        <x:v>0.93</x:v>
      </x:c>
      <x:c r="AC410" s="62">
        <x:v>0.9</x:v>
      </x:c>
      <x:c r="AD410" s="60">
        <x:v>2.51</x:v>
      </x:c>
      <x:c r="AE410" s="60">
        <x:v>3.3</x:v>
      </x:c>
      <x:c r="AF410" s="60">
        <x:v>2.85</x:v>
      </x:c>
      <x:c r="AG410" s="62">
        <x:v>0.0523138705147512</x:v>
      </x:c>
      <x:c r="AH410" s="62">
        <x:v>0.00231387051475122</x:v>
      </x:c>
      <x:c r="AI410" s="62">
        <x:v>0.378600326067267</x:v>
      </x:c>
      <x:c r="AJ410" s="62">
        <x:v>0.287965702554194</x:v>
      </x:c>
      <x:c r="AK410" s="62">
        <x:v>0.33343397137854</x:v>
      </x:c>
      <x:c r="AL410" s="62">
        <x:v>1.16</x:v>
      </x:c>
      <x:c r="AM410" s="62">
        <x:v>1.07</x:v>
      </x:c>
      <x:c r="AN410" s="62">
        <x:v>0.000440645956049327</x:v>
      </x:c>
      <x:c r="AO410" s="62">
        <x:v>0.880939997530527</x:v>
      </x:c>
      <x:c r="AP410" s="62">
        <x:v>0.0190600024694729</x:v>
      </x:c>
      <x:c r="AQ410" s="62" t="s">
        <x:v>174</x:v>
      </x:c>
      <x:c r="AR410" s="49">
        <x:v>0</x:v>
      </x:c>
      <x:c r="AS410" s="62">
        <x:v>0.378223668794427</x:v>
      </x:c>
      <x:c r="AT410" s="62">
        <x:v>0.333192357853749</x:v>
      </x:c>
      <x:c r="AU410" s="60">
        <x:v>2.23</x:v>
      </x:c>
      <x:c r="AV410" s="60">
        <x:v>3.25</x:v>
      </x:c>
      <x:c r="AW410" s="60">
        <x:v>3.4</x:v>
      </x:c>
      <x:c r="AX410" s="49" t="s">
        <x:v>1356</x:v>
      </x:c>
      <x:c r="AY410" s="49" t="s">
        <x:v>101</x:v>
      </x:c>
    </x:row>
    <x:row r="411" ht="22" customHeight="1">
      <x:c r="A411" s="49" t="s">
        <x:v>1518</x:v>
      </x:c>
      <x:c r="B411" s="49" t="s">
        <x:v>1713</x:v>
      </x:c>
      <x:c r="C411" s="49" t="s">
        <x:v>333</x:v>
      </x:c>
      <x:c r="D411" s="49" t="s">
        <x:v>116</x:v>
      </x:c>
      <x:c r="E411" s="49" t="s">
        <x:v>532</x:v>
      </x:c>
      <x:c r="F411" s="49" t="s">
        <x:v>1718</x:v>
      </x:c>
      <x:c r="G411" s="60">
        <x:v>1.06</x:v>
      </x:c>
      <x:c r="H411" s="60">
        <x:v>0.25</x:v>
      </x:c>
      <x:c r="I411" s="60">
        <x:v>0.83</x:v>
      </x:c>
      <x:c r="J411" s="49" t="s">
        <x:v>1719</x:v>
      </x:c>
      <x:c r="K411" s="49" t="s">
        <x:v>189</x:v>
      </x:c>
      <x:c r="L411" s="49" t="s">
        <x:v>1720</x:v>
      </x:c>
      <x:c r="M411" s="61">
        <x:v>0.584</x:v>
      </x:c>
      <x:c r="N411" s="49" t="s">
        <x:v>96</x:v>
      </x:c>
      <x:c r="O411" s="49" t="s">
        <x:v>273</x:v>
      </x:c>
      <x:c r="P411" s="49" t="s">
        <x:v>30</x:v>
      </x:c>
      <x:c r="Q411" s="49" t="s">
        <x:v>20</x:v>
      </x:c>
      <x:c r="R411" s="50">
        <x:v>0.8</x:v>
      </x:c>
      <x:c r="S411" s="50">
        <x:f t="shared" si="28"/>
        <x:v>-0.5</x:v>
      </x:c>
      <x:c r="T411" s="49" t="s">
        <x:v>1721</x:v>
      </x:c>
      <x:c r="U411" s="49" t="str">
        <x:f t="shared" si="26"/>
        <x:v>半红</x:v>
      </x:c>
      <x:c r="V411" s="50">
        <x:f t="shared" si="27"/>
        <x:v>0.83</x:v>
      </x:c>
      <x:c r="W411" s="50">
        <x:f t="shared" si="29"/>
        <x:v>0.415</x:v>
      </x:c>
      <x:c r="X411" s="62">
        <x:v>0.8</x:v>
      </x:c>
      <x:c r="Y411" s="62">
        <x:v>0</x:v>
      </x:c>
      <x:c r="Z411" s="62">
        <x:v>1.08</x:v>
      </x:c>
      <x:c r="AA411" s="62">
        <x:v>0</x:v>
      </x:c>
      <x:c r="AB411" s="62">
        <x:v>0.8</x:v>
      </x:c>
      <x:c r="AC411" s="62">
        <x:v>0.8</x:v>
      </x:c>
      <x:c r="AD411" s="60">
        <x:v>2.36</x:v>
      </x:c>
      <x:c r="AE411" s="60">
        <x:v>3.4</x:v>
      </x:c>
      <x:c r="AF411" s="60">
        <x:v>2.98</x:v>
      </x:c>
      <x:c r="AG411" s="62">
        <x:v>0.0534169304168033</x:v>
      </x:c>
      <x:c r="AH411" s="62">
        <x:v>0.00341693041680328</x:v>
      </x:c>
      <x:c r="AI411" s="62">
        <x:v>0.402242266404116</x:v>
      </x:c>
      <x:c r="AJ411" s="62">
        <x:v>0.279203455504034</x:v>
      </x:c>
      <x:c r="AK411" s="62">
        <x:v>0.31855427809185</x:v>
      </x:c>
      <x:c r="AL411" s="62">
        <x:v>1.26</x:v>
      </x:c>
      <x:c r="AM411" s="62">
        <x:v>1.09</x:v>
      </x:c>
      <x:c r="AN411" s="62">
        <x:v>0.000367422296201775</x:v>
      </x:c>
      <x:c r="AO411" s="62">
        <x:v>1.13998810180819</x:v>
      </x:c>
      <x:c r="AP411" s="62">
        <x:v>-0.339988101808194</x:v>
      </x:c>
      <x:c r="AQ411" s="62" t="s">
        <x:v>99</x:v>
      </x:c>
      <x:c r="AR411" s="49">
        <x:v>-0.25</x:v>
      </x:c>
      <x:c r="AS411" s="62">
        <x:v>0.40215022861979</x:v>
      </x:c>
      <x:c r="AT411" s="62">
        <x:v>0.458446475766006</x:v>
      </x:c>
      <x:c r="AU411" s="60">
        <x:v>2.5</x:v>
      </x:c>
      <x:c r="AV411" s="60">
        <x:v>3.25</x:v>
      </x:c>
      <x:c r="AW411" s="60">
        <x:v>2.91</x:v>
      </x:c>
      <x:c r="AX411" s="49" t="s">
        <x:v>1356</x:v>
      </x:c>
      <x:c r="AY411" s="49" t="s">
        <x:v>101</x:v>
      </x:c>
    </x:row>
    <x:row r="412" ht="22" customHeight="1">
      <x:c r="A412" s="49" t="s">
        <x:v>1518</x:v>
      </x:c>
      <x:c r="B412" s="49" t="s">
        <x:v>1722</x:v>
      </x:c>
      <x:c r="C412" s="49" t="s">
        <x:v>333</x:v>
      </x:c>
      <x:c r="D412" s="49" t="s">
        <x:v>116</x:v>
      </x:c>
      <x:c r="E412" s="49" t="s">
        <x:v>927</x:v>
      </x:c>
      <x:c r="F412" s="49" t="s">
        <x:v>1723</x:v>
      </x:c>
      <x:c r="G412" s="60">
        <x:v>0.84</x:v>
      </x:c>
      <x:c r="H412" s="60">
        <x:v>0</x:v>
      </x:c>
      <x:c r="I412" s="60">
        <x:v>0.86</x:v>
      </x:c>
      <x:c r="J412" s="49" t="s">
        <x:v>1423</x:v>
      </x:c>
      <x:c r="K412" s="49" t="s">
        <x:v>106</x:v>
      </x:c>
      <x:c r="L412" s="49" t="s">
        <x:v>1724</x:v>
      </x:c>
      <x:c r="M412" s="61">
        <x:v>0.584</x:v>
      </x:c>
      <x:c r="N412" s="49" t="s">
        <x:v>96</x:v>
      </x:c>
      <x:c r="O412" s="49" t="s">
        <x:v>149</x:v>
      </x:c>
      <x:c r="P412" s="49" t="s">
        <x:v>30</x:v>
      </x:c>
      <x:c r="Q412" s="49" t="s">
        <x:v>17</x:v>
      </x:c>
      <x:c r="R412" s="50">
        <x:v>0.78</x:v>
      </x:c>
      <x:c r="S412" s="50">
        <x:f t="shared" si="28"/>
        <x:v>0</x:v>
      </x:c>
      <x:c r="T412" s="49" t="s">
        <x:v>1725</x:v>
      </x:c>
      <x:c r="U412" s="49" t="str">
        <x:f t="shared" si="26"/>
        <x:v>走</x:v>
      </x:c>
      <x:c r="V412" s="50">
        <x:f t="shared" si="27"/>
        <x:v>0.86</x:v>
      </x:c>
      <x:c r="W412" s="50">
        <x:f t="shared" si="29"/>
        <x:v>0</x:v>
      </x:c>
      <x:c r="X412" s="62">
        <x:v>0.78</x:v>
      </x:c>
      <x:c r="Y412" s="62">
        <x:v>0</x:v>
      </x:c>
      <x:c r="Z412" s="62">
        <x:v>0.92</x:v>
      </x:c>
      <x:c r="AA412" s="62">
        <x:v>0</x:v>
      </x:c>
      <x:c r="AB412" s="62">
        <x:v>0.78</x:v>
      </x:c>
      <x:c r="AC412" s="62">
        <x:v>0.78</x:v>
      </x:c>
      <x:c r="AD412" s="60">
        <x:v>2.55</x:v>
      </x:c>
      <x:c r="AE412" s="60">
        <x:v>2.94</x:v>
      </x:c>
      <x:c r="AF412" s="60">
        <x:v>2.58</x:v>
      </x:c>
      <x:c r="AG412" s="62">
        <x:v>0.119889816391673</x:v>
      </x:c>
      <x:c r="AH412" s="62">
        <x:v>0.0698898163916731</x:v>
      </x:c>
      <x:c r="AI412" s="62">
        <x:v>0.350174505567559</x:v>
      </x:c>
      <x:c r="AJ412" s="62">
        <x:v>0.30372278544125</x:v>
      </x:c>
      <x:c r="AK412" s="62">
        <x:v>0.346102708991192</x:v>
      </x:c>
      <x:c r="AL412" s="62">
        <x:v>1.03</x:v>
      </x:c>
      <x:c r="AM412" s="62">
        <x:v>1.02</x:v>
      </x:c>
      <x:c r="AN412" s="62">
        <x:v>0.000479080067152114</x:v>
      </x:c>
      <x:c r="AO412" s="62">
        <x:v>0.985212953933725</x:v>
      </x:c>
      <x:c r="AP412" s="62">
        <x:v>-0.205212953933725</x:v>
      </x:c>
      <x:c r="AQ412" s="62" t="s">
        <x:v>150</x:v>
      </x:c>
      <x:c r="AR412" s="49">
        <x:v>0</x:v>
      </x:c>
      <x:c r="AS412" s="62">
        <x:v>0.350623485285066</x:v>
      </x:c>
      <x:c r="AT412" s="62">
        <x:v>0.345438799656238</x:v>
      </x:c>
      <x:c r="AU412" s="60">
        <x:v>2.48</x:v>
      </x:c>
      <x:c r="AV412" s="60">
        <x:v>2.94</x:v>
      </x:c>
      <x:c r="AW412" s="60">
        <x:v>2.66</x:v>
      </x:c>
      <x:c r="AX412" s="49" t="s">
        <x:v>1356</x:v>
      </x:c>
      <x:c r="AY412" s="49" t="s">
        <x:v>101</x:v>
      </x:c>
    </x:row>
    <x:row r="413" ht="22" customHeight="1">
      <x:c r="A413" s="49" t="s">
        <x:v>1518</x:v>
      </x:c>
      <x:c r="B413" s="49" t="s">
        <x:v>1722</x:v>
      </x:c>
      <x:c r="C413" s="49" t="s">
        <x:v>333</x:v>
      </x:c>
      <x:c r="D413" s="49" t="s">
        <x:v>116</x:v>
      </x:c>
      <x:c r="E413" s="49" t="s">
        <x:v>609</x:v>
      </x:c>
      <x:c r="F413" s="49" t="s">
        <x:v>1726</x:v>
      </x:c>
      <x:c r="G413" s="60">
        <x:v>0.84</x:v>
      </x:c>
      <x:c r="H413" s="60">
        <x:v>-1</x:v>
      </x:c>
      <x:c r="I413" s="60">
        <x:v>1.05</x:v>
      </x:c>
      <x:c r="J413" s="49" t="s">
        <x:v>1727</x:v>
      </x:c>
      <x:c r="K413" s="49" t="s">
        <x:v>556</x:v>
      </x:c>
      <x:c r="L413" s="49" t="s">
        <x:v>1274</x:v>
      </x:c>
      <x:c r="M413" s="61">
        <x:v>0.584</x:v>
      </x:c>
      <x:c r="N413" s="49" t="s">
        <x:v>96</x:v>
      </x:c>
      <x:c r="O413" s="49" t="s">
        <x:v>114</x:v>
      </x:c>
      <x:c r="P413" s="49" t="s">
        <x:v>30</x:v>
      </x:c>
      <x:c r="Q413" s="49" t="s">
        <x:v>11</x:v>
      </x:c>
      <x:c r="R413" s="50">
        <x:v>0.84</x:v>
      </x:c>
      <x:c r="S413" s="50">
        <x:f t="shared" si="28"/>
        <x:v>0.84</x:v>
      </x:c>
      <x:c r="T413" s="49" t="s">
        <x:v>1728</x:v>
      </x:c>
      <x:c r="U413" s="49" t="str">
        <x:f t="shared" si="26"/>
        <x:v>黑</x:v>
      </x:c>
      <x:c r="V413" s="50">
        <x:f t="shared" si="27"/>
        <x:v>0.84</x:v>
      </x:c>
      <x:c r="W413" s="50">
        <x:f t="shared" si="29"/>
        <x:v>-1</x:v>
      </x:c>
      <x:c r="X413" s="62">
        <x:v>0.96</x:v>
      </x:c>
      <x:c r="Y413" s="62">
        <x:v>-1</x:v>
      </x:c>
      <x:c r="Z413" s="62">
        <x:v>0.92</x:v>
      </x:c>
      <x:c r="AA413" s="62">
        <x:v>-1</x:v>
      </x:c>
      <x:c r="AB413" s="62">
        <x:v>0.92</x:v>
      </x:c>
      <x:c r="AC413" s="62">
        <x:v>0.84</x:v>
      </x:c>
      <x:c r="AD413" s="60">
        <x:v>6.8</x:v>
      </x:c>
      <x:c r="AE413" s="60">
        <x:v>3.9</x:v>
      </x:c>
      <x:c r="AF413" s="60">
        <x:v>1.56</x:v>
      </x:c>
      <x:c r="AG413" s="62">
        <x:v>0.044494720965309</x:v>
      </x:c>
      <x:c r="AH413" s="62">
        <x:v>-0.00550527903469096</x:v>
      </x:c>
      <x:c r="AI413" s="62">
        <x:v>0.140794223826715</x:v>
      </x:c>
      <x:c r="AJ413" s="62">
        <x:v>0.245487364620939</x:v>
      </x:c>
      <x:c r="AK413" s="62">
        <x:v>0.613718411552347</x:v>
      </x:c>
      <x:c r="AL413" s="62">
        <x:v>0.62</x:v>
      </x:c>
      <x:c r="AM413" s="62">
        <x:v>1.61</x:v>
      </x:c>
      <x:c r="AN413" s="62">
        <x:v>0.000554758890017254</x:v>
      </x:c>
      <x:c r="AO413" s="62">
        <x:v>1.13663597129442</x:v>
      </x:c>
      <x:c r="AP413" s="62">
        <x:v>-0.296635971294424</x:v>
      </x:c>
      <x:c r="AQ413" s="62" t="s">
        <x:v>99</x:v>
      </x:c>
      <x:c r="AR413" s="49">
        <x:v>-1</x:v>
      </x:c>
      <x:c r="AS413" s="62">
        <x:v>0.339244659577018</x:v>
      </x:c>
      <x:c r="AT413" s="62">
        <x:v>0.38559768314477</x:v>
      </x:c>
      <x:c r="AU413" s="60">
        <x:v>6.3</x:v>
      </x:c>
      <x:c r="AV413" s="60">
        <x:v>4.3</x:v>
      </x:c>
      <x:c r="AW413" s="60">
        <x:v>1.54</x:v>
      </x:c>
      <x:c r="AX413" s="49" t="s">
        <x:v>1356</x:v>
      </x:c>
      <x:c r="AY413" s="49" t="s">
        <x:v>101</x:v>
      </x:c>
    </x:row>
    <x:row r="414" ht="22" customHeight="1">
      <x:c r="A414" s="49" t="s">
        <x:v>1518</x:v>
      </x:c>
      <x:c r="B414" s="49" t="s">
        <x:v>1729</x:v>
      </x:c>
      <x:c r="C414" s="49" t="s">
        <x:v>447</x:v>
      </x:c>
      <x:c r="D414" s="49" t="s">
        <x:v>116</x:v>
      </x:c>
      <x:c r="E414" s="49" t="s">
        <x:v>1006</x:v>
      </x:c>
      <x:c r="F414" s="49" t="s">
        <x:v>1730</x:v>
      </x:c>
      <x:c r="G414" s="60">
        <x:v>1.05</x:v>
      </x:c>
      <x:c r="H414" s="60">
        <x:v>0.5</x:v>
      </x:c>
      <x:c r="I414" s="60">
        <x:v>0.83</x:v>
      </x:c>
      <x:c r="J414" s="49" t="s">
        <x:v>1731</x:v>
      </x:c>
      <x:c r="K414" s="49" t="s">
        <x:v>189</x:v>
      </x:c>
      <x:c r="L414" s="49" t="s">
        <x:v>1732</x:v>
      </x:c>
      <x:c r="M414" s="61">
        <x:v>0.523</x:v>
      </x:c>
      <x:c r="N414" s="49" t="s">
        <x:v>96</x:v>
      </x:c>
      <x:c r="O414" s="49" t="s">
        <x:v>173</x:v>
      </x:c>
      <x:c r="P414" s="49" t="s">
        <x:v>30</x:v>
      </x:c>
      <x:c r="Q414" s="49" t="s">
        <x:v>11</x:v>
      </x:c>
      <x:c r="R414" s="50">
        <x:v>1.05</x:v>
      </x:c>
      <x:c r="S414" s="50">
        <x:f t="shared" si="28"/>
        <x:v>1.05</x:v>
      </x:c>
      <x:c r="T414" s="49" t="s">
        <x:v>1733</x:v>
      </x:c>
      <x:c r="U414" s="49" t="str">
        <x:f t="shared" si="26"/>
        <x:v>黑</x:v>
      </x:c>
      <x:c r="V414" s="50">
        <x:f t="shared" si="27"/>
        <x:v>0.83</x:v>
      </x:c>
      <x:c r="W414" s="50">
        <x:f t="shared" si="29"/>
        <x:v>-1</x:v>
      </x:c>
      <x:c r="X414" s="62">
        <x:v>0.86</x:v>
      </x:c>
      <x:c r="Y414" s="62">
        <x:v>0.25</x:v>
      </x:c>
      <x:c r="Z414" s="62">
        <x:v>1.02</x:v>
      </x:c>
      <x:c r="AA414" s="62">
        <x:v>-0.25</x:v>
      </x:c>
      <x:c r="AB414" s="62">
        <x:v>0.86</x:v>
      </x:c>
      <x:c r="AC414" s="62">
        <x:v>1.05</x:v>
      </x:c>
      <x:c r="AD414" s="60">
        <x:v>1.99</x:v>
      </x:c>
      <x:c r="AE414" s="60">
        <x:v>3.69</x:v>
      </x:c>
      <x:c r="AF414" s="60">
        <x:v>3.25</x:v>
      </x:c>
      <x:c r="AG414" s="62">
        <x:v>0.0812075805334782</x:v>
      </x:c>
      <x:c r="AH414" s="62">
        <x:v>0.0312075805334782</x:v>
      </x:c>
      <x:c r="AI414" s="62">
        <x:v>0.464769736969589</x:v>
      </x:c>
      <x:c r="AJ414" s="62">
        <x:v>0.250648177932109</x:v>
      </x:c>
      <x:c r="AK414" s="62">
        <x:v>0.284582085098302</x:v>
      </x:c>
      <x:c r="AL414" s="62">
        <x:v>1.57</x:v>
      </x:c>
      <x:c r="AM414" s="62">
        <x:v>1.17</x:v>
      </x:c>
      <x:c r="AN414" s="62">
        <x:v>0.000807114675724852</x:v>
      </x:c>
      <x:c r="AO414" s="62">
        <x:v>1.14634205225747</x:v>
      </x:c>
      <x:c r="AP414" s="62">
        <x:v>-0.0963420522574712</x:v>
      </x:c>
      <x:c r="AQ414" s="62" t="s">
        <x:v>99</x:v>
      </x:c>
      <x:c r="AR414" s="49">
        <x:v>-0.5</x:v>
      </x:c>
      <x:c r="AS414" s="62">
        <x:v>0.465908963088257</x:v>
      </x:c>
      <x:c r="AT414" s="62">
        <x:v>0.534091036911743</x:v>
      </x:c>
      <x:c r="AU414" s="60">
        <x:v>2.03</x:v>
      </x:c>
      <x:c r="AV414" s="60">
        <x:v>3.7</x:v>
      </x:c>
      <x:c r="AW414" s="60">
        <x:v>3.21</x:v>
      </x:c>
      <x:c r="AX414" s="49" t="s">
        <x:v>1356</x:v>
      </x:c>
      <x:c r="AY414" s="49" t="s">
        <x:v>101</x:v>
      </x:c>
    </x:row>
    <x:row r="415" ht="22" customHeight="1">
      <x:c r="A415" s="49" t="s">
        <x:v>1734</x:v>
      </x:c>
      <x:c r="B415" s="49" t="s">
        <x:v>1735</x:v>
      </x:c>
      <x:c r="C415" s="49" t="s">
        <x:v>447</x:v>
      </x:c>
      <x:c r="D415" s="49" t="s">
        <x:v>116</x:v>
      </x:c>
      <x:c r="E415" s="49" t="s">
        <x:v>1006</x:v>
      </x:c>
      <x:c r="F415" s="49" t="s">
        <x:v>1736</x:v>
      </x:c>
      <x:c r="G415" s="60">
        <x:v>1.09</x:v>
      </x:c>
      <x:c r="H415" s="60">
        <x:v>0.25</x:v>
      </x:c>
      <x:c r="I415" s="60">
        <x:v>0.8</x:v>
      </x:c>
      <x:c r="J415" s="49" t="s">
        <x:v>1737</x:v>
      </x:c>
      <x:c r="K415" s="49" t="s">
        <x:v>189</x:v>
      </x:c>
      <x:c r="L415" s="49" t="s">
        <x:v>1738</x:v>
      </x:c>
      <x:c r="M415" s="61">
        <x:v>0.523</x:v>
      </x:c>
      <x:c r="N415" s="49" t="s">
        <x:v>96</x:v>
      </x:c>
      <x:c r="O415" s="49" t="s">
        <x:v>201</x:v>
      </x:c>
      <x:c r="P415" s="49" t="s">
        <x:v>30</x:v>
      </x:c>
      <x:c r="Q415" s="49" t="s">
        <x:v>11</x:v>
      </x:c>
      <x:c r="R415" s="50">
        <x:v>1.09</x:v>
      </x:c>
      <x:c r="S415" s="50">
        <x:f t="shared" si="28"/>
        <x:v>1.09</x:v>
      </x:c>
      <x:c r="T415" s="49" t="s">
        <x:v>1739</x:v>
      </x:c>
      <x:c r="U415" s="49" t="str">
        <x:f t="shared" si="26"/>
        <x:v>黑</x:v>
      </x:c>
      <x:c r="V415" s="50">
        <x:f t="shared" si="27"/>
        <x:v>0.8</x:v>
      </x:c>
      <x:c r="W415" s="50">
        <x:f t="shared" si="29"/>
        <x:v>-1</x:v>
      </x:c>
      <x:c r="X415" s="62">
        <x:v>0.81</x:v>
      </x:c>
      <x:c r="Y415" s="62">
        <x:v>0</x:v>
      </x:c>
      <x:c r="Z415" s="62">
        <x:v>1.07</x:v>
      </x:c>
      <x:c r="AA415" s="62">
        <x:v>0</x:v>
      </x:c>
      <x:c r="AB415" s="62">
        <x:v>0.81</x:v>
      </x:c>
      <x:c r="AC415" s="62">
        <x:v>1.09</x:v>
      </x:c>
      <x:c r="AD415" s="60">
        <x:v>2.32</x:v>
      </x:c>
      <x:c r="AE415" s="60">
        <x:v>3.56</x:v>
      </x:c>
      <x:c r="AF415" s="60">
        <x:v>2.72</x:v>
      </x:c>
      <x:c r="AG415" s="62">
        <x:v>0.0795804179866446</x:v>
      </x:c>
      <x:c r="AH415" s="62">
        <x:v>0.0295804179866446</x:v>
      </x:c>
      <x:c r="AI415" s="62">
        <x:v>0.399261116242248</x:v>
      </x:c>
      <x:c r="AJ415" s="62">
        <x:v>0.260192637551128</x:v>
      </x:c>
      <x:c r="AK415" s="62">
        <x:v>0.340546246206623</x:v>
      </x:c>
      <x:c r="AL415" s="62">
        <x:v>1.39</x:v>
      </x:c>
      <x:c r="AM415" s="62">
        <x:v>1.26</x:v>
      </x:c>
      <x:c r="AN415" s="62">
        <x:v>0.000682931574627209</x:v>
      </x:c>
      <x:c r="AO415" s="62">
        <x:v>1.17452279683374</x:v>
      </x:c>
      <x:c r="AP415" s="62">
        <x:v>-0.0845227968337379</x:v>
      </x:c>
      <x:c r="AQ415" s="62" t="s">
        <x:v>99</x:v>
      </x:c>
      <x:c r="AR415" s="49">
        <x:v>-0.25</x:v>
      </x:c>
      <x:c r="AS415" s="62">
        <x:v>0.400007096637438</x:v>
      </x:c>
      <x:c r="AT415" s="62">
        <x:v>0.469817453895947</x:v>
      </x:c>
      <x:c r="AU415" s="60">
        <x:v>2.37</x:v>
      </x:c>
      <x:c r="AV415" s="60">
        <x:v>3.5</x:v>
      </x:c>
      <x:c r="AW415" s="60">
        <x:v>2.75</x:v>
      </x:c>
      <x:c r="AX415" s="49" t="s">
        <x:v>1356</x:v>
      </x:c>
      <x:c r="AY415" s="49" t="s">
        <x:v>101</x:v>
      </x:c>
    </x:row>
    <x:row r="416" ht="22" customHeight="1">
      <x:c r="A416" s="49" t="s">
        <x:v>1734</x:v>
      </x:c>
      <x:c r="B416" s="49" t="s">
        <x:v>1740</x:v>
      </x:c>
      <x:c r="C416" s="49" t="s">
        <x:v>89</x:v>
      </x:c>
      <x:c r="D416" s="49" t="s">
        <x:v>116</x:v>
      </x:c>
      <x:c r="E416" s="49" t="s">
        <x:v>307</x:v>
      </x:c>
      <x:c r="F416" s="49" t="s">
        <x:v>1741</x:v>
      </x:c>
      <x:c r="G416" s="60">
        <x:v>0.9</x:v>
      </x:c>
      <x:c r="H416" s="60">
        <x:v>-0.5</x:v>
      </x:c>
      <x:c r="I416" s="60">
        <x:v>0.8</x:v>
      </x:c>
      <x:c r="J416" s="49" t="s">
        <x:v>1742</x:v>
      </x:c>
      <x:c r="K416" s="49" t="s">
        <x:v>106</x:v>
      </x:c>
      <x:c r="L416" s="49" t="s">
        <x:v>1743</x:v>
      </x:c>
      <x:c r="M416" s="61">
        <x:v>0.576</x:v>
      </x:c>
      <x:c r="N416" s="49" t="s">
        <x:v>96</x:v>
      </x:c>
      <x:c r="O416" s="49" t="s">
        <x:v>149</x:v>
      </x:c>
      <x:c r="P416" s="49" t="s">
        <x:v>30</x:v>
      </x:c>
      <x:c r="Q416" s="49" t="s">
        <x:v>23</x:v>
      </x:c>
      <x:c r="R416" s="50">
        <x:v>0.8</x:v>
      </x:c>
      <x:c r="S416" s="50">
        <x:f t="shared" si="28"/>
        <x:v>-1</x:v>
      </x:c>
      <x:c r="T416" s="49" t="s">
        <x:v>1744</x:v>
      </x:c>
      <x:c r="U416" s="49" t="str">
        <x:f t="shared" si="26"/>
        <x:v>红</x:v>
      </x:c>
      <x:c r="V416" s="50">
        <x:f t="shared" si="27"/>
        <x:v>0.9</x:v>
      </x:c>
      <x:c r="W416" s="50">
        <x:f t="shared" si="29"/>
        <x:v>0.9</x:v>
      </x:c>
      <x:c r="X416" s="62">
        <x:v>0.85</x:v>
      </x:c>
      <x:c r="Y416" s="62">
        <x:v>-0.5</x:v>
      </x:c>
      <x:c r="Z416" s="62">
        <x:v>0.85</x:v>
      </x:c>
      <x:c r="AA416" s="62">
        <x:v>-0.5</x:v>
      </x:c>
      <x:c r="AB416" s="62">
        <x:v>0.85</x:v>
      </x:c>
      <x:c r="AC416" s="62">
        <x:v>0.8</x:v>
      </x:c>
      <x:c r="AD416" s="60">
        <x:v>3.41</x:v>
      </x:c>
      <x:c r="AE416" s="60">
        <x:v>3.86</x:v>
      </x:c>
      <x:c r="AF416" s="60">
        <x:v>1.78</x:v>
      </x:c>
      <x:c r="AG416" s="62">
        <x:v>0.114120242286751</x:v>
      </x:c>
      <x:c r="AH416" s="62">
        <x:v>0.0641202422867515</x:v>
      </x:c>
      <x:c r="AI416" s="62">
        <x:v>0.263216770357657</x:v>
      </x:c>
      <x:c r="AJ416" s="62">
        <x:v>0.232530877440314</x:v>
      </x:c>
      <x:c r="AK416" s="62">
        <x:v>0.504252352202029</x:v>
      </x:c>
      <x:c r="AL416" s="62">
        <x:v>1.23</x:v>
      </x:c>
      <x:c r="AM416" s="62">
        <x:v>1.79</x:v>
      </x:c>
      <x:c r="AN416" s="62">
        <x:v>0.000731562588058512</x:v>
      </x:c>
      <x:c r="AO416" s="62">
        <x:v>0.979074448470533</x:v>
      </x:c>
      <x:c r="AP416" s="62">
        <x:v>-0.179074448470533</x:v>
      </x:c>
      <x:c r="AQ416" s="62" t="s">
        <x:v>99</x:v>
      </x:c>
      <x:c r="AR416" s="49">
        <x:v>-0.5</x:v>
      </x:c>
      <x:c r="AS416" s="62">
        <x:v>0.505286701454217</x:v>
      </x:c>
      <x:c r="AT416" s="62">
        <x:v>0.494713298545783</x:v>
      </x:c>
      <x:c r="AU416" s="60">
        <x:v>3.34</x:v>
      </x:c>
      <x:c r="AV416" s="60">
        <x:v>3.68</x:v>
      </x:c>
      <x:c r="AW416" s="60">
        <x:v>1.85</x:v>
      </x:c>
      <x:c r="AX416" s="49" t="s">
        <x:v>1356</x:v>
      </x:c>
      <x:c r="AY416" s="49" t="s">
        <x:v>101</x:v>
      </x:c>
    </x:row>
    <x:row r="417" ht="22" customHeight="1">
      <x:c r="A417" s="49" t="s">
        <x:v>1734</x:v>
      </x:c>
      <x:c r="B417" s="49" t="s">
        <x:v>1740</x:v>
      </x:c>
      <x:c r="C417" s="49" t="s">
        <x:v>89</x:v>
      </x:c>
      <x:c r="D417" s="49" t="s">
        <x:v>116</x:v>
      </x:c>
      <x:c r="E417" s="49" t="s">
        <x:v>307</x:v>
      </x:c>
      <x:c r="F417" s="49" t="s">
        <x:v>1745</x:v>
      </x:c>
      <x:c r="G417" s="60">
        <x:v>0.83</x:v>
      </x:c>
      <x:c r="H417" s="60">
        <x:v>1.5</x:v>
      </x:c>
      <x:c r="I417" s="60">
        <x:v>0.87</x:v>
      </x:c>
      <x:c r="J417" s="49" t="s">
        <x:v>1746</x:v>
      </x:c>
      <x:c r="K417" s="49" t="s">
        <x:v>106</x:v>
      </x:c>
      <x:c r="L417" s="49" t="s">
        <x:v>1747</x:v>
      </x:c>
      <x:c r="M417" s="61">
        <x:v>0.576</x:v>
      </x:c>
      <x:c r="N417" s="49" t="s">
        <x:v>96</x:v>
      </x:c>
      <x:c r="O417" s="49" t="s">
        <x:v>410</x:v>
      </x:c>
      <x:c r="P417" s="49" t="s">
        <x:v>30</x:v>
      </x:c>
      <x:c r="Q417" s="49" t="s">
        <x:v>11</x:v>
      </x:c>
      <x:c r="R417" s="50">
        <x:v>0.83</x:v>
      </x:c>
      <x:c r="S417" s="50">
        <x:f t="shared" si="28"/>
        <x:v>0.83</x:v>
      </x:c>
      <x:c r="T417" s="49" t="s">
        <x:v>1748</x:v>
      </x:c>
      <x:c r="U417" s="49" t="str">
        <x:f t="shared" si="26"/>
        <x:v>黑</x:v>
      </x:c>
      <x:c r="V417" s="50">
        <x:f t="shared" si="27"/>
        <x:v>0.87</x:v>
      </x:c>
      <x:c r="W417" s="50">
        <x:f t="shared" si="29"/>
        <x:v>-1</x:v>
      </x:c>
      <x:c r="X417" s="62">
        <x:v>0.83</x:v>
      </x:c>
      <x:c r="Y417" s="62">
        <x:v>1.5</x:v>
      </x:c>
      <x:c r="Z417" s="62">
        <x:v>0.87</x:v>
      </x:c>
      <x:c r="AA417" s="62">
        <x:v>-1.5</x:v>
      </x:c>
      <x:c r="AB417" s="62">
        <x:v>0.83</x:v>
      </x:c>
      <x:c r="AC417" s="62">
        <x:v>0.83</x:v>
      </x:c>
      <x:c r="AD417" s="60">
        <x:v>1.33</x:v>
      </x:c>
      <x:c r="AE417" s="60">
        <x:v>4.78</x:v>
      </x:c>
      <x:c r="AF417" s="60">
        <x:v>6.75</x:v>
      </x:c>
      <x:c r="AG417" s="62">
        <x:v>0.10923286831677</x:v>
      </x:c>
      <x:c r="AH417" s="62">
        <x:v>0.0592328683167705</x:v>
      </x:c>
      <x:c r="AI417" s="62">
        <x:v>0.677837558482266</x:v>
      </x:c>
      <x:c r="AJ417" s="62">
        <x:v>0.188603337401969</x:v>
      </x:c>
      <x:c r="AK417" s="62">
        <x:v>0.133559104115765</x:v>
      </x:c>
      <x:c r="AL417" s="62">
        <x:v>2.18</x:v>
      </x:c>
      <x:c r="AM417" s="62">
        <x:v>0.85</x:v>
      </x:c>
      <x:c r="AN417" s="62">
        <x:v>0.00022752437754649</x:v>
      </x:c>
      <x:c r="AO417" s="62">
        <x:v>1.27536568971903</x:v>
      </x:c>
      <x:c r="AP417" s="62">
        <x:v>-0.445365689719032</x:v>
      </x:c>
      <x:c r="AQ417" s="62" t="s">
        <x:v>99</x:v>
      </x:c>
      <x:c r="AR417" s="49">
        <x:v>-1.5</x:v>
      </x:c>
      <x:c r="AS417" s="62">
        <x:v>0.439489794769421</x:v>
      </x:c>
      <x:c r="AT417" s="62">
        <x:v>0.560510205230579</x:v>
      </x:c>
      <x:c r="AU417" s="60">
        <x:v>1.29</x:v>
      </x:c>
      <x:c r="AV417" s="60">
        <x:v>4.97</x:v>
      </x:c>
      <x:c r="AW417" s="60">
        <x:v>7.51</x:v>
      </x:c>
      <x:c r="AX417" s="49" t="s">
        <x:v>1356</x:v>
      </x:c>
      <x:c r="AY417" s="49" t="s">
        <x:v>101</x:v>
      </x:c>
    </x:row>
    <x:row r="418" ht="22" customHeight="1">
      <x:c r="A418" s="49" t="s">
        <x:v>1734</x:v>
      </x:c>
      <x:c r="B418" s="49" t="s">
        <x:v>1740</x:v>
      </x:c>
      <x:c r="C418" s="49" t="s">
        <x:v>89</x:v>
      </x:c>
      <x:c r="D418" s="49" t="s">
        <x:v>116</x:v>
      </x:c>
      <x:c r="E418" s="49" t="s">
        <x:v>938</x:v>
      </x:c>
      <x:c r="F418" s="49" t="s">
        <x:v>1749</x:v>
      </x:c>
      <x:c r="G418" s="60">
        <x:v>0.87</x:v>
      </x:c>
      <x:c r="H418" s="60">
        <x:v>0.25</x:v>
      </x:c>
      <x:c r="I418" s="60">
        <x:v>0.89</x:v>
      </x:c>
      <x:c r="J418" s="49" t="s">
        <x:v>1750</x:v>
      </x:c>
      <x:c r="K418" s="49" t="s">
        <x:v>132</x:v>
      </x:c>
      <x:c r="L418" s="49" t="s">
        <x:v>1751</x:v>
      </x:c>
      <x:c r="M418" s="61">
        <x:v>0.555</x:v>
      </x:c>
      <x:c r="N418" s="49" t="s">
        <x:v>96</x:v>
      </x:c>
      <x:c r="O418" s="49" t="s">
        <x:v>191</x:v>
      </x:c>
      <x:c r="P418" s="49" t="s">
        <x:v>30</x:v>
      </x:c>
      <x:c r="Q418" s="49" t="s">
        <x:v>11</x:v>
      </x:c>
      <x:c r="R418" s="50">
        <x:v>0.89</x:v>
      </x:c>
      <x:c r="S418" s="50">
        <x:f t="shared" si="28"/>
        <x:v>0.89</x:v>
      </x:c>
      <x:c r="T418" s="49" t="s">
        <x:v>1752</x:v>
      </x:c>
      <x:c r="U418" s="49" t="str">
        <x:f t="shared" si="26"/>
        <x:v>黑</x:v>
      </x:c>
      <x:c r="V418" s="50">
        <x:f t="shared" si="27"/>
        <x:v>0.87</x:v>
      </x:c>
      <x:c r="W418" s="50">
        <x:f t="shared" si="29"/>
        <x:v>-1</x:v>
      </x:c>
      <x:c r="X418" s="62">
        <x:v>0.76</x:v>
      </x:c>
      <x:c r="Y418" s="62">
        <x:v>0.5</x:v>
      </x:c>
      <x:c r="Z418" s="62">
        <x:v>0.94</x:v>
      </x:c>
      <x:c r="AA418" s="62">
        <x:v>0.5</x:v>
      </x:c>
      <x:c r="AB418" s="62">
        <x:v>0.94</x:v>
      </x:c>
      <x:c r="AC418" s="62">
        <x:v>0.89</x:v>
      </x:c>
      <x:c r="AD418" s="60">
        <x:v>1.86</x:v>
      </x:c>
      <x:c r="AE418" s="60">
        <x:v>3.54</x:v>
      </x:c>
      <x:c r="AF418" s="60">
        <x:v>3.56</x:v>
      </x:c>
      <x:c r="AG418" s="62">
        <x:v>0.10101916071286</x:v>
      </x:c>
      <x:c r="AH418" s="62">
        <x:v>0.0510191607128596</x:v>
      </x:c>
      <x:c r="AI418" s="62">
        <x:v>0.488306132886967</x:v>
      </x:c>
      <x:c r="AJ418" s="62">
        <x:v>0.256567629144</x:v>
      </x:c>
      <x:c r="AK418" s="62">
        <x:v>0.255126237969033</x:v>
      </x:c>
      <x:c r="AL418" s="62">
        <x:v>1.53</x:v>
      </x:c>
      <x:c r="AM418" s="62">
        <x:v>1.03</x:v>
      </x:c>
      <x:c r="AN418" s="62">
        <x:v>0.000131980444850719</x:v>
      </x:c>
      <x:c r="AO418" s="62">
        <x:v>1.27431597143848</x:v>
      </x:c>
      <x:c r="AP418" s="62">
        <x:v>-0.38431597143848</x:v>
      </x:c>
      <x:c r="AQ418" s="62" t="s">
        <x:v>289</x:v>
      </x:c>
      <x:c r="AR418" s="49">
        <x:v>0.25</x:v>
      </x:c>
      <x:c r="AS418" s="62">
        <x:v>0.383321526314743</x:v>
      </x:c>
      <x:c r="AT418" s="62">
        <x:v>0.488472743179052</x:v>
      </x:c>
      <x:c r="AU418" s="60">
        <x:v>2</x:v>
      </x:c>
      <x:c r="AV418" s="60">
        <x:v>3.32</x:v>
      </x:c>
      <x:c r="AW418" s="60">
        <x:v>3.31</x:v>
      </x:c>
      <x:c r="AX418" s="49" t="s">
        <x:v>1356</x:v>
      </x:c>
      <x:c r="AY418" s="49" t="s">
        <x:v>101</x:v>
      </x:c>
    </x:row>
    <x:row r="419" ht="22" customHeight="1">
      <x:c r="A419" s="49" t="s">
        <x:v>1734</x:v>
      </x:c>
      <x:c r="B419" s="49" t="s">
        <x:v>1753</x:v>
      </x:c>
      <x:c r="C419" s="49" t="s">
        <x:v>244</x:v>
      </x:c>
      <x:c r="D419" s="49" t="s">
        <x:v>90</x:v>
      </x:c>
      <x:c r="E419" s="49" t="s">
        <x:v>1754</x:v>
      </x:c>
      <x:c r="F419" s="49" t="s">
        <x:v>1755</x:v>
      </x:c>
      <x:c r="G419" s="60">
        <x:v>0.75</x:v>
      </x:c>
      <x:c r="H419" s="60">
        <x:v>0.25</x:v>
      </x:c>
      <x:c r="I419" s="60">
        <x:v>0.95</x:v>
      </x:c>
      <x:c r="J419" s="49" t="s">
        <x:v>153</x:v>
      </x:c>
      <x:c r="K419" s="49" t="s">
        <x:v>106</x:v>
      </x:c>
      <x:c r="L419" s="49" t="s">
        <x:v>1756</x:v>
      </x:c>
      <x:c r="M419" s="61">
        <x:v>0.592</x:v>
      </x:c>
      <x:c r="N419" s="49" t="s">
        <x:v>96</x:v>
      </x:c>
      <x:c r="O419" s="49" t="s">
        <x:v>642</x:v>
      </x:c>
      <x:c r="P419" s="49" t="s">
        <x:v>30</x:v>
      </x:c>
      <x:c r="Q419" s="49" t="s">
        <x:v>23</x:v>
      </x:c>
      <x:c r="R419" s="50">
        <x:v>0.75</x:v>
      </x:c>
      <x:c r="S419" s="50">
        <x:f t="shared" si="28"/>
        <x:v>-1</x:v>
      </x:c>
      <x:c r="T419" s="49" t="s">
        <x:v>1757</x:v>
      </x:c>
      <x:c r="U419" s="49" t="str">
        <x:f t="shared" si="26"/>
        <x:v>红</x:v>
      </x:c>
      <x:c r="V419" s="50">
        <x:f t="shared" si="27"/>
        <x:v>0.95</x:v>
      </x:c>
      <x:c r="W419" s="50">
        <x:f t="shared" si="29"/>
        <x:v>0.95</x:v>
      </x:c>
      <x:c r="X419" s="62">
        <x:v>0.75</x:v>
      </x:c>
      <x:c r="Y419" s="62">
        <x:v>0.25</x:v>
      </x:c>
      <x:c r="Z419" s="62">
        <x:v>0.95</x:v>
      </x:c>
      <x:c r="AA419" s="62">
        <x:v>-0.25</x:v>
      </x:c>
      <x:c r="AB419" s="62">
        <x:v>0.75</x:v>
      </x:c>
      <x:c r="AC419" s="62">
        <x:v>0.75</x:v>
      </x:c>
      <x:c r="AD419" s="60">
        <x:v>2.02</x:v>
      </x:c>
      <x:c r="AE419" s="60">
        <x:v>3.12</x:v>
      </x:c>
      <x:c r="AF419" s="60">
        <x:v>3.35</x:v>
      </x:c>
      <x:c r="AG419" s="62">
        <x:v>0.114069788149883</x:v>
      </x:c>
      <x:c r="AH419" s="62">
        <x:v>0.0640697881498827</x:v>
      </x:c>
      <x:c r="AI419" s="62">
        <x:v>0.444361305024361</x:v>
      </x:c>
      <x:c r="AJ419" s="62">
        <x:v>0.287695460304234</x:v>
      </x:c>
      <x:c r="AK419" s="62">
        <x:v>0.267943234671406</x:v>
      </x:c>
      <x:c r="AL419" s="62">
        <x:v>1.26</x:v>
      </x:c>
      <x:c r="AM419" s="62">
        <x:v>0.91</x:v>
      </x:c>
      <x:c r="AN419" s="62">
        <x:v>0.000102493662070487</x:v>
      </x:c>
      <x:c r="AO419" s="62">
        <x:v>0.927257388443918</x:v>
      </x:c>
      <x:c r="AP419" s="62">
        <x:v>-0.177257388443918</x:v>
      </x:c>
      <x:c r="AQ419" s="62" t="s">
        <x:v>99</x:v>
      </x:c>
      <x:c r="AR419" s="49">
        <x:v>-0.25</x:v>
      </x:c>
      <x:c r="AS419" s="62">
        <x:v>0.444216599783458</x:v>
      </x:c>
      <x:c r="AT419" s="62">
        <x:v>0.411903124218647</x:v>
      </x:c>
      <x:c r="AU419" s="60">
        <x:v>2.02</x:v>
      </x:c>
      <x:c r="AV419" s="60">
        <x:v>3.16</x:v>
      </x:c>
      <x:c r="AW419" s="60">
        <x:v>3.3</x:v>
      </x:c>
      <x:c r="AX419" s="49" t="s">
        <x:v>1356</x:v>
      </x:c>
      <x:c r="AY419" s="49" t="s">
        <x:v>101</x:v>
      </x:c>
    </x:row>
    <x:row r="420" ht="22" customHeight="1">
      <x:c r="A420" s="49" t="s">
        <x:v>1734</x:v>
      </x:c>
      <x:c r="B420" s="49" t="s">
        <x:v>1753</x:v>
      </x:c>
      <x:c r="C420" s="49" t="s">
        <x:v>239</x:v>
      </x:c>
      <x:c r="D420" s="49" t="s">
        <x:v>116</x:v>
      </x:c>
      <x:c r="E420" s="49" t="s">
        <x:v>645</x:v>
      </x:c>
      <x:c r="F420" s="49" t="s">
        <x:v>1758</x:v>
      </x:c>
      <x:c r="G420" s="60">
        <x:v>0.81</x:v>
      </x:c>
      <x:c r="H420" s="60">
        <x:v>0.25</x:v>
      </x:c>
      <x:c r="I420" s="60">
        <x:v>0.95</x:v>
      </x:c>
      <x:c r="J420" s="49" t="s">
        <x:v>990</x:v>
      </x:c>
      <x:c r="K420" s="49" t="s">
        <x:v>106</x:v>
      </x:c>
      <x:c r="L420" s="49" t="s">
        <x:v>1759</x:v>
      </x:c>
      <x:c r="M420" s="61">
        <x:v>0.579</x:v>
      </x:c>
      <x:c r="N420" s="49" t="s">
        <x:v>96</x:v>
      </x:c>
      <x:c r="O420" s="49" t="s">
        <x:v>201</x:v>
      </x:c>
      <x:c r="P420" s="49" t="s">
        <x:v>30</x:v>
      </x:c>
      <x:c r="Q420" s="49" t="s">
        <x:v>11</x:v>
      </x:c>
      <x:c r="R420" s="50">
        <x:v>0.81</x:v>
      </x:c>
      <x:c r="S420" s="50">
        <x:f t="shared" si="28"/>
        <x:v>0.81</x:v>
      </x:c>
      <x:c r="T420" s="49" t="s">
        <x:v>1760</x:v>
      </x:c>
      <x:c r="U420" s="49" t="str">
        <x:f t="shared" si="26"/>
        <x:v>黑</x:v>
      </x:c>
      <x:c r="V420" s="50">
        <x:f t="shared" si="27"/>
        <x:v>0.95</x:v>
      </x:c>
      <x:c r="W420" s="50">
        <x:f t="shared" si="29"/>
        <x:v>-1</x:v>
      </x:c>
      <x:c r="X420" s="62">
        <x:v>0.81</x:v>
      </x:c>
      <x:c r="Y420" s="62">
        <x:v>0.25</x:v>
      </x:c>
      <x:c r="Z420" s="62">
        <x:v>0.95</x:v>
      </x:c>
      <x:c r="AA420" s="62">
        <x:v>-0.25</x:v>
      </x:c>
      <x:c r="AB420" s="62">
        <x:v>0.81</x:v>
      </x:c>
      <x:c r="AC420" s="62">
        <x:v>0.81</x:v>
      </x:c>
      <x:c r="AD420" s="60">
        <x:v>2.09</x:v>
      </x:c>
      <x:c r="AE420" s="60">
        <x:v>3.22</x:v>
      </x:c>
      <x:c r="AF420" s="60">
        <x:v>3.19</x:v>
      </x:c>
      <x:c r="AG420" s="62">
        <x:v>0.102507529557163</x:v>
      </x:c>
      <x:c r="AH420" s="62">
        <x:v>0.0525075295571627</x:v>
      </x:c>
      <x:c r="AI420" s="62">
        <x:v>0.433982432495236</x:v>
      </x:c>
      <x:c r="AJ420" s="62">
        <x:v>0.281684249663057</x:v>
      </x:c>
      <x:c r="AK420" s="62">
        <x:v>0.284333317841707</x:v>
      </x:c>
      <x:c r="AL420" s="62">
        <x:v>1.28</x:v>
      </x:c>
      <x:c r="AM420" s="62">
        <x:v>0.98</x:v>
      </x:c>
      <x:c r="AN420" s="62">
        <x:v>0.000690117226518745</x:v>
      </x:c>
      <x:c r="AO420" s="62">
        <x:v>0.982796346084402</x:v>
      </x:c>
      <x:c r="AP420" s="62">
        <x:v>-0.172796346084402</x:v>
      </x:c>
      <x:c r="AQ420" s="62" t="s">
        <x:v>99</x:v>
      </x:c>
      <x:c r="AR420" s="49">
        <x:v>-0.25</x:v>
      </x:c>
      <x:c r="AS420" s="62">
        <x:v>0.433102889096281</x:v>
      </x:c>
      <x:c r="AT420" s="62">
        <x:v>0.425651936882423</x:v>
      </x:c>
      <x:c r="AU420" s="60">
        <x:v>1.96</x:v>
      </x:c>
      <x:c r="AV420" s="60">
        <x:v>3.29</x:v>
      </x:c>
      <x:c r="AW420" s="60">
        <x:v>3.43</x:v>
      </x:c>
      <x:c r="AX420" s="49" t="s">
        <x:v>1356</x:v>
      </x:c>
      <x:c r="AY420" s="49" t="s">
        <x:v>101</x:v>
      </x:c>
    </x:row>
    <x:row r="421" ht="22" customHeight="1">
      <x:c r="A421" s="49" t="s">
        <x:v>1734</x:v>
      </x:c>
      <x:c r="B421" s="49" t="s">
        <x:v>1753</x:v>
      </x:c>
      <x:c r="C421" s="49" t="s">
        <x:v>239</x:v>
      </x:c>
      <x:c r="D421" s="49" t="s">
        <x:v>116</x:v>
      </x:c>
      <x:c r="E421" s="49" t="s">
        <x:v>656</x:v>
      </x:c>
      <x:c r="F421" s="49" t="s">
        <x:v>1761</x:v>
      </x:c>
      <x:c r="G421" s="60">
        <x:v>0.8</x:v>
      </x:c>
      <x:c r="H421" s="60">
        <x:v>0.5</x:v>
      </x:c>
      <x:c r="I421" s="60">
        <x:v>1.08</x:v>
      </x:c>
      <x:c r="J421" s="49" t="s">
        <x:v>1502</x:v>
      </x:c>
      <x:c r="K421" s="49" t="s">
        <x:v>106</x:v>
      </x:c>
      <x:c r="L421" s="49" t="s">
        <x:v>1216</x:v>
      </x:c>
      <x:c r="M421" s="61">
        <x:v>0.579</x:v>
      </x:c>
      <x:c r="N421" s="49" t="s">
        <x:v>96</x:v>
      </x:c>
      <x:c r="O421" s="49" t="s">
        <x:v>126</x:v>
      </x:c>
      <x:c r="P421" s="49" t="s">
        <x:v>30</x:v>
      </x:c>
      <x:c r="Q421" s="49" t="s">
        <x:v>23</x:v>
      </x:c>
      <x:c r="R421" s="50">
        <x:v>0.8</x:v>
      </x:c>
      <x:c r="S421" s="50">
        <x:f t="shared" si="28"/>
        <x:v>-1</x:v>
      </x:c>
      <x:c r="T421" s="49" t="s">
        <x:v>1762</x:v>
      </x:c>
      <x:c r="U421" s="49" t="str">
        <x:f t="shared" si="26"/>
        <x:v>红</x:v>
      </x:c>
      <x:c r="V421" s="50">
        <x:f t="shared" si="27"/>
        <x:v>1.08</x:v>
      </x:c>
      <x:c r="W421" s="50">
        <x:f t="shared" si="29"/>
        <x:v>1.08</x:v>
      </x:c>
      <x:c r="X421" s="62">
        <x:v>0.98</x:v>
      </x:c>
      <x:c r="Y421" s="62">
        <x:v>0.5</x:v>
      </x:c>
      <x:c r="Z421" s="62">
        <x:v>0.9</x:v>
      </x:c>
      <x:c r="AA421" s="62">
        <x:v>-0.5</x:v>
      </x:c>
      <x:c r="AB421" s="62">
        <x:v>0.98</x:v>
      </x:c>
      <x:c r="AC421" s="62">
        <x:v>0.8</x:v>
      </x:c>
      <x:c r="AD421" s="60">
        <x:v>1.87</x:v>
      </x:c>
      <x:c r="AE421" s="60">
        <x:v>3.38</x:v>
      </x:c>
      <x:c r="AF421" s="60">
        <x:v>3.74</x:v>
      </x:c>
      <x:c r="AG421" s="62">
        <x:v>0.0979970255988354</x:v>
      </x:c>
      <x:c r="AH421" s="62">
        <x:v>0.0479970255988354</x:v>
      </x:c>
      <x:c r="AI421" s="62">
        <x:v>0.487031700288184</x:v>
      </x:c>
      <x:c r="AJ421" s="62">
        <x:v>0.269452449567723</x:v>
      </x:c>
      <x:c r="AK421" s="62">
        <x:v>0.243515850144092</x:v>
      </x:c>
      <x:c r="AL421" s="62">
        <x:v>1.42</x:v>
      </x:c>
      <x:c r="AM421" s="62">
        <x:v>0.92</x:v>
      </x:c>
      <x:c r="AN421" s="62">
        <x:v>0.000484569377454877</x:v>
      </x:c>
      <x:c r="AO421" s="62">
        <x:v>1.05613941540634</x:v>
      </x:c>
      <x:c r="AP421" s="62">
        <x:v>-0.256139415406338</x:v>
      </x:c>
      <x:c r="AQ421" s="62" t="s">
        <x:v>99</x:v>
      </x:c>
      <x:c r="AR421" s="49">
        <x:v>-0.5</x:v>
      </x:c>
      <x:c r="AS421" s="62">
        <x:v>0.486348344138123</x:v>
      </x:c>
      <x:c r="AT421" s="62">
        <x:v>0.513651655861877</x:v>
      </x:c>
      <x:c r="AU421" s="60">
        <x:v>1.82</x:v>
      </x:c>
      <x:c r="AV421" s="60">
        <x:v>3.42</x:v>
      </x:c>
      <x:c r="AW421" s="60">
        <x:v>3.96</x:v>
      </x:c>
      <x:c r="AX421" s="49" t="s">
        <x:v>1356</x:v>
      </x:c>
      <x:c r="AY421" s="49" t="s">
        <x:v>101</x:v>
      </x:c>
    </x:row>
    <x:row r="422" ht="22" customHeight="1">
      <x:c r="A422" s="49" t="s">
        <x:v>1734</x:v>
      </x:c>
      <x:c r="B422" s="49" t="s">
        <x:v>1763</x:v>
      </x:c>
      <x:c r="C422" s="49" t="s">
        <x:v>239</x:v>
      </x:c>
      <x:c r="D422" s="49" t="s">
        <x:v>116</x:v>
      </x:c>
      <x:c r="E422" s="49" t="s">
        <x:v>645</x:v>
      </x:c>
      <x:c r="F422" s="49" t="s">
        <x:v>1764</x:v>
      </x:c>
      <x:c r="G422" s="60">
        <x:v>0.92</x:v>
      </x:c>
      <x:c r="H422" s="60">
        <x:v>-0.25</x:v>
      </x:c>
      <x:c r="I422" s="60">
        <x:v>0.84</x:v>
      </x:c>
      <x:c r="J422" s="49" t="s">
        <x:v>1765</x:v>
      </x:c>
      <x:c r="K422" s="49" t="s">
        <x:v>106</x:v>
      </x:c>
      <x:c r="L422" s="49" t="s">
        <x:v>1766</x:v>
      </x:c>
      <x:c r="M422" s="61">
        <x:v>0.579</x:v>
      </x:c>
      <x:c r="N422" s="49" t="s">
        <x:v>96</x:v>
      </x:c>
      <x:c r="O422" s="49" t="s">
        <x:v>126</x:v>
      </x:c>
      <x:c r="P422" s="49" t="s">
        <x:v>30</x:v>
      </x:c>
      <x:c r="Q422" s="49" t="s">
        <x:v>20</x:v>
      </x:c>
      <x:c r="R422" s="50">
        <x:v>0.84</x:v>
      </x:c>
      <x:c r="S422" s="50">
        <x:f t="shared" si="28"/>
        <x:v>-0.5</x:v>
      </x:c>
      <x:c r="T422" s="49" t="s">
        <x:v>1767</x:v>
      </x:c>
      <x:c r="U422" s="49" t="str">
        <x:f t="shared" si="26"/>
        <x:v>半红</x:v>
      </x:c>
      <x:c r="V422" s="50">
        <x:f t="shared" si="27"/>
        <x:v>0.92</x:v>
      </x:c>
      <x:c r="W422" s="50">
        <x:f t="shared" si="29"/>
        <x:v>0.46</x:v>
      </x:c>
      <x:c r="X422" s="62">
        <x:v>0.74</x:v>
      </x:c>
      <x:c r="Y422" s="62">
        <x:v>-0.25</x:v>
      </x:c>
      <x:c r="Z422" s="62">
        <x:v>1.02</x:v>
      </x:c>
      <x:c r="AA422" s="62">
        <x:v>-0.25</x:v>
      </x:c>
      <x:c r="AB422" s="62">
        <x:v>1.02</x:v>
      </x:c>
      <x:c r="AC422" s="62">
        <x:v>0.84</x:v>
      </x:c>
      <x:c r="AD422" s="60">
        <x:v>3.19</x:v>
      </x:c>
      <x:c r="AE422" s="60">
        <x:v>2.99</x:v>
      </x:c>
      <x:c r="AF422" s="60">
        <x:v>2.21</x:v>
      </x:c>
      <x:c r="AG422" s="62">
        <x:v>0.100416472142374</x:v>
      </x:c>
      <x:c r="AH422" s="62">
        <x:v>0.0504164721423739</x:v>
      </x:c>
      <x:c r="AI422" s="62">
        <x:v>0.284873619906966</x:v>
      </x:c>
      <x:c r="AJ422" s="62">
        <x:v>0.303928711539539</x:v>
      </x:c>
      <x:c r="AK422" s="62">
        <x:v>0.411197668553494</x:v>
      </x:c>
      <x:c r="AL422" s="62">
        <x:v>0.89</x:v>
      </x:c>
      <x:c r="AM422" s="62">
        <x:v>1.13</x:v>
      </x:c>
      <x:c r="AN422" s="62">
        <x:v>0.000647498145908849</x:v>
      </x:c>
      <x:c r="AO422" s="62">
        <x:v>1.06565833030867</x:v>
      </x:c>
      <x:c r="AP422" s="62">
        <x:v>-0.225658330308672</x:v>
      </x:c>
      <x:c r="AQ422" s="62" t="s">
        <x:v>99</x:v>
      </x:c>
      <x:c r="AR422" s="49">
        <x:v>-0.25</x:v>
      </x:c>
      <x:c r="AS422" s="62">
        <x:v>0.410618809261376</x:v>
      </x:c>
      <x:c r="AT422" s="62">
        <x:v>0.437579354670813</x:v>
      </x:c>
      <x:c r="AU422" s="60">
        <x:v>3.47</x:v>
      </x:c>
      <x:c r="AV422" s="60">
        <x:v>3.04</x:v>
      </x:c>
      <x:c r="AW422" s="60">
        <x:v>2.05</x:v>
      </x:c>
      <x:c r="AX422" s="49" t="s">
        <x:v>1356</x:v>
      </x:c>
      <x:c r="AY422" s="49" t="s">
        <x:v>101</x:v>
      </x:c>
    </x:row>
    <x:row r="423" ht="22" customHeight="1">
      <x:c r="A423" s="49" t="s">
        <x:v>1734</x:v>
      </x:c>
      <x:c r="B423" s="49" t="s">
        <x:v>1763</x:v>
      </x:c>
      <x:c r="C423" s="49" t="s">
        <x:v>239</x:v>
      </x:c>
      <x:c r="D423" s="49" t="s">
        <x:v>116</x:v>
      </x:c>
      <x:c r="E423" s="49" t="s">
        <x:v>659</x:v>
      </x:c>
      <x:c r="F423" s="49" t="s">
        <x:v>1768</x:v>
      </x:c>
      <x:c r="G423" s="60">
        <x:v>0.83</x:v>
      </x:c>
      <x:c r="H423" s="60">
        <x:v>0.75</x:v>
      </x:c>
      <x:c r="I423" s="60">
        <x:v>0.93</x:v>
      </x:c>
      <x:c r="J423" s="49" t="s">
        <x:v>360</x:v>
      </x:c>
      <x:c r="K423" s="49" t="s">
        <x:v>106</x:v>
      </x:c>
      <x:c r="L423" s="49" t="s">
        <x:v>1769</x:v>
      </x:c>
      <x:c r="M423" s="61">
        <x:v>0.579</x:v>
      </x:c>
      <x:c r="N423" s="49" t="s">
        <x:v>96</x:v>
      </x:c>
      <x:c r="O423" s="49" t="s">
        <x:v>161</x:v>
      </x:c>
      <x:c r="P423" s="49" t="s">
        <x:v>30</x:v>
      </x:c>
      <x:c r="Q423" s="49" t="s">
        <x:v>11</x:v>
      </x:c>
      <x:c r="R423" s="50">
        <x:v>0.83</x:v>
      </x:c>
      <x:c r="S423" s="50">
        <x:f t="shared" si="28"/>
        <x:v>0.83</x:v>
      </x:c>
      <x:c r="T423" s="49" t="s">
        <x:v>1770</x:v>
      </x:c>
      <x:c r="U423" s="49" t="str">
        <x:f t="shared" si="26"/>
        <x:v>黑</x:v>
      </x:c>
      <x:c r="V423" s="50">
        <x:f t="shared" si="27"/>
        <x:v>0.93</x:v>
      </x:c>
      <x:c r="W423" s="50">
        <x:f t="shared" si="29"/>
        <x:v>-1</x:v>
      </x:c>
      <x:c r="X423" s="62">
        <x:v>0.86</x:v>
      </x:c>
      <x:c r="Y423" s="62">
        <x:v>0.75</x:v>
      </x:c>
      <x:c r="Z423" s="62">
        <x:v>0.96</x:v>
      </x:c>
      <x:c r="AA423" s="62">
        <x:v>-0.75</x:v>
      </x:c>
      <x:c r="AB423" s="62">
        <x:v>0.86</x:v>
      </x:c>
      <x:c r="AC423" s="62">
        <x:v>0.83</x:v>
      </x:c>
      <x:c r="AD423" s="60">
        <x:v>1.6</x:v>
      </x:c>
      <x:c r="AE423" s="60">
        <x:v>3.87</x:v>
      </x:c>
      <x:c r="AF423" s="60">
        <x:v>4.54</x:v>
      </x:c>
      <x:c r="AG423" s="62">
        <x:v>0.103662249997154</x:v>
      </x:c>
      <x:c r="AH423" s="62">
        <x:v>0.0536622499971542</x:v>
      </x:c>
      <x:c r="AI423" s="62">
        <x:v>0.566296437158752</x:v>
      </x:c>
      <x:c r="AJ423" s="62">
        <x:v>0.234127725957107</x:v>
      </x:c>
      <x:c r="AK423" s="62">
        <x:v>0.199575836884142</x:v>
      </x:c>
      <x:c r="AL423" s="62">
        <x:v>1.76</x:v>
      </x:c>
      <x:c r="AM423" s="62">
        <x:v>0.94</x:v>
      </x:c>
      <x:c r="AN423" s="62">
        <x:v>0.000420102721038178</x:v>
      </x:c>
      <x:c r="AO423" s="62">
        <x:v>0.976999105586099</x:v>
      </x:c>
      <x:c r="AP423" s="62">
        <x:v>-0.146999105586099</x:v>
      </x:c>
      <x:c r="AQ423" s="62" t="s">
        <x:v>99</x:v>
      </x:c>
      <x:c r="AR423" s="49">
        <x:v>-0.75</x:v>
      </x:c>
      <x:c r="AS423" s="62">
        <x:v>0.443311386475077</x:v>
      </x:c>
      <x:c r="AT423" s="62">
        <x:v>0.433114828082284</x:v>
      </x:c>
      <x:c r="AU423" s="60">
        <x:v>1.59</x:v>
      </x:c>
      <x:c r="AV423" s="60">
        <x:v>3.88</x:v>
      </x:c>
      <x:c r="AW423" s="60">
        <x:v>4.73</x:v>
      </x:c>
      <x:c r="AX423" s="49" t="s">
        <x:v>1356</x:v>
      </x:c>
      <x:c r="AY423" s="49" t="s">
        <x:v>101</x:v>
      </x:c>
    </x:row>
    <x:row r="424" ht="22" customHeight="1">
      <x:c r="A424" s="49" t="s">
        <x:v>1734</x:v>
      </x:c>
      <x:c r="B424" s="49" t="s">
        <x:v>1763</x:v>
      </x:c>
      <x:c r="C424" s="49" t="s">
        <x:v>239</x:v>
      </x:c>
      <x:c r="D424" s="49" t="s">
        <x:v>116</x:v>
      </x:c>
      <x:c r="E424" s="49" t="s">
        <x:v>669</x:v>
      </x:c>
      <x:c r="F424" s="49" t="s">
        <x:v>1771</x:v>
      </x:c>
      <x:c r="G424" s="60">
        <x:v>1.06</x:v>
      </x:c>
      <x:c r="H424" s="60">
        <x:v>-0.25</x:v>
      </x:c>
      <x:c r="I424" s="60">
        <x:v>0.82</x:v>
      </x:c>
      <x:c r="J424" s="49" t="s">
        <x:v>124</x:v>
      </x:c>
      <x:c r="K424" s="49" t="s">
        <x:v>106</x:v>
      </x:c>
      <x:c r="L424" s="49" t="s">
        <x:v>1225</x:v>
      </x:c>
      <x:c r="M424" s="61">
        <x:v>0.579</x:v>
      </x:c>
      <x:c r="N424" s="49" t="s">
        <x:v>96</x:v>
      </x:c>
      <x:c r="O424" s="49" t="s">
        <x:v>126</x:v>
      </x:c>
      <x:c r="P424" s="49" t="s">
        <x:v>30</x:v>
      </x:c>
      <x:c r="Q424" s="49" t="s">
        <x:v>20</x:v>
      </x:c>
      <x:c r="R424" s="50">
        <x:v>0.82</x:v>
      </x:c>
      <x:c r="S424" s="50">
        <x:f t="shared" si="28"/>
        <x:v>-0.5</x:v>
      </x:c>
      <x:c r="T424" s="49" t="s">
        <x:v>1772</x:v>
      </x:c>
      <x:c r="U424" s="49" t="str">
        <x:f t="shared" si="26"/>
        <x:v>半红</x:v>
      </x:c>
      <x:c r="V424" s="50">
        <x:f t="shared" si="27"/>
        <x:v>1.06</x:v>
      </x:c>
      <x:c r="W424" s="50">
        <x:f t="shared" si="29"/>
        <x:v>0.53</x:v>
      </x:c>
      <x:c r="X424" s="62">
        <x:v>1.03</x:v>
      </x:c>
      <x:c r="Y424" s="62">
        <x:v>-0.25</x:v>
      </x:c>
      <x:c r="Z424" s="62">
        <x:v>0.85</x:v>
      </x:c>
      <x:c r="AA424" s="62">
        <x:v>-0.25</x:v>
      </x:c>
      <x:c r="AB424" s="62">
        <x:v>0.85</x:v>
      </x:c>
      <x:c r="AC424" s="62">
        <x:v>0.82</x:v>
      </x:c>
      <x:c r="AD424" s="60">
        <x:v>3.26</x:v>
      </x:c>
      <x:c r="AE424" s="60">
        <x:v>3.28</x:v>
      </x:c>
      <x:c r="AF424" s="60">
        <x:v>2.09</x:v>
      </x:c>
      <x:c r="AG424" s="62">
        <x:v>0.0900954145596877</x:v>
      </x:c>
      <x:c r="AH424" s="62">
        <x:v>0.0400954145596877</x:v>
      </x:c>
      <x:c r="AI424" s="62">
        <x:v>0.281395978884629</x:v>
      </x:c>
      <x:c r="AJ424" s="62">
        <x:v>0.279680149745088</x:v>
      </x:c>
      <x:c r="AK424" s="62">
        <x:v>0.438923871370282</x:v>
      </x:c>
      <x:c r="AL424" s="62">
        <x:v>0.99</x:v>
      </x:c>
      <x:c r="AM424" s="62">
        <x:v>1.31</x:v>
      </x:c>
      <x:c r="AN424" s="62">
        <x:v>0.000461385178760431</x:v>
      </x:c>
      <x:c r="AO424" s="62">
        <x:v>0.959398200093382</x:v>
      </x:c>
      <x:c r="AP424" s="62">
        <x:v>-0.139398200093382</x:v>
      </x:c>
      <x:c r="AQ424" s="62" t="s">
        <x:v>99</x:v>
      </x:c>
      <x:c r="AR424" s="49">
        <x:v>-0.25</x:v>
      </x:c>
      <x:c r="AS424" s="62">
        <x:v>0.439156286513001</x:v>
      </x:c>
      <x:c r="AT424" s="62">
        <x:v>0.421325750840267</x:v>
      </x:c>
      <x:c r="AU424" s="60">
        <x:v>3.36</x:v>
      </x:c>
      <x:c r="AV424" s="60">
        <x:v>3.35</x:v>
      </x:c>
      <x:c r="AW424" s="60">
        <x:v>2.04</x:v>
      </x:c>
      <x:c r="AX424" s="49" t="s">
        <x:v>1356</x:v>
      </x:c>
      <x:c r="AY424" s="49" t="s">
        <x:v>101</x:v>
      </x:c>
    </x:row>
    <x:row r="425" ht="22" customHeight="1">
      <x:c r="A425" s="49" t="s">
        <x:v>1734</x:v>
      </x:c>
      <x:c r="B425" s="49" t="s">
        <x:v>1773</x:v>
      </x:c>
      <x:c r="C425" s="49" t="s">
        <x:v>333</x:v>
      </x:c>
      <x:c r="D425" s="49" t="s">
        <x:v>116</x:v>
      </x:c>
      <x:c r="E425" s="49" t="s">
        <x:v>156</x:v>
      </x:c>
      <x:c r="F425" s="49" t="s">
        <x:v>1774</x:v>
      </x:c>
      <x:c r="G425" s="60">
        <x:v>1.06</x:v>
      </x:c>
      <x:c r="H425" s="60">
        <x:v>-0.25</x:v>
      </x:c>
      <x:c r="I425" s="60">
        <x:v>0.82</x:v>
      </x:c>
      <x:c r="J425" s="49" t="s">
        <x:v>124</x:v>
      </x:c>
      <x:c r="K425" s="49" t="s">
        <x:v>106</x:v>
      </x:c>
      <x:c r="L425" s="49" t="s">
        <x:v>1775</x:v>
      </x:c>
      <x:c r="M425" s="61">
        <x:v>0.584</x:v>
      </x:c>
      <x:c r="N425" s="49" t="s">
        <x:v>96</x:v>
      </x:c>
      <x:c r="O425" s="49" t="s">
        <x:v>191</x:v>
      </x:c>
      <x:c r="P425" s="49" t="s">
        <x:v>30</x:v>
      </x:c>
      <x:c r="Q425" s="49" t="s">
        <x:v>11</x:v>
      </x:c>
      <x:c r="R425" s="50">
        <x:v>0.82</x:v>
      </x:c>
      <x:c r="S425" s="50">
        <x:f t="shared" si="28"/>
        <x:v>0.82</x:v>
      </x:c>
      <x:c r="T425" s="49" t="s">
        <x:v>1776</x:v>
      </x:c>
      <x:c r="U425" s="49" t="str">
        <x:f t="shared" si="26"/>
        <x:v>黑</x:v>
      </x:c>
      <x:c r="V425" s="50">
        <x:f t="shared" si="27"/>
        <x:v>1.06</x:v>
      </x:c>
      <x:c r="W425" s="50">
        <x:f t="shared" si="29"/>
        <x:v>-1</x:v>
      </x:c>
      <x:c r="X425" s="62">
        <x:v>0.84</x:v>
      </x:c>
      <x:c r="Y425" s="62">
        <x:v>-0.25</x:v>
      </x:c>
      <x:c r="Z425" s="62">
        <x:v>1.04</x:v>
      </x:c>
      <x:c r="AA425" s="62">
        <x:v>-0.25</x:v>
      </x:c>
      <x:c r="AB425" s="62">
        <x:v>1.04</x:v>
      </x:c>
      <x:c r="AC425" s="62">
        <x:v>0.82</x:v>
      </x:c>
      <x:c r="AD425" s="60">
        <x:v>3.02</x:v>
      </x:c>
      <x:c r="AE425" s="60">
        <x:v>3.46</x:v>
      </x:c>
      <x:c r="AF425" s="60">
        <x:v>2.2</x:v>
      </x:c>
      <x:c r="AG425" s="62">
        <x:v>0.0746886234004867</x:v>
      </x:c>
      <x:c r="AH425" s="62">
        <x:v>0.0246886234004867</x:v>
      </x:c>
      <x:c r="AI425" s="62">
        <x:v>0.308113271699885</x:v>
      </x:c>
      <x:c r="AJ425" s="62">
        <x:v>0.268931237148455</x:v>
      </x:c>
      <x:c r="AK425" s="62">
        <x:v>0.42295549115166</x:v>
      </x:c>
      <x:c r="AL425" s="62">
        <x:v>1.12</x:v>
      </x:c>
      <x:c r="AM425" s="62">
        <x:v>1.36</x:v>
      </x:c>
      <x:c r="AN425" s="62">
        <x:v>0.000139219551813052</x:v>
      </x:c>
      <x:c r="AO425" s="62">
        <x:v>1.04721726517493</x:v>
      </x:c>
      <x:c r="AP425" s="62">
        <x:v>-0.227217265174931</x:v>
      </x:c>
      <x:c r="AQ425" s="62" t="s">
        <x:v>99</x:v>
      </x:c>
      <x:c r="AR425" s="49">
        <x:v>-0.25</x:v>
      </x:c>
      <x:c r="AS425" s="62">
        <x:v>0.422786552820159</x:v>
      </x:c>
      <x:c r="AT425" s="62">
        <x:v>0.442749377597063</x:v>
      </x:c>
      <x:c r="AU425" s="60">
        <x:v>3.4</x:v>
      </x:c>
      <x:c r="AV425" s="60">
        <x:v>3.51</x:v>
      </x:c>
      <x:c r="AW425" s="60">
        <x:v>2.05</x:v>
      </x:c>
      <x:c r="AX425" s="49" t="s">
        <x:v>1356</x:v>
      </x:c>
      <x:c r="AY425" s="49" t="s">
        <x:v>101</x:v>
      </x:c>
    </x:row>
    <x:row r="426" ht="22" customHeight="1">
      <x:c r="A426" s="49" t="s">
        <x:v>1734</x:v>
      </x:c>
      <x:c r="B426" s="49" t="s">
        <x:v>1777</x:v>
      </x:c>
      <x:c r="C426" s="49" t="s">
        <x:v>89</x:v>
      </x:c>
      <x:c r="D426" s="49" t="s">
        <x:v>116</x:v>
      </x:c>
      <x:c r="E426" s="49" t="s">
        <x:v>789</x:v>
      </x:c>
      <x:c r="F426" s="49" t="s">
        <x:v>1778</x:v>
      </x:c>
      <x:c r="G426" s="60">
        <x:v>0.86</x:v>
      </x:c>
      <x:c r="H426" s="60">
        <x:v>0.25</x:v>
      </x:c>
      <x:c r="I426" s="60">
        <x:v>1.02</x:v>
      </x:c>
      <x:c r="J426" s="49" t="s">
        <x:v>1037</x:v>
      </x:c>
      <x:c r="K426" s="49" t="s">
        <x:v>132</x:v>
      </x:c>
      <x:c r="L426" s="49" t="s">
        <x:v>1779</x:v>
      </x:c>
      <x:c r="M426" s="61">
        <x:v>0.555</x:v>
      </x:c>
      <x:c r="N426" s="49" t="s">
        <x:v>96</x:v>
      </x:c>
      <x:c r="O426" s="49" t="s">
        <x:v>178</x:v>
      </x:c>
      <x:c r="P426" s="49" t="s">
        <x:v>30</x:v>
      </x:c>
      <x:c r="Q426" s="49" t="s">
        <x:v>23</x:v>
      </x:c>
      <x:c r="R426" s="50">
        <x:v>1.02</x:v>
      </x:c>
      <x:c r="S426" s="50">
        <x:f t="shared" si="28"/>
        <x:v>-1</x:v>
      </x:c>
      <x:c r="T426" s="49" t="s">
        <x:v>1780</x:v>
      </x:c>
      <x:c r="U426" s="49" t="str">
        <x:f t="shared" si="26"/>
        <x:v>红</x:v>
      </x:c>
      <x:c r="V426" s="50">
        <x:f t="shared" si="27"/>
        <x:v>0.86</x:v>
      </x:c>
      <x:c r="W426" s="50">
        <x:f t="shared" si="29"/>
        <x:v>0.86</x:v>
      </x:c>
      <x:c r="X426" s="62">
        <x:v>1.07</x:v>
      </x:c>
      <x:c r="Y426" s="62">
        <x:v>0.5</x:v>
      </x:c>
      <x:c r="Z426" s="62">
        <x:v>0.81</x:v>
      </x:c>
      <x:c r="AA426" s="62">
        <x:v>0.5</x:v>
      </x:c>
      <x:c r="AB426" s="62">
        <x:v>0.81</x:v>
      </x:c>
      <x:c r="AC426" s="62">
        <x:v>1.02</x:v>
      </x:c>
      <x:c r="AD426" s="60">
        <x:v>2.08</x:v>
      </x:c>
      <x:c r="AE426" s="60">
        <x:v>3.22</x:v>
      </x:c>
      <x:c r="AF426" s="60">
        <x:v>3.51</x:v>
      </x:c>
      <x:c r="AG426" s="62">
        <x:v>0.0762285218806957</x:v>
      </x:c>
      <x:c r="AH426" s="62">
        <x:v>0.0262285218806957</x:v>
      </x:c>
      <x:c r="AI426" s="62">
        <x:v>0.446716678655842</x:v>
      </x:c>
      <x:c r="AJ426" s="62">
        <x:v>0.28856232658514</x:v>
      </x:c>
      <x:c r="AK426" s="62">
        <x:v>0.264720994759018</x:v>
      </x:c>
      <x:c r="AL426" s="62">
        <x:v>1.26</x:v>
      </x:c>
      <x:c r="AM426" s="62">
        <x:v>0.9</x:v>
      </x:c>
      <x:c r="AN426" s="62">
        <x:v>0.000323715865377037</x:v>
      </x:c>
      <x:c r="AO426" s="62">
        <x:v>1.09143084207915</x:v>
      </x:c>
      <x:c r="AP426" s="62">
        <x:v>-0.0714308420791481</x:v>
      </x:c>
      <x:c r="AQ426" s="62" t="s">
        <x:v>289</x:v>
      </x:c>
      <x:c r="AR426" s="49">
        <x:v>0.25</x:v>
      </x:c>
      <x:c r="AS426" s="62">
        <x:v>0.409241906335926</x:v>
      </x:c>
      <x:c r="AT426" s="62">
        <x:v>0.446659238446295</x:v>
      </x:c>
      <x:c r="AU426" s="60">
        <x:v>2.1</x:v>
      </x:c>
      <x:c r="AV426" s="60">
        <x:v>3.18</x:v>
      </x:c>
      <x:c r="AW426" s="60">
        <x:v>3.58</x:v>
      </x:c>
      <x:c r="AX426" s="49" t="s">
        <x:v>1356</x:v>
      </x:c>
      <x:c r="AY426" s="49" t="s">
        <x:v>101</x:v>
      </x:c>
    </x:row>
    <x:row r="427" ht="22" customHeight="1">
      <x:c r="A427" s="49" t="s">
        <x:v>1734</x:v>
      </x:c>
      <x:c r="B427" s="49" t="s">
        <x:v>1777</x:v>
      </x:c>
      <x:c r="C427" s="49" t="s">
        <x:v>333</x:v>
      </x:c>
      <x:c r="D427" s="49" t="s">
        <x:v>116</x:v>
      </x:c>
      <x:c r="E427" s="49" t="s">
        <x:v>568</x:v>
      </x:c>
      <x:c r="F427" s="49" t="s">
        <x:v>1781</x:v>
      </x:c>
      <x:c r="G427" s="60">
        <x:v>1.05</x:v>
      </x:c>
      <x:c r="H427" s="60">
        <x:v>-0.25</x:v>
      </x:c>
      <x:c r="I427" s="60">
        <x:v>0.83</x:v>
      </x:c>
      <x:c r="J427" s="49" t="s">
        <x:v>1782</x:v>
      </x:c>
      <x:c r="K427" s="49" t="s">
        <x:v>106</x:v>
      </x:c>
      <x:c r="L427" s="49" t="s">
        <x:v>1783</x:v>
      </x:c>
      <x:c r="M427" s="61">
        <x:v>0.584</x:v>
      </x:c>
      <x:c r="N427" s="49" t="s">
        <x:v>96</x:v>
      </x:c>
      <x:c r="O427" s="49" t="s">
        <x:v>558</x:v>
      </x:c>
      <x:c r="P427" s="49" t="s">
        <x:v>30</x:v>
      </x:c>
      <x:c r="Q427" s="49" t="s">
        <x:v>11</x:v>
      </x:c>
      <x:c r="R427" s="50">
        <x:v>0.83</x:v>
      </x:c>
      <x:c r="S427" s="50">
        <x:f t="shared" si="28"/>
        <x:v>0.83</x:v>
      </x:c>
      <x:c r="T427" s="49" t="s">
        <x:v>1784</x:v>
      </x:c>
      <x:c r="U427" s="49" t="str">
        <x:f t="shared" si="26"/>
        <x:v>黑</x:v>
      </x:c>
      <x:c r="V427" s="50">
        <x:f t="shared" si="27"/>
        <x:v>1.05</x:v>
      </x:c>
      <x:c r="W427" s="50">
        <x:f t="shared" si="29"/>
        <x:v>-1</x:v>
      </x:c>
      <x:c r="X427" s="62">
        <x:v>1</x:v>
      </x:c>
      <x:c r="Y427" s="62">
        <x:v>-0.25</x:v>
      </x:c>
      <x:c r="Z427" s="62">
        <x:v>0.88</x:v>
      </x:c>
      <x:c r="AA427" s="62">
        <x:v>-0.25</x:v>
      </x:c>
      <x:c r="AB427" s="62">
        <x:v>0.88</x:v>
      </x:c>
      <x:c r="AC427" s="62">
        <x:v>0.83</x:v>
      </x:c>
      <x:c r="AD427" s="60">
        <x:v>3.01</x:v>
      </x:c>
      <x:c r="AE427" s="60">
        <x:v>3.6</x:v>
      </x:c>
      <x:c r="AF427" s="60">
        <x:v>2.12</x:v>
      </x:c>
      <x:c r="AG427" s="62">
        <x:v>0.0817018046065874</x:v>
      </x:c>
      <x:c r="AH427" s="62">
        <x:v>0.0317018046065874</x:v>
      </x:c>
      <x:c r="AI427" s="62">
        <x:v>0.307132623987895</x:v>
      </x:c>
      <x:c r="AJ427" s="62">
        <x:v>0.25679699950099</x:v>
      </x:c>
      <x:c r="AK427" s="62">
        <x:v>0.436070376511115</x:v>
      </x:c>
      <x:c r="AL427" s="62">
        <x:v>1.2</x:v>
      </x:c>
      <x:c r="AM427" s="62">
        <x:v>1.48</x:v>
      </x:c>
      <x:c r="AN427" s="62">
        <x:v>0.000327581151220137</x:v>
      </x:c>
      <x:c r="AO427" s="62">
        <x:v>0.997992065416966</x:v>
      </x:c>
      <x:c r="AP427" s="62">
        <x:v>-0.167992065416966</x:v>
      </x:c>
      <x:c r="AQ427" s="62" t="s">
        <x:v>99</x:v>
      </x:c>
      <x:c r="AR427" s="49">
        <x:v>-0.25</x:v>
      </x:c>
      <x:c r="AS427" s="62">
        <x:v>0.436353610861489</x:v>
      </x:c>
      <x:c r="AT427" s="62">
        <x:v>0.435477441355809</x:v>
      </x:c>
      <x:c r="AU427" s="60">
        <x:v>3.18</x:v>
      </x:c>
      <x:c r="AV427" s="60">
        <x:v>3.68</x:v>
      </x:c>
      <x:c r="AW427" s="60">
        <x:v>2.06</x:v>
      </x:c>
      <x:c r="AX427" s="49" t="s">
        <x:v>1356</x:v>
      </x:c>
      <x:c r="AY427" s="49" t="s">
        <x:v>101</x:v>
      </x:c>
    </x:row>
    <x:row r="428" ht="22" customHeight="1">
      <x:c r="A428" s="49" t="s">
        <x:v>1734</x:v>
      </x:c>
      <x:c r="B428" s="49" t="s">
        <x:v>1777</x:v>
      </x:c>
      <x:c r="C428" s="49" t="s">
        <x:v>333</x:v>
      </x:c>
      <x:c r="D428" s="49" t="s">
        <x:v>116</x:v>
      </x:c>
      <x:c r="E428" s="49" t="s">
        <x:v>568</x:v>
      </x:c>
      <x:c r="F428" s="49" t="s">
        <x:v>1785</x:v>
      </x:c>
      <x:c r="G428" s="60">
        <x:v>0.94</x:v>
      </x:c>
      <x:c r="H428" s="60">
        <x:v>0.25</x:v>
      </x:c>
      <x:c r="I428" s="60">
        <x:v>0.94</x:v>
      </x:c>
      <x:c r="J428" s="49" t="s">
        <x:v>1786</x:v>
      </x:c>
      <x:c r="K428" s="49" t="s">
        <x:v>132</x:v>
      </x:c>
      <x:c r="L428" s="49" t="s">
        <x:v>1787</x:v>
      </x:c>
      <x:c r="M428" s="61">
        <x:v>0.559</x:v>
      </x:c>
      <x:c r="N428" s="49" t="s">
        <x:v>96</x:v>
      </x:c>
      <x:c r="O428" s="49" t="s">
        <x:v>201</x:v>
      </x:c>
      <x:c r="P428" s="49" t="s">
        <x:v>30</x:v>
      </x:c>
      <x:c r="Q428" s="49" t="s">
        <x:v>11</x:v>
      </x:c>
      <x:c r="R428" s="50">
        <x:v>0.94</x:v>
      </x:c>
      <x:c r="S428" s="50">
        <x:f t="shared" si="28"/>
        <x:v>0.94</x:v>
      </x:c>
      <x:c r="T428" s="49" t="s">
        <x:v>1788</x:v>
      </x:c>
      <x:c r="U428" s="49" t="str">
        <x:f t="shared" si="26"/>
        <x:v>黑</x:v>
      </x:c>
      <x:c r="V428" s="50">
        <x:f t="shared" si="27"/>
        <x:v>0.94</x:v>
      </x:c>
      <x:c r="W428" s="50">
        <x:f t="shared" si="29"/>
        <x:v>-1</x:v>
      </x:c>
      <x:c r="X428" s="62">
        <x:v>0.99</x:v>
      </x:c>
      <x:c r="Y428" s="62">
        <x:v>0.5</x:v>
      </x:c>
      <x:c r="Z428" s="62">
        <x:v>0.89</x:v>
      </x:c>
      <x:c r="AA428" s="62">
        <x:v>-0.5</x:v>
      </x:c>
      <x:c r="AB428" s="62">
        <x:v>0.99</x:v>
      </x:c>
      <x:c r="AC428" s="62">
        <x:v>0.94</x:v>
      </x:c>
      <x:c r="AD428" s="60">
        <x:v>2.01</x:v>
      </x:c>
      <x:c r="AE428" s="60">
        <x:v>3.75</x:v>
      </x:c>
      <x:c r="AF428" s="60">
        <x:v>3.17</x:v>
      </x:c>
      <x:c r="AG428" s="62">
        <x:v>0.0796365177268235</x:v>
      </x:c>
      <x:c r="AH428" s="62">
        <x:v>0.0296365177268234</x:v>
      </x:c>
      <x:c r="AI428" s="62">
        <x:v>0.460814755375688</x:v>
      </x:c>
      <x:c r="AJ428" s="62">
        <x:v>0.246996708881368</x:v>
      </x:c>
      <x:c r="AK428" s="62">
        <x:v>0.292188535742944</x:v>
      </x:c>
      <x:c r="AL428" s="62">
        <x:v>1.59</x:v>
      </x:c>
      <x:c r="AM428" s="62">
        <x:v>1.22</x:v>
      </x:c>
      <x:c r="AN428" s="62">
        <x:v>0.000876185224268918</x:v>
      </x:c>
      <x:c r="AO428" s="62">
        <x:v>0.906654022901845</x:v>
      </x:c>
      <x:c r="AP428" s="62">
        <x:v>0.0333459770981551</x:v>
      </x:c>
      <x:c r="AQ428" s="62" t="s">
        <x:v>174</x:v>
      </x:c>
      <x:c r="AR428" s="49">
        <x:v>-0.25</x:v>
      </x:c>
      <x:c r="AS428" s="62">
        <x:v>0.459592086101995</x:v>
      </x:c>
      <x:c r="AT428" s="62">
        <x:v>0.416691013758225</x:v>
      </x:c>
      <x:c r="AU428" s="60">
        <x:v>2.11</x:v>
      </x:c>
      <x:c r="AV428" s="60">
        <x:v>3.73</x:v>
      </x:c>
      <x:c r="AW428" s="60">
        <x:v>3.04</x:v>
      </x:c>
      <x:c r="AX428" s="49" t="s">
        <x:v>1356</x:v>
      </x:c>
      <x:c r="AY428" s="49" t="s">
        <x:v>101</x:v>
      </x:c>
    </x:row>
    <x:row r="429" ht="22" customHeight="1">
      <x:c r="A429" s="49" t="s">
        <x:v>1734</x:v>
      </x:c>
      <x:c r="B429" s="49" t="s">
        <x:v>1789</x:v>
      </x:c>
      <x:c r="C429" s="49" t="s">
        <x:v>89</x:v>
      </x:c>
      <x:c r="D429" s="49" t="s">
        <x:v>116</x:v>
      </x:c>
      <x:c r="E429" s="49" t="s">
        <x:v>923</x:v>
      </x:c>
      <x:c r="F429" s="49" t="s">
        <x:v>1790</x:v>
      </x:c>
      <x:c r="G429" s="60">
        <x:v>0.92</x:v>
      </x:c>
      <x:c r="H429" s="60">
        <x:v>-0.5</x:v>
      </x:c>
      <x:c r="I429" s="60">
        <x:v>0.96</x:v>
      </x:c>
      <x:c r="J429" s="49" t="s">
        <x:v>1791</x:v>
      </x:c>
      <x:c r="K429" s="49" t="s">
        <x:v>132</x:v>
      </x:c>
      <x:c r="L429" s="49" t="s">
        <x:v>1792</x:v>
      </x:c>
      <x:c r="M429" s="61">
        <x:v>0.555</x:v>
      </x:c>
      <x:c r="N429" s="49" t="s">
        <x:v>96</x:v>
      </x:c>
      <x:c r="O429" s="49" t="s">
        <x:v>126</x:v>
      </x:c>
      <x:c r="P429" s="49" t="s">
        <x:v>30</x:v>
      </x:c>
      <x:c r="Q429" s="49" t="s">
        <x:v>11</x:v>
      </x:c>
      <x:c r="R429" s="50">
        <x:v>0.92</x:v>
      </x:c>
      <x:c r="S429" s="50">
        <x:f t="shared" si="28"/>
        <x:v>0.92</x:v>
      </x:c>
      <x:c r="T429" s="49" t="s">
        <x:v>1793</x:v>
      </x:c>
      <x:c r="U429" s="49" t="str">
        <x:f t="shared" si="26"/>
        <x:v>黑</x:v>
      </x:c>
      <x:c r="V429" s="50">
        <x:f t="shared" si="27"/>
        <x:v>0.96</x:v>
      </x:c>
      <x:c r="W429" s="50">
        <x:f t="shared" si="29"/>
        <x:v>-1</x:v>
      </x:c>
      <x:c r="X429" s="62">
        <x:v>0.86</x:v>
      </x:c>
      <x:c r="Y429" s="62">
        <x:v>-0.75</x:v>
      </x:c>
      <x:c r="Z429" s="62">
        <x:v>1.02</x:v>
      </x:c>
      <x:c r="AA429" s="62">
        <x:v>0.75</x:v>
      </x:c>
      <x:c r="AB429" s="62">
        <x:v>0.86</x:v>
      </x:c>
      <x:c r="AC429" s="62">
        <x:v>0.92</x:v>
      </x:c>
      <x:c r="AD429" s="60">
        <x:v>3.8</x:v>
      </x:c>
      <x:c r="AE429" s="60">
        <x:v>3.93</x:v>
      </x:c>
      <x:c r="AF429" s="60">
        <x:v>1.77</x:v>
      </x:c>
      <x:c r="AG429" s="62">
        <x:v>0.0825825723579228</x:v>
      </x:c>
      <x:c r="AH429" s="62">
        <x:v>0.0325825723579228</x:v>
      </x:c>
      <x:c r="AI429" s="62">
        <x:v>0.243083439043056</x:v>
      </x:c>
      <x:c r="AJ429" s="62">
        <x:v>0.235042511033998</x:v>
      </x:c>
      <x:c r="AK429" s="62">
        <x:v>0.521874049922946</x:v>
      </x:c>
      <x:c r="AL429" s="62">
        <x:v>1.12</x:v>
      </x:c>
      <x:c r="AM429" s="62">
        <x:v>1.75</x:v>
      </x:c>
      <x:c r="AN429" s="62">
        <x:v>0.000538405694597123</x:v>
      </x:c>
      <x:c r="AO429" s="62">
        <x:v>1.08867595317175</x:v>
      </x:c>
      <x:c r="AP429" s="62">
        <x:v>-0.168675953171755</x:v>
      </x:c>
      <x:c r="AQ429" s="62" t="s">
        <x:v>289</x:v>
      </x:c>
      <x:c r="AR429" s="49">
        <x:v>0.5</x:v>
      </x:c>
      <x:c r="AS429" s="62">
        <x:v>0.478772209007076</x:v>
      </x:c>
      <x:c r="AT429" s="62">
        <x:v>0.521227790992924</x:v>
      </x:c>
      <x:c r="AU429" s="60">
        <x:v>3.46</x:v>
      </x:c>
      <x:c r="AV429" s="60">
        <x:v>3.91</x:v>
      </x:c>
      <x:c r="AW429" s="60">
        <x:v>1.89</x:v>
      </x:c>
      <x:c r="AX429" s="49" t="s">
        <x:v>1356</x:v>
      </x:c>
      <x:c r="AY429" s="49" t="s">
        <x:v>101</x:v>
      </x:c>
    </x:row>
    <x:row r="430" ht="22" customHeight="1">
      <x:c r="A430" s="49" t="s">
        <x:v>1734</x:v>
      </x:c>
      <x:c r="B430" s="49" t="s">
        <x:v>1789</x:v>
      </x:c>
      <x:c r="C430" s="49" t="s">
        <x:v>89</x:v>
      </x:c>
      <x:c r="D430" s="49" t="s">
        <x:v>116</x:v>
      </x:c>
      <x:c r="E430" s="49" t="s">
        <x:v>812</x:v>
      </x:c>
      <x:c r="F430" s="49" t="s">
        <x:v>1794</x:v>
      </x:c>
      <x:c r="G430" s="60">
        <x:v>0.8</x:v>
      </x:c>
      <x:c r="H430" s="60">
        <x:v>0</x:v>
      </x:c>
      <x:c r="I430" s="60">
        <x:v>0.96</x:v>
      </x:c>
      <x:c r="J430" s="49" t="s">
        <x:v>1795</x:v>
      </x:c>
      <x:c r="K430" s="49" t="s">
        <x:v>106</x:v>
      </x:c>
      <x:c r="L430" s="49" t="s">
        <x:v>1796</x:v>
      </x:c>
      <x:c r="M430" s="61">
        <x:v>0.576</x:v>
      </x:c>
      <x:c r="N430" s="49" t="s">
        <x:v>96</x:v>
      </x:c>
      <x:c r="O430" s="49" t="s">
        <x:v>273</x:v>
      </x:c>
      <x:c r="P430" s="49" t="s">
        <x:v>30</x:v>
      </x:c>
      <x:c r="Q430" s="49" t="s">
        <x:v>17</x:v>
      </x:c>
      <x:c r="R430" s="50">
        <x:v>0.8</x:v>
      </x:c>
      <x:c r="S430" s="50">
        <x:f t="shared" si="28"/>
        <x:v>0</x:v>
      </x:c>
      <x:c r="T430" s="49" t="s">
        <x:v>1797</x:v>
      </x:c>
      <x:c r="U430" s="49" t="str">
        <x:f t="shared" si="26"/>
        <x:v>走</x:v>
      </x:c>
      <x:c r="V430" s="50">
        <x:f t="shared" si="27"/>
        <x:v>0.96</x:v>
      </x:c>
      <x:c r="W430" s="50">
        <x:f t="shared" si="29"/>
        <x:v>0</x:v>
      </x:c>
      <x:c r="X430" s="62">
        <x:v>0.77</x:v>
      </x:c>
      <x:c r="Y430" s="62">
        <x:v>0</x:v>
      </x:c>
      <x:c r="Z430" s="62">
        <x:v>0.93</x:v>
      </x:c>
      <x:c r="AA430" s="62">
        <x:v>0</x:v>
      </x:c>
      <x:c r="AB430" s="62">
        <x:v>0.77</x:v>
      </x:c>
      <x:c r="AC430" s="62">
        <x:v>0.8</x:v>
      </x:c>
      <x:c r="AD430" s="60">
        <x:v>2.39</x:v>
      </x:c>
      <x:c r="AE430" s="60">
        <x:v>3.11</x:v>
      </x:c>
      <x:c r="AF430" s="60">
        <x:v>2.85</x:v>
      </x:c>
      <x:c r="AG430" s="62">
        <x:v>0.090830643183589</x:v>
      </x:c>
      <x:c r="AH430" s="62">
        <x:v>0.040830643183589</x:v>
      </x:c>
      <x:c r="AI430" s="62">
        <x:v>0.383570121040856</x:v>
      </x:c>
      <x:c r="AJ430" s="62">
        <x:v>0.294769321314356</x:v>
      </x:c>
      <x:c r="AK430" s="62">
        <x:v>0.321660557644788</x:v>
      </x:c>
      <x:c r="AL430" s="62">
        <x:v>1.13</x:v>
      </x:c>
      <x:c r="AM430" s="62">
        <x:v>1.01</x:v>
      </x:c>
      <x:c r="AN430" s="62">
        <x:v>0.000601367171416676</x:v>
      </x:c>
      <x:c r="AO430" s="62">
        <x:v>0.840459589250722</x:v>
      </x:c>
      <x:c r="AP430" s="62">
        <x:v>-0.0404595892507223</x:v>
      </x:c>
      <x:c r="AQ430" s="62" t="s">
        <x:v>174</x:v>
      </x:c>
      <x:c r="AR430" s="49">
        <x:v>0</x:v>
      </x:c>
      <x:c r="AS430" s="62">
        <x:v>0.382801635976384</x:v>
      </x:c>
      <x:c r="AT430" s="62">
        <x:v>0.321729305737216</x:v>
      </x:c>
      <x:c r="AU430" s="60">
        <x:v>2.45</x:v>
      </x:c>
      <x:c r="AV430" s="60">
        <x:v>3.14</x:v>
      </x:c>
      <x:c r="AW430" s="60">
        <x:v>2.76</x:v>
      </x:c>
      <x:c r="AX430" s="49" t="s">
        <x:v>1356</x:v>
      </x:c>
      <x:c r="AY430" s="49" t="s">
        <x:v>101</x:v>
      </x:c>
    </x:row>
    <x:row r="431" ht="22" customHeight="1">
      <x:c r="A431" s="49" t="s">
        <x:v>1734</x:v>
      </x:c>
      <x:c r="B431" s="49" t="s">
        <x:v>1789</x:v>
      </x:c>
      <x:c r="C431" s="49" t="s">
        <x:v>89</x:v>
      </x:c>
      <x:c r="D431" s="49" t="s">
        <x:v>116</x:v>
      </x:c>
      <x:c r="E431" s="49" t="s">
        <x:v>510</x:v>
      </x:c>
      <x:c r="F431" s="49" t="s">
        <x:v>1798</x:v>
      </x:c>
      <x:c r="G431" s="60">
        <x:v>0.84</x:v>
      </x:c>
      <x:c r="H431" s="60">
        <x:v>0.5</x:v>
      </x:c>
      <x:c r="I431" s="60">
        <x:v>1.04</x:v>
      </x:c>
      <x:c r="J431" s="49" t="s">
        <x:v>920</x:v>
      </x:c>
      <x:c r="K431" s="49" t="s">
        <x:v>106</x:v>
      </x:c>
      <x:c r="L431" s="49" t="s">
        <x:v>1799</x:v>
      </x:c>
      <x:c r="M431" s="61">
        <x:v>0.576</x:v>
      </x:c>
      <x:c r="N431" s="49" t="s">
        <x:v>96</x:v>
      </x:c>
      <x:c r="O431" s="49" t="s">
        <x:v>201</x:v>
      </x:c>
      <x:c r="P431" s="49" t="s">
        <x:v>30</x:v>
      </x:c>
      <x:c r="Q431" s="49" t="s">
        <x:v>11</x:v>
      </x:c>
      <x:c r="R431" s="50">
        <x:v>0.84</x:v>
      </x:c>
      <x:c r="S431" s="50">
        <x:f t="shared" si="28"/>
        <x:v>0.84</x:v>
      </x:c>
      <x:c r="T431" s="49" t="s">
        <x:v>1800</x:v>
      </x:c>
      <x:c r="U431" s="49" t="str">
        <x:f t="shared" ref="U431:U494" si="30">IF(Q431="","",IF(Q431="待结算","待结算",IF(Q431="红","黑",IF(Q431="半红","半黑",IF(Q431="走","走",IF(Q431="半黑","半红","红"))))))</x:f>
        <x:v>黑</x:v>
      </x:c>
      <x:c r="V431" s="50" t="n">
        <x:f t="shared" ref="V431:V494" si="31">IF(OR(Q431="",Q431="待结算"),"",IF(L431=LEFT(F431,FIND(" vs ",F431)-1),I431,G431))</x:f>
        <x:v>1.04</x:v>
      </x:c>
      <x:c r="W431" s="50">
        <x:f t="shared" si="29"/>
        <x:v>-1</x:v>
      </x:c>
      <x:c r="X431" s="62">
        <x:v>0.84</x:v>
      </x:c>
      <x:c r="Y431" s="62">
        <x:v>0.5</x:v>
      </x:c>
      <x:c r="Z431" s="62">
        <x:v>1.04</x:v>
      </x:c>
      <x:c r="AA431" s="62">
        <x:v>-0.5</x:v>
      </x:c>
      <x:c r="AB431" s="62">
        <x:v>0.84</x:v>
      </x:c>
      <x:c r="AC431" s="62">
        <x:v>0.84</x:v>
      </x:c>
      <x:c r="AD431" s="60">
        <x:v>1.83</x:v>
      </x:c>
      <x:c r="AE431" s="60">
        <x:v>3.53</x:v>
      </x:c>
      <x:c r="AF431" s="60">
        <x:v>3.94</x:v>
      </x:c>
      <x:c r="AG431" s="62">
        <x:v>0.0835413130108487</x:v>
      </x:c>
      <x:c r="AH431" s="62">
        <x:v>0.0335413130108487</x:v>
      </x:c>
      <x:c r="AI431" s="62">
        <x:v>0.504316799802743</x:v>
      </x:c>
      <x:c r="AJ431" s="62">
        <x:v>0.261444686583292</x:v>
      </x:c>
      <x:c r="AK431" s="62">
        <x:v>0.234238513613965</x:v>
      </x:c>
      <x:c r="AL431" s="62">
        <x:v>1.5</x:v>
      </x:c>
      <x:c r="AM431" s="62">
        <x:v>0.93</x:v>
      </x:c>
      <x:c r="AN431" s="62">
        <x:v>0.000558342675225029</x:v>
      </x:c>
      <x:c r="AO431" s="62">
        <x:v>0.979834619163406</x:v>
      </x:c>
      <x:c r="AP431" s="62">
        <x:v>-0.139834619163406</x:v>
      </x:c>
      <x:c r="AQ431" s="62" t="s">
        <x:v>99</x:v>
      </x:c>
      <x:c r="AR431" s="49">
        <x:v>-0.5</x:v>
      </x:c>
      <x:c r="AS431" s="62">
        <x:v>0.505092693258671</x:v>
      </x:c>
      <x:c r="AT431" s="62">
        <x:v>0.494907306741329</x:v>
      </x:c>
      <x:c r="AU431" s="60">
        <x:v>1.81</x:v>
      </x:c>
      <x:c r="AV431" s="60">
        <x:v>3.58</x:v>
      </x:c>
      <x:c r="AW431" s="60">
        <x:v>4.1</x:v>
      </x:c>
      <x:c r="AX431" s="49" t="s">
        <x:v>1356</x:v>
      </x:c>
      <x:c r="AY431" s="49" t="s">
        <x:v>101</x:v>
      </x:c>
    </x:row>
    <x:row r="432" ht="22" customHeight="1">
      <x:c r="A432" s="49" t="s">
        <x:v>1734</x:v>
      </x:c>
      <x:c r="B432" s="49" t="s">
        <x:v>1801</x:v>
      </x:c>
      <x:c r="C432" s="49" t="s">
        <x:v>244</x:v>
      </x:c>
      <x:c r="D432" s="49" t="s">
        <x:v>116</x:v>
      </x:c>
      <x:c r="E432" s="49" t="s">
        <x:v>773</x:v>
      </x:c>
      <x:c r="F432" s="49" t="s">
        <x:v>1802</x:v>
      </x:c>
      <x:c r="G432" s="60">
        <x:v>0.8</x:v>
      </x:c>
      <x:c r="H432" s="60">
        <x:v>0</x:v>
      </x:c>
      <x:c r="I432" s="60">
        <x:v>0.9</x:v>
      </x:c>
      <x:c r="J432" s="49" t="s">
        <x:v>1803</x:v>
      </x:c>
      <x:c r="K432" s="49" t="s">
        <x:v>106</x:v>
      </x:c>
      <x:c r="L432" s="49" t="s">
        <x:v>1804</x:v>
      </x:c>
      <x:c r="M432" s="61">
        <x:v>0.592</x:v>
      </x:c>
      <x:c r="N432" s="49" t="s">
        <x:v>96</x:v>
      </x:c>
      <x:c r="O432" s="49" t="s">
        <x:v>126</x:v>
      </x:c>
      <x:c r="P432" s="49" t="s">
        <x:v>30</x:v>
      </x:c>
      <x:c r="Q432" s="49" t="s">
        <x:v>17</x:v>
      </x:c>
      <x:c r="R432" s="50">
        <x:v>0.8</x:v>
      </x:c>
      <x:c r="S432" s="50">
        <x:f t="shared" si="28"/>
        <x:v>0</x:v>
      </x:c>
      <x:c r="T432" s="49" t="s">
        <x:v>1805</x:v>
      </x:c>
      <x:c r="U432" s="49" t="str">
        <x:f t="shared" si="30"/>
        <x:v>走</x:v>
      </x:c>
      <x:c r="V432" s="50">
        <x:f t="shared" si="31"/>
        <x:v>0.9</x:v>
      </x:c>
      <x:c r="W432" s="50">
        <x:f t="shared" si="29"/>
        <x:v>0</x:v>
      </x:c>
      <x:c r="X432" s="62">
        <x:v>0.8</x:v>
      </x:c>
      <x:c r="Y432" s="62">
        <x:v>0</x:v>
      </x:c>
      <x:c r="Z432" s="62">
        <x:v>0.9</x:v>
      </x:c>
      <x:c r="AA432" s="62">
        <x:v>0</x:v>
      </x:c>
      <x:c r="AB432" s="62">
        <x:v>0.8</x:v>
      </x:c>
      <x:c r="AC432" s="62">
        <x:v>0.8</x:v>
      </x:c>
      <x:c r="AD432" s="60">
        <x:v>2.56</x:v>
      </x:c>
      <x:c r="AE432" s="60">
        <x:v>2.84</x:v>
      </x:c>
      <x:c r="AF432" s="60">
        <x:v>2.77</x:v>
      </x:c>
      <x:c r="AG432" s="62">
        <x:v>0.103748506381248</x:v>
      </x:c>
      <x:c r="AH432" s="62">
        <x:v>0.0537485063812478</x:v>
      </x:c>
      <x:c r="AI432" s="62">
        <x:v>0.353907613683396</x:v>
      </x:c>
      <x:c r="AJ432" s="62">
        <x:v>0.31901531374278</x:v>
      </x:c>
      <x:c r="AK432" s="62">
        <x:v>0.327077072573825</x:v>
      </x:c>
      <x:c r="AL432" s="62">
        <x:v>0.97</x:v>
      </x:c>
      <x:c r="AM432" s="62">
        <x:v>0.92</x:v>
      </x:c>
      <x:c r="AN432" s="62">
        <x:v>7.5754768162532e-5</x:v>
      </x:c>
      <x:c r="AO432" s="62">
        <x:v>0.924268882708393</x:v>
      </x:c>
      <x:c r="AP432" s="62">
        <x:v>-0.124268882708392</x:v>
      </x:c>
      <x:c r="AQ432" s="62" t="s">
        <x:v>150</x:v>
      </x:c>
      <x:c r="AR432" s="49">
        <x:v>0</x:v>
      </x:c>
      <x:c r="AS432" s="62">
        <x:v>0.353837954982822</x:v>
      </x:c>
      <x:c r="AT432" s="62">
        <x:v>0.327041411311795</x:v>
      </x:c>
      <x:c r="AU432" s="60">
        <x:v>2.58</x:v>
      </x:c>
      <x:c r="AV432" s="60">
        <x:v>2.82</x:v>
      </x:c>
      <x:c r="AW432" s="60">
        <x:v>2.77</x:v>
      </x:c>
      <x:c r="AX432" s="49" t="s">
        <x:v>1356</x:v>
      </x:c>
      <x:c r="AY432" s="49" t="s">
        <x:v>101</x:v>
      </x:c>
    </x:row>
    <x:row r="433" ht="22" customHeight="1">
      <x:c r="A433" s="49" t="s">
        <x:v>1734</x:v>
      </x:c>
      <x:c r="B433" s="49" t="s">
        <x:v>1801</x:v>
      </x:c>
      <x:c r="C433" s="49" t="s">
        <x:v>333</x:v>
      </x:c>
      <x:c r="D433" s="49" t="s">
        <x:v>116</x:v>
      </x:c>
      <x:c r="E433" s="49" t="s">
        <x:v>927</x:v>
      </x:c>
      <x:c r="F433" s="49" t="s">
        <x:v>1806</x:v>
      </x:c>
      <x:c r="G433" s="60">
        <x:v>0.84</x:v>
      </x:c>
      <x:c r="H433" s="60">
        <x:v>0</x:v>
      </x:c>
      <x:c r="I433" s="60">
        <x:v>0.86</x:v>
      </x:c>
      <x:c r="J433" s="49" t="s">
        <x:v>1423</x:v>
      </x:c>
      <x:c r="K433" s="49" t="s">
        <x:v>106</x:v>
      </x:c>
      <x:c r="L433" s="49" t="s">
        <x:v>1807</x:v>
      </x:c>
      <x:c r="M433" s="61">
        <x:v>0.584</x:v>
      </x:c>
      <x:c r="N433" s="49" t="s">
        <x:v>96</x:v>
      </x:c>
      <x:c r="O433" s="49" t="s">
        <x:v>149</x:v>
      </x:c>
      <x:c r="P433" s="49" t="s">
        <x:v>30</x:v>
      </x:c>
      <x:c r="Q433" s="49" t="s">
        <x:v>17</x:v>
      </x:c>
      <x:c r="R433" s="50">
        <x:v>0.84</x:v>
      </x:c>
      <x:c r="S433" s="50">
        <x:f t="shared" si="28"/>
        <x:v>0</x:v>
      </x:c>
      <x:c r="T433" s="49" t="s">
        <x:v>1808</x:v>
      </x:c>
      <x:c r="U433" s="49" t="str">
        <x:f t="shared" si="30"/>
        <x:v>走</x:v>
      </x:c>
      <x:c r="V433" s="50">
        <x:f t="shared" si="31"/>
        <x:v>0.86</x:v>
      </x:c>
      <x:c r="W433" s="50">
        <x:f t="shared" si="29"/>
        <x:v>0</x:v>
      </x:c>
      <x:c r="X433" s="62">
        <x:v>0.84</x:v>
      </x:c>
      <x:c r="Y433" s="62">
        <x:v>0</x:v>
      </x:c>
      <x:c r="Z433" s="62">
        <x:v>0.86</x:v>
      </x:c>
      <x:c r="AA433" s="62">
        <x:v>0</x:v>
      </x:c>
      <x:c r="AB433" s="62">
        <x:v>0.84</x:v>
      </x:c>
      <x:c r="AC433" s="62">
        <x:v>0.84</x:v>
      </x:c>
      <x:c r="AD433" s="60">
        <x:v>2.54</x:v>
      </x:c>
      <x:c r="AE433" s="60">
        <x:v>2.89</x:v>
      </x:c>
      <x:c r="AF433" s="60">
        <x:v>2.74</x:v>
      </x:c>
      <x:c r="AG433" s="62">
        <x:v>0.104685052296885</x:v>
      </x:c>
      <x:c r="AH433" s="62">
        <x:v>0.0546850522968845</x:v>
      </x:c>
      <x:c r="AI433" s="62">
        <x:v>0.35639188435019</x:v>
      </x:c>
      <x:c r="AJ433" s="62">
        <x:v>0.313230237456568</x:v>
      </x:c>
      <x:c r="AK433" s="62">
        <x:v>0.330377878193242</x:v>
      </x:c>
      <x:c r="AL433" s="62">
        <x:v>1</x:v>
      </x:c>
      <x:c r="AM433" s="62">
        <x:v>0.95</x:v>
      </x:c>
      <x:c r="AN433" s="62">
        <x:v>0.000194207523114</x:v>
      </x:c>
      <x:c r="AO433" s="62">
        <x:v>0.925816401409962</x:v>
      </x:c>
      <x:c r="AP433" s="62">
        <x:v>-0.0858164014099617</x:v>
      </x:c>
      <x:c r="AQ433" s="62" t="s">
        <x:v>150</x:v>
      </x:c>
      <x:c r="AR433" s="49">
        <x:v>0</x:v>
      </x:c>
      <x:c r="AS433" s="62">
        <x:v>0.356663044503718</x:v>
      </x:c>
      <x:c r="AT433" s="62">
        <x:v>0.330204496378353</x:v>
      </x:c>
      <x:c r="AU433" s="60">
        <x:v>2.58</x:v>
      </x:c>
      <x:c r="AV433" s="60">
        <x:v>2.88</x:v>
      </x:c>
      <x:c r="AW433" s="60">
        <x:v>2.67</x:v>
      </x:c>
      <x:c r="AX433" s="49" t="s">
        <x:v>1356</x:v>
      </x:c>
      <x:c r="AY433" s="49" t="s">
        <x:v>101</x:v>
      </x:c>
    </x:row>
    <x:row r="434" ht="22" customHeight="1">
      <x:c r="A434" s="49" t="s">
        <x:v>1734</x:v>
      </x:c>
      <x:c r="B434" s="49" t="s">
        <x:v>1801</x:v>
      </x:c>
      <x:c r="C434" s="49" t="s">
        <x:v>333</x:v>
      </x:c>
      <x:c r="D434" s="49" t="s">
        <x:v>116</x:v>
      </x:c>
      <x:c r="E434" s="49" t="s">
        <x:v>602</x:v>
      </x:c>
      <x:c r="F434" s="49" t="s">
        <x:v>1809</x:v>
      </x:c>
      <x:c r="G434" s="60">
        <x:v>0.86</x:v>
      </x:c>
      <x:c r="H434" s="60">
        <x:v>0</x:v>
      </x:c>
      <x:c r="I434" s="60">
        <x:v>1.02</x:v>
      </x:c>
      <x:c r="J434" s="49" t="s">
        <x:v>896</x:v>
      </x:c>
      <x:c r="K434" s="49" t="s">
        <x:v>132</x:v>
      </x:c>
      <x:c r="L434" s="49" t="s">
        <x:v>1810</x:v>
      </x:c>
      <x:c r="M434" s="61">
        <x:v>0.559</x:v>
      </x:c>
      <x:c r="N434" s="49" t="s">
        <x:v>96</x:v>
      </x:c>
      <x:c r="O434" s="49" t="s">
        <x:v>178</x:v>
      </x:c>
      <x:c r="P434" s="49" t="s">
        <x:v>30</x:v>
      </x:c>
      <x:c r="Q434" s="49" t="s">
        <x:v>11</x:v>
      </x:c>
      <x:c r="R434" s="50">
        <x:v>0.86</x:v>
      </x:c>
      <x:c r="S434" s="50">
        <x:f t="shared" si="28"/>
        <x:v>0.86</x:v>
      </x:c>
      <x:c r="T434" s="49" t="s">
        <x:v>1811</x:v>
      </x:c>
      <x:c r="U434" s="49" t="str">
        <x:f t="shared" si="30"/>
        <x:v>黑</x:v>
      </x:c>
      <x:c r="V434" s="50">
        <x:f t="shared" si="31"/>
        <x:v>1.02</x:v>
      </x:c>
      <x:c r="W434" s="50">
        <x:f t="shared" si="29"/>
        <x:v>-1</x:v>
      </x:c>
      <x:c r="X434" s="62">
        <x:v>0.97</x:v>
      </x:c>
      <x:c r="Y434" s="62">
        <x:v>0.25</x:v>
      </x:c>
      <x:c r="Z434" s="62">
        <x:v>0.91</x:v>
      </x:c>
      <x:c r="AA434" s="62">
        <x:v>-0.25</x:v>
      </x:c>
      <x:c r="AB434" s="62">
        <x:v>0.97</x:v>
      </x:c>
      <x:c r="AC434" s="62">
        <x:v>0.86</x:v>
      </x:c>
      <x:c r="AD434" s="60">
        <x:v>2.23</x:v>
      </x:c>
      <x:c r="AE434" s="60">
        <x:v>3.19</x:v>
      </x:c>
      <x:c r="AF434" s="60">
        <x:v>3.61</x:v>
      </x:c>
      <x:c r="AG434" s="62">
        <x:v>0.0389184273473015</x:v>
      </x:c>
      <x:c r="AH434" s="62">
        <x:v>-0.0110815726526985</x:v>
      </x:c>
      <x:c r="AI434" s="62">
        <x:v>0.4316320525939</x:v>
      </x:c>
      <x:c r="AJ434" s="62">
        <x:v>0.301736513255297</x:v>
      </x:c>
      <x:c r="AK434" s="62">
        <x:v>0.266631434150803</x:v>
      </x:c>
      <x:c r="AL434" s="62">
        <x:v>1.17</x:v>
      </x:c>
      <x:c r="AM434" s="62">
        <x:v>0.85</x:v>
      </x:c>
      <x:c r="AN434" s="62">
        <x:v>0.000566980020943305</x:v>
      </x:c>
      <x:c r="AO434" s="62">
        <x:v>0.615907277834931</x:v>
      </x:c>
      <x:c r="AP434" s="62">
        <x:v>0.244092722165069</x:v>
      </x:c>
      <x:c r="AQ434" s="62" t="s">
        <x:v>135</x:v>
      </x:c>
      <x:c r="AR434" s="49">
        <x:v>0</x:v>
      </x:c>
      <x:c r="AS434" s="62">
        <x:v>0.432425620050019</x:v>
      </x:c>
      <x:c r="AT434" s="62">
        <x:v>0.266334086511089</x:v>
      </x:c>
      <x:c r="AU434" s="60">
        <x:v>2.66</x:v>
      </x:c>
      <x:c r="AV434" s="60">
        <x:v>3.05</x:v>
      </x:c>
      <x:c r="AW434" s="60">
        <x:v>2.83</x:v>
      </x:c>
      <x:c r="AX434" s="49" t="s">
        <x:v>1356</x:v>
      </x:c>
      <x:c r="AY434" s="49" t="s">
        <x:v>101</x:v>
      </x:c>
    </x:row>
    <x:row r="435" ht="22" customHeight="1">
      <x:c r="A435" s="49" t="s">
        <x:v>1734</x:v>
      </x:c>
      <x:c r="B435" s="49" t="s">
        <x:v>1801</x:v>
      </x:c>
      <x:c r="C435" s="49" t="s">
        <x:v>333</x:v>
      </x:c>
      <x:c r="D435" s="49" t="s">
        <x:v>116</x:v>
      </x:c>
      <x:c r="E435" s="49" t="s">
        <x:v>609</x:v>
      </x:c>
      <x:c r="F435" s="49" t="s">
        <x:v>1812</x:v>
      </x:c>
      <x:c r="G435" s="60">
        <x:v>0.95</x:v>
      </x:c>
      <x:c r="H435" s="60">
        <x:v>-0.5</x:v>
      </x:c>
      <x:c r="I435" s="60">
        <x:v>0.93</x:v>
      </x:c>
      <x:c r="J435" s="49" t="s">
        <x:v>1813</x:v>
      </x:c>
      <x:c r="K435" s="49" t="s">
        <x:v>132</x:v>
      </x:c>
      <x:c r="L435" s="49" t="s">
        <x:v>1814</x:v>
      </x:c>
      <x:c r="M435" s="61">
        <x:v>0.559</x:v>
      </x:c>
      <x:c r="N435" s="49" t="s">
        <x:v>96</x:v>
      </x:c>
      <x:c r="O435" s="49" t="s">
        <x:v>367</x:v>
      </x:c>
      <x:c r="P435" s="49" t="s">
        <x:v>30</x:v>
      </x:c>
      <x:c r="Q435" s="49" t="s">
        <x:v>11</x:v>
      </x:c>
      <x:c r="R435" s="50">
        <x:v>0.93</x:v>
      </x:c>
      <x:c r="S435" s="50">
        <x:f t="shared" si="28"/>
        <x:v>0.93</x:v>
      </x:c>
      <x:c r="T435" s="49" t="s">
        <x:v>1815</x:v>
      </x:c>
      <x:c r="U435" s="49" t="str">
        <x:f t="shared" si="30"/>
        <x:v>黑</x:v>
      </x:c>
      <x:c r="V435" s="50">
        <x:f t="shared" si="31"/>
        <x:v>0.95</x:v>
      </x:c>
      <x:c r="W435" s="50">
        <x:f t="shared" si="29"/>
        <x:v>-1</x:v>
      </x:c>
      <x:c r="X435" s="62">
        <x:v>0.85</x:v>
      </x:c>
      <x:c r="Y435" s="62">
        <x:v>-0.75</x:v>
      </x:c>
      <x:c r="Z435" s="62">
        <x:v>1.03</x:v>
      </x:c>
      <x:c r="AA435" s="62">
        <x:v>-0.75</x:v>
      </x:c>
      <x:c r="AB435" s="62">
        <x:v>1.03</x:v>
      </x:c>
      <x:c r="AC435" s="62">
        <x:v>0.93</x:v>
      </x:c>
      <x:c r="AD435" s="60">
        <x:v>4.2</x:v>
      </x:c>
      <x:c r="AE435" s="60">
        <x:v>3.74</x:v>
      </x:c>
      <x:c r="AF435" s="60">
        <x:v>1.79</x:v>
      </x:c>
      <x:c r="AG435" s="62">
        <x:v>0.0641341351167179</x:v>
      </x:c>
      <x:c r="AH435" s="62">
        <x:v>0.014134135116718</x:v>
      </x:c>
      <x:c r="AI435" s="62">
        <x:v>0.223745513124737</x:v>
      </x:c>
      <x:c r="AJ435" s="62">
        <x:v>0.251265014739009</x:v>
      </x:c>
      <x:c r="AK435" s="62">
        <x:v>0.524989472136254</x:v>
      </x:c>
      <x:c r="AL435" s="62">
        <x:v>0.94</x:v>
      </x:c>
      <x:c r="AM435" s="62">
        <x:v>1.59</x:v>
      </x:c>
      <x:c r="AN435" s="62">
        <x:v>0.000572979593439618</x:v>
      </x:c>
      <x:c r="AO435" s="62">
        <x:v>0.902371529130365</x:v>
      </x:c>
      <x:c r="AP435" s="62">
        <x:v>0.0276284708696346</x:v>
      </x:c>
      <x:c r="AQ435" s="62" t="s">
        <x:v>174</x:v>
      </x:c>
      <x:c r="AR435" s="49">
        <x:v>-0.5</x:v>
      </x:c>
      <x:c r="AS435" s="62">
        <x:v>0.525659675140918</x:v>
      </x:c>
      <x:c r="AT435" s="62">
        <x:v>0.474340324859082</x:v>
      </x:c>
      <x:c r="AU435" s="60">
        <x:v>3.89</x:v>
      </x:c>
      <x:c r="AV435" s="60">
        <x:v>3.7</x:v>
      </x:c>
      <x:c r="AW435" s="60">
        <x:v>1.9</x:v>
      </x:c>
      <x:c r="AX435" s="49" t="s">
        <x:v>1356</x:v>
      </x:c>
      <x:c r="AY435" s="49" t="s">
        <x:v>101</x:v>
      </x:c>
    </x:row>
    <x:row r="436" ht="22" customHeight="1">
      <x:c r="A436" s="49" t="s">
        <x:v>1734</x:v>
      </x:c>
      <x:c r="B436" s="49" t="s">
        <x:v>1801</x:v>
      </x:c>
      <x:c r="C436" s="49" t="s">
        <x:v>89</x:v>
      </x:c>
      <x:c r="D436" s="49" t="s">
        <x:v>116</x:v>
      </x:c>
      <x:c r="E436" s="49" t="s">
        <x:v>1816</x:v>
      </x:c>
      <x:c r="F436" s="49" t="s">
        <x:v>1817</x:v>
      </x:c>
      <x:c r="G436" s="60">
        <x:v>0.8</x:v>
      </x:c>
      <x:c r="H436" s="60">
        <x:v>0.25</x:v>
      </x:c>
      <x:c r="I436" s="60">
        <x:v>0.96</x:v>
      </x:c>
      <x:c r="J436" s="49" t="s">
        <x:v>1581</x:v>
      </x:c>
      <x:c r="K436" s="49" t="s">
        <x:v>106</x:v>
      </x:c>
      <x:c r="L436" s="49" t="s">
        <x:v>1818</x:v>
      </x:c>
      <x:c r="M436" s="61">
        <x:v>0.576</x:v>
      </x:c>
      <x:c r="N436" s="49" t="s">
        <x:v>96</x:v>
      </x:c>
      <x:c r="O436" s="49" t="s">
        <x:v>201</x:v>
      </x:c>
      <x:c r="P436" s="49" t="s">
        <x:v>30</x:v>
      </x:c>
      <x:c r="Q436" s="49" t="s">
        <x:v>11</x:v>
      </x:c>
      <x:c r="R436" s="50">
        <x:v>0.8</x:v>
      </x:c>
      <x:c r="S436" s="50">
        <x:f t="shared" si="28"/>
        <x:v>0.8</x:v>
      </x:c>
      <x:c r="T436" s="49" t="s">
        <x:v>1819</x:v>
      </x:c>
      <x:c r="U436" s="49" t="str">
        <x:f t="shared" si="30"/>
        <x:v>黑</x:v>
      </x:c>
      <x:c r="V436" s="50">
        <x:f t="shared" si="31"/>
        <x:v>0.96</x:v>
      </x:c>
      <x:c r="W436" s="50">
        <x:f t="shared" si="29"/>
        <x:v>-1</x:v>
      </x:c>
      <x:c r="X436" s="62">
        <x:v>0.8</x:v>
      </x:c>
      <x:c r="Y436" s="62">
        <x:v>0.25</x:v>
      </x:c>
      <x:c r="Z436" s="62">
        <x:v>0.96</x:v>
      </x:c>
      <x:c r="AA436" s="62">
        <x:v>-0.25</x:v>
      </x:c>
      <x:c r="AB436" s="62">
        <x:v>0.8</x:v>
      </x:c>
      <x:c r="AC436" s="62">
        <x:v>0.8</x:v>
      </x:c>
      <x:c r="AD436" s="60">
        <x:v>2.01</x:v>
      </x:c>
      <x:c r="AE436" s="60">
        <x:v>3.14</x:v>
      </x:c>
      <x:c r="AF436" s="60">
        <x:v>3.53</x:v>
      </x:c>
      <x:c r="AG436" s="62">
        <x:v>0.0992698943707331</x:v>
      </x:c>
      <x:c r="AH436" s="62">
        <x:v>0.0492698943707331</x:v>
      </x:c>
      <x:c r="AI436" s="62">
        <x:v>0.452584429318645</x:v>
      </x:c>
      <x:c r="AJ436" s="62">
        <x:v>0.289711688831362</x:v>
      </x:c>
      <x:c r="AK436" s="62">
        <x:v>0.257703881849993</x:v>
      </x:c>
      <x:c r="AL436" s="62">
        <x:v>1.25</x:v>
      </x:c>
      <x:c r="AM436" s="62">
        <x:v>0.87</x:v>
      </x:c>
      <x:c r="AN436" s="62">
        <x:v>0.00102696503359668</x:v>
      </x:c>
      <x:c r="AO436" s="62">
        <x:v>0.894418888722252</x:v>
      </x:c>
      <x:c r="AP436" s="62">
        <x:v>-0.0944188887222516</x:v>
      </x:c>
      <x:c r="AQ436" s="62" t="s">
        <x:v>99</x:v>
      </x:c>
      <x:c r="AR436" s="49">
        <x:v>-0.25</x:v>
      </x:c>
      <x:c r="AS436" s="62">
        <x:v>0.451154744474999</x:v>
      </x:c>
      <x:c r="AT436" s="62">
        <x:v>0.4035213251951</x:v>
      </x:c>
      <x:c r="AU436" s="60">
        <x:v>2.04</x:v>
      </x:c>
      <x:c r="AV436" s="60">
        <x:v>3.16</x:v>
      </x:c>
      <x:c r="AW436" s="60">
        <x:v>3.49</x:v>
      </x:c>
      <x:c r="AX436" s="49" t="s">
        <x:v>1356</x:v>
      </x:c>
      <x:c r="AY436" s="49" t="s">
        <x:v>101</x:v>
      </x:c>
    </x:row>
    <x:row r="437" ht="22" customHeight="1">
      <x:c r="A437" s="49" t="s">
        <x:v>1734</x:v>
      </x:c>
      <x:c r="B437" s="49" t="s">
        <x:v>1820</x:v>
      </x:c>
      <x:c r="C437" s="49" t="s">
        <x:v>89</x:v>
      </x:c>
      <x:c r="D437" s="49" t="s">
        <x:v>116</x:v>
      </x:c>
      <x:c r="E437" s="49" t="s">
        <x:v>923</x:v>
      </x:c>
      <x:c r="F437" s="49" t="s">
        <x:v>1821</x:v>
      </x:c>
      <x:c r="G437" s="60">
        <x:v>0.84</x:v>
      </x:c>
      <x:c r="H437" s="60">
        <x:v>0.25</x:v>
      </x:c>
      <x:c r="I437" s="60">
        <x:v>1.04</x:v>
      </x:c>
      <x:c r="J437" s="49" t="s">
        <x:v>1692</x:v>
      </x:c>
      <x:c r="K437" s="49" t="s">
        <x:v>106</x:v>
      </x:c>
      <x:c r="L437" s="49" t="s">
        <x:v>1822</x:v>
      </x:c>
      <x:c r="M437" s="61">
        <x:v>0.576</x:v>
      </x:c>
      <x:c r="N437" s="49" t="s">
        <x:v>96</x:v>
      </x:c>
      <x:c r="O437" s="49" t="s">
        <x:v>169</x:v>
      </x:c>
      <x:c r="P437" s="49" t="s">
        <x:v>30</x:v>
      </x:c>
      <x:c r="Q437" s="49" t="s">
        <x:v>23</x:v>
      </x:c>
      <x:c r="R437" s="50">
        <x:v>0.84</x:v>
      </x:c>
      <x:c r="S437" s="50">
        <x:f t="shared" si="28"/>
        <x:v>-1</x:v>
      </x:c>
      <x:c r="T437" s="49" t="s">
        <x:v>1823</x:v>
      </x:c>
      <x:c r="U437" s="49" t="str">
        <x:f t="shared" si="30"/>
        <x:v>红</x:v>
      </x:c>
      <x:c r="V437" s="50">
        <x:f t="shared" si="31"/>
        <x:v>1.04</x:v>
      </x:c>
      <x:c r="W437" s="50">
        <x:f t="shared" si="29"/>
        <x:v>1.04</x:v>
      </x:c>
      <x:c r="X437" s="62">
        <x:v>1.08</x:v>
      </x:c>
      <x:c r="Y437" s="62">
        <x:v>0.25</x:v>
      </x:c>
      <x:c r="Z437" s="62">
        <x:v>0.8</x:v>
      </x:c>
      <x:c r="AA437" s="62">
        <x:v>-0.25</x:v>
      </x:c>
      <x:c r="AB437" s="62">
        <x:v>1.08</x:v>
      </x:c>
      <x:c r="AC437" s="62">
        <x:v>0.84</x:v>
      </x:c>
      <x:c r="AD437" s="60">
        <x:v>2.28</x:v>
      </x:c>
      <x:c r="AE437" s="60">
        <x:v>3.43</x:v>
      </x:c>
      <x:c r="AF437" s="60">
        <x:v>2.87</x:v>
      </x:c>
      <x:c r="AG437" s="62">
        <x:v>0.0785737364815722</x:v>
      </x:c>
      <x:c r="AH437" s="62">
        <x:v>0.0285737364815722</x:v>
      </x:c>
      <x:c r="AI437" s="62">
        <x:v>0.406644883324177</x:v>
      </x:c>
      <x:c r="AJ437" s="62">
        <x:v>0.270306219818986</x:v>
      </x:c>
      <x:c r="AK437" s="62">
        <x:v>0.323048896856837</x:v>
      </x:c>
      <x:c r="AL437" s="62">
        <x:v>1.32</x:v>
      </x:c>
      <x:c r="AM437" s="62">
        <x:v>1.15</x:v>
      </x:c>
      <x:c r="AN437" s="62">
        <x:v>0.000972011911790742</x:v>
      </x:c>
      <x:c r="AO437" s="62">
        <x:v>1.13331413211551</x:v>
      </x:c>
      <x:c r="AP437" s="62">
        <x:v>-0.293314132115506</x:v>
      </x:c>
      <x:c r="AQ437" s="62" t="s">
        <x:v>99</x:v>
      </x:c>
      <x:c r="AR437" s="49">
        <x:v>-0.25</x:v>
      </x:c>
      <x:c r="AS437" s="62">
        <x:v>0.405294200399894</x:v>
      </x:c>
      <x:c r="AT437" s="62">
        <x:v>0.459325644977654</x:v>
      </x:c>
      <x:c r="AU437" s="60">
        <x:v>2.12</x:v>
      </x:c>
      <x:c r="AV437" s="60">
        <x:v>3.47</x:v>
      </x:c>
      <x:c r="AW437" s="60">
        <x:v>3.16</x:v>
      </x:c>
      <x:c r="AX437" s="49" t="s">
        <x:v>1356</x:v>
      </x:c>
      <x:c r="AY437" s="49" t="s">
        <x:v>101</x:v>
      </x:c>
    </x:row>
    <x:row r="438" ht="22" customHeight="1">
      <x:c r="A438" s="49" t="s">
        <x:v>1734</x:v>
      </x:c>
      <x:c r="B438" s="49" t="s">
        <x:v>1820</x:v>
      </x:c>
      <x:c r="C438" s="49" t="s">
        <x:v>89</x:v>
      </x:c>
      <x:c r="D438" s="49" t="s">
        <x:v>116</x:v>
      </x:c>
      <x:c r="E438" s="49" t="s">
        <x:v>789</x:v>
      </x:c>
      <x:c r="F438" s="49" t="s">
        <x:v>1824</x:v>
      </x:c>
      <x:c r="G438" s="60">
        <x:v>0.83</x:v>
      </x:c>
      <x:c r="H438" s="60">
        <x:v>0.75</x:v>
      </x:c>
      <x:c r="I438" s="60">
        <x:v>1.05</x:v>
      </x:c>
      <x:c r="J438" s="49" t="s">
        <x:v>224</x:v>
      </x:c>
      <x:c r="K438" s="49" t="s">
        <x:v>106</x:v>
      </x:c>
      <x:c r="L438" s="49" t="s">
        <x:v>1825</x:v>
      </x:c>
      <x:c r="M438" s="61">
        <x:v>0.576</x:v>
      </x:c>
      <x:c r="N438" s="49" t="s">
        <x:v>96</x:v>
      </x:c>
      <x:c r="O438" s="49" t="s">
        <x:v>141</x:v>
      </x:c>
      <x:c r="P438" s="49" t="s">
        <x:v>30</x:v>
      </x:c>
      <x:c r="Q438" s="49" t="s">
        <x:v>11</x:v>
      </x:c>
      <x:c r="R438" s="50">
        <x:v>0.83</x:v>
      </x:c>
      <x:c r="S438" s="50">
        <x:f t="shared" si="28"/>
        <x:v>0.83</x:v>
      </x:c>
      <x:c r="T438" s="49" t="s">
        <x:v>1826</x:v>
      </x:c>
      <x:c r="U438" s="49" t="str">
        <x:f t="shared" si="30"/>
        <x:v>黑</x:v>
      </x:c>
      <x:c r="V438" s="50">
        <x:f t="shared" si="31"/>
        <x:v>1.05</x:v>
      </x:c>
      <x:c r="W438" s="50">
        <x:f t="shared" si="29"/>
        <x:v>-1</x:v>
      </x:c>
      <x:c r="X438" s="62">
        <x:v>0.82</x:v>
      </x:c>
      <x:c r="Y438" s="62">
        <x:v>0.75</x:v>
      </x:c>
      <x:c r="Z438" s="62">
        <x:v>1.06</x:v>
      </x:c>
      <x:c r="AA438" s="62">
        <x:v>-0.75</x:v>
      </x:c>
      <x:c r="AB438" s="62">
        <x:v>0.82</x:v>
      </x:c>
      <x:c r="AC438" s="62">
        <x:v>0.83</x:v>
      </x:c>
      <x:c r="AD438" s="60">
        <x:v>1.59</x:v>
      </x:c>
      <x:c r="AE438" s="60">
        <x:v>3.94</x:v>
      </x:c>
      <x:c r="AF438" s="60">
        <x:v>5.26</x:v>
      </x:c>
      <x:c r="AG438" s="62">
        <x:v>0.0728519926501123</x:v>
      </x:c>
      <x:c r="AH438" s="62">
        <x:v>0.0228519926501123</x:v>
      </x:c>
      <x:c r="AI438" s="62">
        <x:v>0.586223283284869</x:v>
      </x:c>
      <x:c r="AJ438" s="62">
        <x:v>0.236572340208868</x:v>
      </x:c>
      <x:c r="AK438" s="62">
        <x:v>0.177204376506263</x:v>
      </x:c>
      <x:c r="AL438" s="62">
        <x:v>1.71</x:v>
      </x:c>
      <x:c r="AM438" s="62">
        <x:v>0.82</x:v>
      </x:c>
      <x:c r="AN438" s="62">
        <x:v>0.000636941202109584</x:v>
      </x:c>
      <x:c r="AO438" s="62">
        <x:v>0.9074944966205</x:v>
      </x:c>
      <x:c r="AP438" s="62">
        <x:v>-0.0774944966205005</x:v>
      </x:c>
      <x:c r="AQ438" s="62" t="s">
        <x:v>99</x:v>
      </x:c>
      <x:c r="AR438" s="49">
        <x:v>-0.75</x:v>
      </x:c>
      <x:c r="AS438" s="62">
        <x:v>0.456924780771078</x:v>
      </x:c>
      <x:c r="AT438" s="62">
        <x:v>0.414656723919281</x:v>
      </x:c>
      <x:c r="AU438" s="60">
        <x:v>1.64</x:v>
      </x:c>
      <x:c r="AV438" s="60">
        <x:v>3.88</x:v>
      </x:c>
      <x:c r="AW438" s="60">
        <x:v>4.92</x:v>
      </x:c>
      <x:c r="AX438" s="49" t="s">
        <x:v>1356</x:v>
      </x:c>
      <x:c r="AY438" s="49" t="s">
        <x:v>101</x:v>
      </x:c>
    </x:row>
    <x:row r="439" ht="22" customHeight="1">
      <x:c r="A439" s="49" t="s">
        <x:v>1734</x:v>
      </x:c>
      <x:c r="B439" s="49" t="s">
        <x:v>1820</x:v>
      </x:c>
      <x:c r="C439" s="49" t="s">
        <x:v>89</x:v>
      </x:c>
      <x:c r="D439" s="49" t="s">
        <x:v>116</x:v>
      </x:c>
      <x:c r="E439" s="49" t="s">
        <x:v>592</x:v>
      </x:c>
      <x:c r="F439" s="49" t="s">
        <x:v>1827</x:v>
      </x:c>
      <x:c r="G439" s="60">
        <x:v>0.83</x:v>
      </x:c>
      <x:c r="H439" s="60">
        <x:v>0.25</x:v>
      </x:c>
      <x:c r="I439" s="60">
        <x:v>0.93</x:v>
      </x:c>
      <x:c r="J439" s="49" t="s">
        <x:v>636</x:v>
      </x:c>
      <x:c r="K439" s="49" t="s">
        <x:v>106</x:v>
      </x:c>
      <x:c r="L439" s="49" t="s">
        <x:v>1828</x:v>
      </x:c>
      <x:c r="M439" s="61">
        <x:v>0.576</x:v>
      </x:c>
      <x:c r="N439" s="49" t="s">
        <x:v>96</x:v>
      </x:c>
      <x:c r="O439" s="49" t="s">
        <x:v>686</x:v>
      </x:c>
      <x:c r="P439" s="49" t="s">
        <x:v>30</x:v>
      </x:c>
      <x:c r="Q439" s="49" t="s">
        <x:v>20</x:v>
      </x:c>
      <x:c r="R439" s="50">
        <x:v>0.83</x:v>
      </x:c>
      <x:c r="S439" s="50">
        <x:f t="shared" si="28"/>
        <x:v>-0.5</x:v>
      </x:c>
      <x:c r="T439" s="49" t="s">
        <x:v>1829</x:v>
      </x:c>
      <x:c r="U439" s="49" t="str">
        <x:f t="shared" si="30"/>
        <x:v>半红</x:v>
      </x:c>
      <x:c r="V439" s="50">
        <x:f t="shared" si="31"/>
        <x:v>0.93</x:v>
      </x:c>
      <x:c r="W439" s="50">
        <x:f t="shared" si="29"/>
        <x:v>0.465</x:v>
      </x:c>
      <x:c r="X439" s="62">
        <x:v>0.83</x:v>
      </x:c>
      <x:c r="Y439" s="62">
        <x:v>0.25</x:v>
      </x:c>
      <x:c r="Z439" s="62">
        <x:v>0.93</x:v>
      </x:c>
      <x:c r="AA439" s="62">
        <x:v>-0.25</x:v>
      </x:c>
      <x:c r="AB439" s="62">
        <x:v>0.83</x:v>
      </x:c>
      <x:c r="AC439" s="62">
        <x:v>0.83</x:v>
      </x:c>
      <x:c r="AD439" s="60">
        <x:v>2.04</x:v>
      </x:c>
      <x:c r="AE439" s="60">
        <x:v>3.52</x:v>
      </x:c>
      <x:c r="AF439" s="60">
        <x:v>3.02</x:v>
      </x:c>
      <x:c r="AG439" s="62">
        <x:v>0.105412815336851</x:v>
      </x:c>
      <x:c r="AH439" s="62">
        <x:v>0.0554128153368512</x:v>
      </x:c>
      <x:c r="AI439" s="62">
        <x:v>0.443450692474554</x:v>
      </x:c>
      <x:c r="AJ439" s="62">
        <x:v>0.256999833138662</x:v>
      </x:c>
      <x:c r="AK439" s="62">
        <x:v>0.299549474386785</x:v>
      </x:c>
      <x:c r="AL439" s="62">
        <x:v>1.48</x:v>
      </x:c>
      <x:c r="AM439" s="62">
        <x:v>1.17</x:v>
      </x:c>
      <x:c r="AN439" s="62">
        <x:v>0.000289490133374425</x:v>
      </x:c>
      <x:c r="AO439" s="62">
        <x:v>0.966581812666601</x:v>
      </x:c>
      <x:c r="AP439" s="62">
        <x:v>-0.136581812666601</x:v>
      </x:c>
      <x:c r="AQ439" s="62" t="s">
        <x:v>99</x:v>
      </x:c>
      <x:c r="AR439" s="49">
        <x:v>-0.25</x:v>
      </x:c>
      <x:c r="AS439" s="62">
        <x:v>0.443072256822624</x:v>
      </x:c>
      <x:c r="AT439" s="62">
        <x:v>0.428265585141893</x:v>
      </x:c>
      <x:c r="AU439" s="60">
        <x:v>2.08</x:v>
      </x:c>
      <x:c r="AV439" s="60">
        <x:v>3.53</x:v>
      </x:c>
      <x:c r="AW439" s="60">
        <x:v>2.97</x:v>
      </x:c>
      <x:c r="AX439" s="49" t="s">
        <x:v>1356</x:v>
      </x:c>
      <x:c r="AY439" s="49" t="s">
        <x:v>101</x:v>
      </x:c>
    </x:row>
    <x:row r="440" ht="22" customHeight="1">
      <x:c r="A440" s="49" t="s">
        <x:v>1734</x:v>
      </x:c>
      <x:c r="B440" s="49" t="s">
        <x:v>1830</x:v>
      </x:c>
      <x:c r="C440" s="49" t="s">
        <x:v>333</x:v>
      </x:c>
      <x:c r="D440" s="49" t="s">
        <x:v>116</x:v>
      </x:c>
      <x:c r="E440" s="49" t="s">
        <x:v>613</x:v>
      </x:c>
      <x:c r="F440" s="49" t="s">
        <x:v>1831</x:v>
      </x:c>
      <x:c r="G440" s="60">
        <x:v>1.03</x:v>
      </x:c>
      <x:c r="H440" s="60">
        <x:v>-2.25</x:v>
      </x:c>
      <x:c r="I440" s="60">
        <x:v>0.85</x:v>
      </x:c>
      <x:c r="J440" s="49" t="s">
        <x:v>1832</x:v>
      </x:c>
      <x:c r="K440" s="49" t="s">
        <x:v>106</x:v>
      </x:c>
      <x:c r="L440" s="49" t="s">
        <x:v>1240</x:v>
      </x:c>
      <x:c r="M440" s="61">
        <x:v>0.584</x:v>
      </x:c>
      <x:c r="N440" s="49" t="s">
        <x:v>96</x:v>
      </x:c>
      <x:c r="O440" s="49" t="s">
        <x:v>934</x:v>
      </x:c>
      <x:c r="P440" s="49" t="s">
        <x:v>30</x:v>
      </x:c>
      <x:c r="Q440" s="49" t="s">
        <x:v>20</x:v>
      </x:c>
      <x:c r="R440" s="50">
        <x:v>0.85</x:v>
      </x:c>
      <x:c r="S440" s="50">
        <x:f t="shared" si="28"/>
        <x:v>-0.5</x:v>
      </x:c>
      <x:c r="T440" s="49" t="s">
        <x:v>1833</x:v>
      </x:c>
      <x:c r="U440" s="49" t="str">
        <x:f t="shared" si="30"/>
        <x:v>半红</x:v>
      </x:c>
      <x:c r="V440" s="50">
        <x:f t="shared" si="31"/>
        <x:v>1.03</x:v>
      </x:c>
      <x:c r="W440" s="50">
        <x:f t="shared" si="29"/>
        <x:v>0.515</x:v>
      </x:c>
      <x:c r="X440" s="62">
        <x:v>0.98</x:v>
      </x:c>
      <x:c r="Y440" s="62">
        <x:v>-1.75</x:v>
      </x:c>
      <x:c r="Z440" s="62">
        <x:v>0.9</x:v>
      </x:c>
      <x:c r="AA440" s="62">
        <x:v>-1.75</x:v>
      </x:c>
      <x:c r="AB440" s="62">
        <x:v>0.9</x:v>
      </x:c>
      <x:c r="AC440" s="62">
        <x:v>0.85</x:v>
      </x:c>
      <x:c r="AD440" s="60">
        <x:v>9.87</x:v>
      </x:c>
      <x:c r="AE440" s="60">
        <x:v>6.31</x:v>
      </x:c>
      <x:c r="AF440" s="60">
        <x:v>1.28</x:v>
      </x:c>
      <x:c r="AG440" s="62">
        <x:v>0.0410457279819909</x:v>
      </x:c>
      <x:c r="AH440" s="62">
        <x:v>-0.00895427201800909</x:v>
      </x:c>
      <x:c r="AI440" s="62">
        <x:v>0.0973224517141201</x:v>
      </x:c>
      <x:c r="AJ440" s="62">
        <x:v>0.152230205771532</x:v>
      </x:c>
      <x:c r="AK440" s="62">
        <x:v>0.750447342514348</x:v>
      </x:c>
      <x:c r="AL440" s="62">
        <x:v>0.82</x:v>
      </x:c>
      <x:c r="AM440" s="62">
        <x:v>2.57</x:v>
      </x:c>
      <x:c r="AN440" s="62">
        <x:v>0.000320210119348914</x:v>
      </x:c>
      <x:c r="AO440" s="62">
        <x:v>1.78021988321152</x:v>
      </x:c>
      <x:c r="AP440" s="62">
        <x:v>-0.930219883211524</x:v>
      </x:c>
      <x:c r="AQ440" s="62" t="s">
        <x:v>99</x:v>
      </x:c>
      <x:c r="AR440" s="49">
        <x:v>-2.25</x:v>
      </x:c>
      <x:c r="AS440" s="62">
        <x:v>0.321326152884666</x:v>
      </x:c>
      <x:c r="AT440" s="62">
        <x:v>0.572031206361148</x:v>
      </x:c>
      <x:c r="AU440" s="60">
        <x:v>14.93</x:v>
      </x:c>
      <x:c r="AV440" s="60">
        <x:v>8.56</x:v>
      </x:c>
      <x:c r="AW440" s="60">
        <x:v>1.15</x:v>
      </x:c>
      <x:c r="AX440" s="49" t="s">
        <x:v>1356</x:v>
      </x:c>
      <x:c r="AY440" s="49" t="s">
        <x:v>101</x:v>
      </x:c>
    </x:row>
    <x:row r="441" ht="22" customHeight="1">
      <x:c r="A441" s="49" t="s">
        <x:v>1734</x:v>
      </x:c>
      <x:c r="B441" s="49" t="s">
        <x:v>1834</x:v>
      </x:c>
      <x:c r="C441" s="49" t="s">
        <x:v>333</x:v>
      </x:c>
      <x:c r="D441" s="49" t="s">
        <x:v>116</x:v>
      </x:c>
      <x:c r="E441" s="49" t="s">
        <x:v>730</x:v>
      </x:c>
      <x:c r="F441" s="49" t="s">
        <x:v>1835</x:v>
      </x:c>
      <x:c r="G441" s="60">
        <x:v>0.79</x:v>
      </x:c>
      <x:c r="H441" s="60">
        <x:v>0</x:v>
      </x:c>
      <x:c r="I441" s="60">
        <x:v>0.97</x:v>
      </x:c>
      <x:c r="J441" s="49" t="s">
        <x:v>1836</x:v>
      </x:c>
      <x:c r="K441" s="49" t="s">
        <x:v>106</x:v>
      </x:c>
      <x:c r="L441" s="49" t="s">
        <x:v>1837</x:v>
      </x:c>
      <x:c r="M441" s="61">
        <x:v>0.584</x:v>
      </x:c>
      <x:c r="N441" s="49" t="s">
        <x:v>96</x:v>
      </x:c>
      <x:c r="O441" s="49" t="s">
        <x:v>191</x:v>
      </x:c>
      <x:c r="P441" s="49" t="s">
        <x:v>30</x:v>
      </x:c>
      <x:c r="Q441" s="49" t="s">
        <x:v>23</x:v>
      </x:c>
      <x:c r="R441" s="50">
        <x:v>0.79</x:v>
      </x:c>
      <x:c r="S441" s="50">
        <x:f t="shared" si="28"/>
        <x:v>-1</x:v>
      </x:c>
      <x:c r="T441" s="49" t="s">
        <x:v>1838</x:v>
      </x:c>
      <x:c r="U441" s="49" t="str">
        <x:f t="shared" si="30"/>
        <x:v>红</x:v>
      </x:c>
      <x:c r="V441" s="50">
        <x:f t="shared" si="31"/>
        <x:v>0.97</x:v>
      </x:c>
      <x:c r="W441" s="50">
        <x:f t="shared" si="29"/>
        <x:v>0.97</x:v>
      </x:c>
      <x:c r="X441" s="62">
        <x:v>0.76</x:v>
      </x:c>
      <x:c r="Y441" s="62">
        <x:v>0</x:v>
      </x:c>
      <x:c r="Z441" s="62">
        <x:v>0.94</x:v>
      </x:c>
      <x:c r="AA441" s="62">
        <x:v>0</x:v>
      </x:c>
      <x:c r="AB441" s="62">
        <x:v>0.76</x:v>
      </x:c>
      <x:c r="AC441" s="62">
        <x:v>0.79</x:v>
      </x:c>
      <x:c r="AD441" s="60">
        <x:v>2.36</x:v>
      </x:c>
      <x:c r="AE441" s="60">
        <x:v>3.43</x:v>
      </x:c>
      <x:c r="AF441" s="60">
        <x:v>2.57</x:v>
      </x:c>
      <x:c r="AG441" s="62">
        <x:v>0.104379061429454</x:v>
      </x:c>
      <x:c r="AH441" s="62">
        <x:v>0.054379061429454</x:v>
      </x:c>
      <x:c r="AI441" s="62">
        <x:v>0.383680593338005</x:v>
      </x:c>
      <x:c r="AJ441" s="62">
        <x:v>0.263990145853555</x:v>
      </x:c>
      <x:c r="AK441" s="62">
        <x:v>0.352329260808441</x:v>
      </x:c>
      <x:c r="AL441" s="62">
        <x:v>1.33</x:v>
      </x:c>
      <x:c r="AM441" s="62">
        <x:v>1.26</x:v>
      </x:c>
      <x:c r="AN441" s="62">
        <x:v>0.000652735572568235</x:v>
      </x:c>
      <x:c r="AO441" s="62">
        <x:v>0.914517670320517</x:v>
      </x:c>
      <x:c r="AP441" s="62">
        <x:v>-0.124517670320517</x:v>
      </x:c>
      <x:c r="AQ441" s="62" t="s">
        <x:v>150</x:v>
      </x:c>
      <x:c r="AR441" s="49">
        <x:v>0</x:v>
      </x:c>
      <x:c r="AS441" s="62">
        <x:v>0.384266557621879</x:v>
      </x:c>
      <x:c r="AT441" s="62">
        <x:v>0.351418557058445</x:v>
      </x:c>
      <x:c r="AU441" s="60">
        <x:v>2.29</x:v>
      </x:c>
      <x:c r="AV441" s="60">
        <x:v>3.46</x:v>
      </x:c>
      <x:c r="AW441" s="60">
        <x:v>2.69</x:v>
      </x:c>
      <x:c r="AX441" s="49" t="s">
        <x:v>1356</x:v>
      </x:c>
      <x:c r="AY441" s="49" t="s">
        <x:v>101</x:v>
      </x:c>
    </x:row>
    <x:row r="442" ht="22" customHeight="1">
      <x:c r="A442" s="49" t="s">
        <x:v>1734</x:v>
      </x:c>
      <x:c r="B442" s="49" t="s">
        <x:v>1839</x:v>
      </x:c>
      <x:c r="C442" s="49" t="s">
        <x:v>89</x:v>
      </x:c>
      <x:c r="D442" s="49" t="s">
        <x:v>116</x:v>
      </x:c>
      <x:c r="E442" s="49" t="s">
        <x:v>831</x:v>
      </x:c>
      <x:c r="F442" s="49" t="s">
        <x:v>1840</x:v>
      </x:c>
      <x:c r="G442" s="60">
        <x:v>0.94</x:v>
      </x:c>
      <x:c r="H442" s="60">
        <x:v>-1</x:v>
      </x:c>
      <x:c r="I442" s="60">
        <x:v>0.82</x:v>
      </x:c>
      <x:c r="J442" s="49" t="s">
        <x:v>1841</x:v>
      </x:c>
      <x:c r="K442" s="49" t="s">
        <x:v>106</x:v>
      </x:c>
      <x:c r="L442" s="49" t="s">
        <x:v>1842</x:v>
      </x:c>
      <x:c r="M442" s="61">
        <x:v>0.576</x:v>
      </x:c>
      <x:c r="N442" s="49" t="s">
        <x:v>96</x:v>
      </x:c>
      <x:c r="O442" s="49" t="s">
        <x:v>231</x:v>
      </x:c>
      <x:c r="P442" s="49" t="s">
        <x:v>30</x:v>
      </x:c>
      <x:c r="Q442" s="49" t="s">
        <x:v>23</x:v>
      </x:c>
      <x:c r="R442" s="50">
        <x:v>0.82</x:v>
      </x:c>
      <x:c r="S442" s="50">
        <x:f t="shared" si="28"/>
        <x:v>-1</x:v>
      </x:c>
      <x:c r="T442" s="49" t="s">
        <x:v>1843</x:v>
      </x:c>
      <x:c r="U442" s="49" t="str">
        <x:f t="shared" si="30"/>
        <x:v>红</x:v>
      </x:c>
      <x:c r="V442" s="50">
        <x:f t="shared" si="31"/>
        <x:v>0.94</x:v>
      </x:c>
      <x:c r="W442" s="50">
        <x:f t="shared" si="29"/>
        <x:v>0.94</x:v>
      </x:c>
      <x:c r="X442" s="62">
        <x:v>0.94</x:v>
      </x:c>
      <x:c r="Y442" s="62">
        <x:v>-1</x:v>
      </x:c>
      <x:c r="Z442" s="62">
        <x:v>0.82</x:v>
      </x:c>
      <x:c r="AA442" s="62">
        <x:v>-1</x:v>
      </x:c>
      <x:c r="AB442" s="62">
        <x:v>0.82</x:v>
      </x:c>
      <x:c r="AC442" s="62">
        <x:v>0.82</x:v>
      </x:c>
      <x:c r="AD442" s="60">
        <x:v>4.38</x:v>
      </x:c>
      <x:c r="AE442" s="60">
        <x:v>4.31</x:v>
      </x:c>
      <x:c r="AF442" s="60">
        <x:v>1.58</x:v>
      </x:c>
      <x:c r="AG442" s="62">
        <x:v>0.0932404561730871</x:v>
      </x:c>
      <x:c r="AH442" s="62">
        <x:v>0.0432404561730871</x:v>
      </x:c>
      <x:c r="AI442" s="62">
        <x:v>0.2088383218842</x:v>
      </x:c>
      <x:c r="AJ442" s="62">
        <x:v>0.212230127576055</x:v>
      </x:c>
      <x:c r="AK442" s="62">
        <x:v>0.578931550539745</x:v>
      </x:c>
      <x:c r="AL442" s="62">
        <x:v>1.14</x:v>
      </x:c>
      <x:c r="AM442" s="62">
        <x:v>2.03</x:v>
      </x:c>
      <x:c r="AN442" s="62">
        <x:v>0.000255653350394358</x:v>
      </x:c>
      <x:c r="AO442" s="62">
        <x:v>1.20551747361164</x:v>
      </x:c>
      <x:c r="AP442" s="62">
        <x:v>-0.385517473611645</x:v>
      </x:c>
      <x:c r="AQ442" s="62" t="s">
        <x:v>99</x:v>
      </x:c>
      <x:c r="AR442" s="49">
        <x:v>-1</x:v>
      </x:c>
      <x:c r="AS442" s="62">
        <x:v>0.349014874962293</x:v>
      </x:c>
      <x:c r="AT442" s="62">
        <x:v>0.420743530317428</x:v>
      </x:c>
      <x:c r="AU442" s="60">
        <x:v>4.99</x:v>
      </x:c>
      <x:c r="AV442" s="60">
        <x:v>4.55</x:v>
      </x:c>
      <x:c r="AW442" s="60">
        <x:v>1.48</x:v>
      </x:c>
      <x:c r="AX442" s="49" t="s">
        <x:v>1356</x:v>
      </x:c>
      <x:c r="AY442" s="49" t="s">
        <x:v>101</x:v>
      </x:c>
    </x:row>
    <x:row r="443" ht="22" customHeight="1">
      <x:c r="A443" s="49" t="s">
        <x:v>1734</x:v>
      </x:c>
      <x:c r="B443" s="49" t="s">
        <x:v>1844</x:v>
      </x:c>
      <x:c r="C443" s="49" t="s">
        <x:v>333</x:v>
      </x:c>
      <x:c r="D443" s="49" t="s">
        <x:v>116</x:v>
      </x:c>
      <x:c r="E443" s="49" t="s">
        <x:v>894</x:v>
      </x:c>
      <x:c r="F443" s="49" t="s">
        <x:v>1845</x:v>
      </x:c>
      <x:c r="G443" s="60">
        <x:v>0.82</x:v>
      </x:c>
      <x:c r="H443" s="60">
        <x:v>0.25</x:v>
      </x:c>
      <x:c r="I443" s="60">
        <x:v>1</x:v>
      </x:c>
      <x:c r="J443" s="49" t="s">
        <x:v>721</x:v>
      </x:c>
      <x:c r="K443" s="49" t="s">
        <x:v>106</x:v>
      </x:c>
      <x:c r="L443" s="49" t="s">
        <x:v>1846</x:v>
      </x:c>
      <x:c r="M443" s="61">
        <x:v>0.584</x:v>
      </x:c>
      <x:c r="N443" s="49" t="s">
        <x:v>96</x:v>
      </x:c>
      <x:c r="O443" s="49" t="s">
        <x:v>161</x:v>
      </x:c>
      <x:c r="P443" s="49" t="s">
        <x:v>30</x:v>
      </x:c>
      <x:c r="Q443" s="49" t="s">
        <x:v>11</x:v>
      </x:c>
      <x:c r="R443" s="50">
        <x:v>0.82</x:v>
      </x:c>
      <x:c r="S443" s="50">
        <x:f t="shared" si="28"/>
        <x:v>0.82</x:v>
      </x:c>
      <x:c r="T443" s="49" t="s">
        <x:v>1847</x:v>
      </x:c>
      <x:c r="U443" s="49" t="str">
        <x:f t="shared" si="30"/>
        <x:v>黑</x:v>
      </x:c>
      <x:c r="V443" s="50">
        <x:f t="shared" si="31"/>
        <x:v>1</x:v>
      </x:c>
      <x:c r="W443" s="50">
        <x:f t="shared" si="29"/>
        <x:v>-1</x:v>
      </x:c>
      <x:c r="X443" s="62">
        <x:v>0.84</x:v>
      </x:c>
      <x:c r="Y443" s="62">
        <x:v>0.25</x:v>
      </x:c>
      <x:c r="Z443" s="62">
        <x:v>0.98</x:v>
      </x:c>
      <x:c r="AA443" s="62">
        <x:v>-0.25</x:v>
      </x:c>
      <x:c r="AB443" s="62">
        <x:v>0.84</x:v>
      </x:c>
      <x:c r="AC443" s="62">
        <x:v>0.82</x:v>
      </x:c>
      <x:c r="AD443" s="60">
        <x:v>2.14</x:v>
      </x:c>
      <x:c r="AE443" s="60">
        <x:v>3.06</x:v>
      </x:c>
      <x:c r="AF443" s="60">
        <x:v>3.48</x:v>
      </x:c>
      <x:c r="AG443" s="62">
        <x:v>0.0814434270861637</x:v>
      </x:c>
      <x:c r="AH443" s="62">
        <x:v>0.0314434270861637</x:v>
      </x:c>
      <x:c r="AI443" s="62">
        <x:v>0.432098164288845</x:v>
      </x:c>
      <x:c r="AJ443" s="62">
        <x:v>0.302186297901349</x:v>
      </x:c>
      <x:c r="AK443" s="62">
        <x:v>0.265715537809807</x:v>
      </x:c>
      <x:c r="AL443" s="62">
        <x:v>1.16</x:v>
      </x:c>
      <x:c r="AM443" s="62">
        <x:v>0.84</x:v>
      </x:c>
      <x:c r="AN443" s="62">
        <x:v>0.00061564852008062</x:v>
      </x:c>
      <x:c r="AO443" s="62">
        <x:v>0.964676899259165</x:v>
      </x:c>
      <x:c r="AP443" s="62">
        <x:v>-0.144676899259165</x:v>
      </x:c>
      <x:c r="AQ443" s="62" t="s">
        <x:v>99</x:v>
      </x:c>
      <x:c r="AR443" s="49">
        <x:v>-0.25</x:v>
      </x:c>
      <x:c r="AS443" s="62">
        <x:v>0.431870527818371</x:v>
      </x:c>
      <x:c r="AT443" s="62">
        <x:v>0.416615521657246</x:v>
      </x:c>
      <x:c r="AU443" s="60">
        <x:v>2.13</x:v>
      </x:c>
      <x:c r="AV443" s="60">
        <x:v>3.11</x:v>
      </x:c>
      <x:c r="AW443" s="60">
        <x:v>3.53</x:v>
      </x:c>
      <x:c r="AX443" s="49" t="s">
        <x:v>1356</x:v>
      </x:c>
      <x:c r="AY443" s="49" t="s">
        <x:v>101</x:v>
      </x:c>
    </x:row>
    <x:row r="444" ht="22" customHeight="1">
      <x:c r="A444" s="49" t="s">
        <x:v>1734</x:v>
      </x:c>
      <x:c r="B444" s="49" t="s">
        <x:v>1848</x:v>
      </x:c>
      <x:c r="C444" s="49" t="s">
        <x:v>244</x:v>
      </x:c>
      <x:c r="D444" s="49" t="s">
        <x:v>116</x:v>
      </x:c>
      <x:c r="E444" s="49" t="s">
        <x:v>773</x:v>
      </x:c>
      <x:c r="F444" s="49" t="s">
        <x:v>1849</x:v>
      </x:c>
      <x:c r="G444" s="60">
        <x:v>0.8</x:v>
      </x:c>
      <x:c r="H444" s="60">
        <x:v>0.25</x:v>
      </x:c>
      <x:c r="I444" s="60">
        <x:v>0.9</x:v>
      </x:c>
      <x:c r="J444" s="49" t="s">
        <x:v>1670</x:v>
      </x:c>
      <x:c r="K444" s="49" t="s">
        <x:v>106</x:v>
      </x:c>
      <x:c r="L444" s="49" t="s">
        <x:v>1850</x:v>
      </x:c>
      <x:c r="M444" s="61">
        <x:v>0.592</x:v>
      </x:c>
      <x:c r="N444" s="49" t="s">
        <x:v>96</x:v>
      </x:c>
      <x:c r="O444" s="49" t="s">
        <x:v>191</x:v>
      </x:c>
      <x:c r="P444" s="49" t="s">
        <x:v>30</x:v>
      </x:c>
      <x:c r="Q444" s="49" t="s">
        <x:v>23</x:v>
      </x:c>
      <x:c r="R444" s="50">
        <x:v>0.8</x:v>
      </x:c>
      <x:c r="S444" s="50">
        <x:f t="shared" si="28"/>
        <x:v>-1</x:v>
      </x:c>
      <x:c r="T444" s="49" t="s">
        <x:v>1851</x:v>
      </x:c>
      <x:c r="U444" s="49" t="str">
        <x:f t="shared" si="30"/>
        <x:v>红</x:v>
      </x:c>
      <x:c r="V444" s="50">
        <x:f t="shared" si="31"/>
        <x:v>0.9</x:v>
      </x:c>
      <x:c r="W444" s="50">
        <x:f t="shared" si="29"/>
        <x:v>0.9</x:v>
      </x:c>
      <x:c r="X444" s="62">
        <x:v>0.8</x:v>
      </x:c>
      <x:c r="Y444" s="62">
        <x:v>0.25</x:v>
      </x:c>
      <x:c r="Z444" s="62">
        <x:v>0.9</x:v>
      </x:c>
      <x:c r="AA444" s="62">
        <x:v>-0.25</x:v>
      </x:c>
      <x:c r="AB444" s="62">
        <x:v>0.8</x:v>
      </x:c>
      <x:c r="AC444" s="62">
        <x:v>0.8</x:v>
      </x:c>
      <x:c r="AD444" s="60">
        <x:v>2.12</x:v>
      </x:c>
      <x:c r="AE444" s="60">
        <x:v>2.91</x:v>
      </x:c>
      <x:c r="AF444" s="60">
        <x:v>3.47</x:v>
      </x:c>
      <x:c r="AG444" s="62">
        <x:v>0.103525162931742</x:v>
      </x:c>
      <x:c r="AH444" s="62">
        <x:v>0.0535251629317417</x:v>
      </x:c>
      <x:c r="AI444" s="62">
        <x:v>0.427446631080332</x:v>
      </x:c>
      <x:c r="AJ444" s="62">
        <x:v>0.311404418519005</x:v>
      </x:c>
      <x:c r="AK444" s="62">
        <x:v>0.261148950400664</x:v>
      </x:c>
      <x:c r="AL444" s="62">
        <x:v>1.11</x:v>
      </x:c>
      <x:c r="AM444" s="62">
        <x:v>0.8</x:v>
      </x:c>
      <x:c r="AN444" s="62">
        <x:v>0.000729713970292537</x:v>
      </x:c>
      <x:c r="AO444" s="62">
        <x:v>0.979480427928069</x:v>
      </x:c>
      <x:c r="AP444" s="62">
        <x:v>-0.179480427928069</x:v>
      </x:c>
      <x:c r="AQ444" s="62" t="s">
        <x:v>99</x:v>
      </x:c>
      <x:c r="AR444" s="49">
        <x:v>-0.25</x:v>
      </x:c>
      <x:c r="AS444" s="62">
        <x:v>0.426421570100955</x:v>
      </x:c>
      <x:c r="AT444" s="62">
        <x:v>0.417671581960242</x:v>
      </x:c>
      <x:c r="AU444" s="60">
        <x:v>2.17</x:v>
      </x:c>
      <x:c r="AV444" s="60">
        <x:v>2.9</x:v>
      </x:c>
      <x:c r="AW444" s="60">
        <x:v>3.37</x:v>
      </x:c>
      <x:c r="AX444" s="49" t="s">
        <x:v>1356</x:v>
      </x:c>
      <x:c r="AY444" s="49" t="s">
        <x:v>101</x:v>
      </x:c>
    </x:row>
    <x:row r="445" ht="22" customHeight="1">
      <x:c r="A445" s="49" t="s">
        <x:v>1734</x:v>
      </x:c>
      <x:c r="B445" s="49" t="s">
        <x:v>1848</x:v>
      </x:c>
      <x:c r="C445" s="49" t="s">
        <x:v>333</x:v>
      </x:c>
      <x:c r="D445" s="49" t="s">
        <x:v>116</x:v>
      </x:c>
      <x:c r="E445" s="49" t="s">
        <x:v>597</x:v>
      </x:c>
      <x:c r="F445" s="49" t="s">
        <x:v>1852</x:v>
      </x:c>
      <x:c r="G445" s="60">
        <x:v>0.88</x:v>
      </x:c>
      <x:c r="H445" s="60">
        <x:v>-2.5</x:v>
      </x:c>
      <x:c r="I445" s="60">
        <x:v>1</x:v>
      </x:c>
      <x:c r="J445" s="49" t="s">
        <x:v>1853</x:v>
      </x:c>
      <x:c r="K445" s="49" t="s">
        <x:v>189</x:v>
      </x:c>
      <x:c r="L445" s="49" t="s">
        <x:v>406</x:v>
      </x:c>
      <x:c r="M445" s="61">
        <x:v>0.529</x:v>
      </x:c>
      <x:c r="N445" s="49" t="s">
        <x:v>96</x:v>
      </x:c>
      <x:c r="O445" s="49" t="s">
        <x:v>169</x:v>
      </x:c>
      <x:c r="P445" s="49" t="s">
        <x:v>30</x:v>
      </x:c>
      <x:c r="Q445" s="49" t="s">
        <x:v>23</x:v>
      </x:c>
      <x:c r="R445" s="50">
        <x:v>1</x:v>
      </x:c>
      <x:c r="S445" s="50">
        <x:f t="shared" si="28"/>
        <x:v>-1</x:v>
      </x:c>
      <x:c r="T445" s="49" t="s">
        <x:v>1854</x:v>
      </x:c>
      <x:c r="U445" s="49" t="str">
        <x:f t="shared" si="30"/>
        <x:v>红</x:v>
      </x:c>
      <x:c r="V445" s="50">
        <x:f t="shared" si="31"/>
        <x:v>0.88</x:v>
      </x:c>
      <x:c r="W445" s="50">
        <x:f t="shared" si="29"/>
        <x:v>0.88</x:v>
      </x:c>
      <x:c r="X445" s="62">
        <x:v>1</x:v>
      </x:c>
      <x:c r="Y445" s="62">
        <x:v>-2.25</x:v>
      </x:c>
      <x:c r="Z445" s="62">
        <x:v>0.88</x:v>
      </x:c>
      <x:c r="AA445" s="62">
        <x:v>-2.25</x:v>
      </x:c>
      <x:c r="AB445" s="62">
        <x:v>0.88</x:v>
      </x:c>
      <x:c r="AC445" s="62">
        <x:v>1</x:v>
      </x:c>
      <x:c r="AD445" s="60">
        <x:v>13.62</x:v>
      </x:c>
      <x:c r="AE445" s="60">
        <x:v>8.05</x:v>
      </x:c>
      <x:c r="AF445" s="60">
        <x:v>1.16</x:v>
      </x:c>
      <x:c r="AG445" s="62">
        <x:v>0.0597140070619191</x:v>
      </x:c>
      <x:c r="AH445" s="62">
        <x:v>0.00971400706191909</x:v>
      </x:c>
      <x:c r="AI445" s="62">
        <x:v>0.0692842017477604</x:v>
      </x:c>
      <x:c r="AJ445" s="62">
        <x:v>0.117223705317329</x:v>
      </x:c>
      <x:c r="AK445" s="62">
        <x:v>0.813492092934911</x:v>
      </x:c>
      <x:c r="AL445" s="62">
        <x:v>0.82</x:v>
      </x:c>
      <x:c r="AM445" s="62">
        <x:v>3.04</x:v>
      </x:c>
      <x:c r="AN445" s="62">
        <x:v>0.000241773211849692</x:v>
      </x:c>
      <x:c r="AO445" s="62">
        <x:v>1.37627610542784</x:v>
      </x:c>
      <x:c r="AP445" s="62">
        <x:v>-0.376276105427845</x:v>
      </x:c>
      <x:c r="AQ445" s="62" t="s">
        <x:v>99</x:v>
      </x:c>
      <x:c r="AR445" s="49">
        <x:v>-2.5</x:v>
      </x:c>
      <x:c r="AS445" s="62">
        <x:v>0.420826518314021</x:v>
      </x:c>
      <x:c r="AT445" s="62">
        <x:v>0.57917348168598</x:v>
      </x:c>
      <x:c r="AU445" s="60">
        <x:v>13.27</x:v>
      </x:c>
      <x:c r="AV445" s="60">
        <x:v>8.44</x:v>
      </x:c>
      <x:c r="AW445" s="60">
        <x:v>1.16</x:v>
      </x:c>
      <x:c r="AX445" s="49" t="s">
        <x:v>1356</x:v>
      </x:c>
      <x:c r="AY445" s="49" t="s">
        <x:v>101</x:v>
      </x:c>
    </x:row>
    <x:row r="446" ht="22" customHeight="1">
      <x:c r="A446" s="49" t="s">
        <x:v>1734</x:v>
      </x:c>
      <x:c r="B446" s="49" t="s">
        <x:v>1855</x:v>
      </x:c>
      <x:c r="C446" s="49" t="s">
        <x:v>89</x:v>
      </x:c>
      <x:c r="D446" s="49" t="s">
        <x:v>116</x:v>
      </x:c>
      <x:c r="E446" s="49" t="s">
        <x:v>923</x:v>
      </x:c>
      <x:c r="F446" s="49" t="s">
        <x:v>1856</x:v>
      </x:c>
      <x:c r="G446" s="60">
        <x:v>0.82</x:v>
      </x:c>
      <x:c r="H446" s="60">
        <x:v>0.5</x:v>
      </x:c>
      <x:c r="I446" s="60">
        <x:v>1.06</x:v>
      </x:c>
      <x:c r="J446" s="49" t="s">
        <x:v>845</x:v>
      </x:c>
      <x:c r="K446" s="49" t="s">
        <x:v>106</x:v>
      </x:c>
      <x:c r="L446" s="49" t="s">
        <x:v>1857</x:v>
      </x:c>
      <x:c r="M446" s="61">
        <x:v>0.576</x:v>
      </x:c>
      <x:c r="N446" s="49" t="s">
        <x:v>96</x:v>
      </x:c>
      <x:c r="O446" s="49" t="s">
        <x:v>161</x:v>
      </x:c>
      <x:c r="P446" s="49" t="s">
        <x:v>30</x:v>
      </x:c>
      <x:c r="Q446" s="49" t="s">
        <x:v>11</x:v>
      </x:c>
      <x:c r="R446" s="50">
        <x:v>0.82</x:v>
      </x:c>
      <x:c r="S446" s="50">
        <x:f t="shared" si="28"/>
        <x:v>0.82</x:v>
      </x:c>
      <x:c r="T446" s="49" t="s">
        <x:v>1858</x:v>
      </x:c>
      <x:c r="U446" s="49" t="str">
        <x:f t="shared" si="30"/>
        <x:v>黑</x:v>
      </x:c>
      <x:c r="V446" s="50">
        <x:f t="shared" si="31"/>
        <x:v>1.06</x:v>
      </x:c>
      <x:c r="W446" s="50">
        <x:f t="shared" si="29"/>
        <x:v>-1</x:v>
      </x:c>
      <x:c r="X446" s="62">
        <x:v>0.84</x:v>
      </x:c>
      <x:c r="Y446" s="62">
        <x:v>0.5</x:v>
      </x:c>
      <x:c r="Z446" s="62">
        <x:v>1.04</x:v>
      </x:c>
      <x:c r="AA446" s="62">
        <x:v>-0.5</x:v>
      </x:c>
      <x:c r="AB446" s="62">
        <x:v>0.84</x:v>
      </x:c>
      <x:c r="AC446" s="62">
        <x:v>0.82</x:v>
      </x:c>
      <x:c r="AD446" s="60">
        <x:v>1.86</x:v>
      </x:c>
      <x:c r="AE446" s="60">
        <x:v>3.83</x:v>
      </x:c>
      <x:c r="AF446" s="60">
        <x:v>3.57</x:v>
      </x:c>
      <x:c r="AG446" s="62">
        <x:v>0.0788430591642029</x:v>
      </x:c>
      <x:c r="AH446" s="62">
        <x:v>0.0288430591642029</x:v>
      </x:c>
      <x:c r="AI446" s="62">
        <x:v>0.498343483822999</x:v>
      </x:c>
      <x:c r="AJ446" s="62">
        <x:v>0.242015373344851</x:v>
      </x:c>
      <x:c r="AK446" s="62">
        <x:v>0.259641142832151</x:v>
      </x:c>
      <x:c r="AL446" s="62">
        <x:v>1.67</x:v>
      </x:c>
      <x:c r="AM446" s="62">
        <x:v>1.14</x:v>
      </x:c>
      <x:c r="AN446" s="62">
        <x:v>0.000640593593822408</x:v>
      </x:c>
      <x:c r="AO446" s="62">
        <x:v>1.01028893489466</x:v>
      </x:c>
      <x:c r="AP446" s="62">
        <x:v>-0.190288934894656</x:v>
      </x:c>
      <x:c r="AQ446" s="62" t="s">
        <x:v>99</x:v>
      </x:c>
      <x:c r="AR446" s="49">
        <x:v>-0.5</x:v>
      </x:c>
      <x:c r="AS446" s="62">
        <x:v>0.497440931321846</x:v>
      </x:c>
      <x:c r="AT446" s="62">
        <x:v>0.502559068678154</x:v>
      </x:c>
      <x:c r="AU446" s="60">
        <x:v>1.79</x:v>
      </x:c>
      <x:c r="AV446" s="60">
        <x:v>3.96</x:v>
      </x:c>
      <x:c r="AW446" s="60">
        <x:v>3.8</x:v>
      </x:c>
      <x:c r="AX446" s="49" t="s">
        <x:v>1356</x:v>
      </x:c>
      <x:c r="AY446" s="49" t="s">
        <x:v>101</x:v>
      </x:c>
    </x:row>
    <x:row r="447" ht="22" customHeight="1">
      <x:c r="A447" s="49" t="s">
        <x:v>1734</x:v>
      </x:c>
      <x:c r="B447" s="49" t="s">
        <x:v>1855</x:v>
      </x:c>
      <x:c r="C447" s="49" t="s">
        <x:v>333</x:v>
      </x:c>
      <x:c r="D447" s="49" t="s">
        <x:v>116</x:v>
      </x:c>
      <x:c r="E447" s="49" t="s">
        <x:v>927</x:v>
      </x:c>
      <x:c r="F447" s="49" t="s">
        <x:v>1859</x:v>
      </x:c>
      <x:c r="G447" s="60">
        <x:v>0.82</x:v>
      </x:c>
      <x:c r="H447" s="60">
        <x:v>0</x:v>
      </x:c>
      <x:c r="I447" s="60">
        <x:v>0.88</x:v>
      </x:c>
      <x:c r="J447" s="49" t="s">
        <x:v>1533</x:v>
      </x:c>
      <x:c r="K447" s="49" t="s">
        <x:v>106</x:v>
      </x:c>
      <x:c r="L447" s="49" t="s">
        <x:v>1860</x:v>
      </x:c>
      <x:c r="M447" s="61">
        <x:v>0.584</x:v>
      </x:c>
      <x:c r="N447" s="49" t="s">
        <x:v>96</x:v>
      </x:c>
      <x:c r="O447" s="49" t="s">
        <x:v>642</x:v>
      </x:c>
      <x:c r="P447" s="49" t="s">
        <x:v>30</x:v>
      </x:c>
      <x:c r="Q447" s="49" t="s">
        <x:v>23</x:v>
      </x:c>
      <x:c r="R447" s="50">
        <x:v>0.82</x:v>
      </x:c>
      <x:c r="S447" s="50">
        <x:f t="shared" si="28"/>
        <x:v>-1</x:v>
      </x:c>
      <x:c r="T447" s="49" t="s">
        <x:v>1861</x:v>
      </x:c>
      <x:c r="U447" s="49" t="str">
        <x:f t="shared" si="30"/>
        <x:v>红</x:v>
      </x:c>
      <x:c r="V447" s="50">
        <x:f t="shared" si="31"/>
        <x:v>0.88</x:v>
      </x:c>
      <x:c r="W447" s="50">
        <x:f t="shared" si="29"/>
        <x:v>0.88</x:v>
      </x:c>
      <x:c r="X447" s="62">
        <x:v>0.82</x:v>
      </x:c>
      <x:c r="Y447" s="62">
        <x:v>0</x:v>
      </x:c>
      <x:c r="Z447" s="62">
        <x:v>0.88</x:v>
      </x:c>
      <x:c r="AA447" s="62">
        <x:v>0</x:v>
      </x:c>
      <x:c r="AB447" s="62">
        <x:v>0.82</x:v>
      </x:c>
      <x:c r="AC447" s="62">
        <x:v>0.82</x:v>
      </x:c>
      <x:c r="AD447" s="60">
        <x:v>2.48</x:v>
      </x:c>
      <x:c r="AE447" s="60">
        <x:v>2.92</x:v>
      </x:c>
      <x:c r="AF447" s="60">
        <x:v>2.79</x:v>
      </x:c>
      <x:c r="AG447" s="62">
        <x:v>0.104114498944371</x:v>
      </x:c>
      <x:c r="AH447" s="62">
        <x:v>0.0541144989443708</x:v>
      </x:c>
      <x:c r="AI447" s="62">
        <x:v>0.365202890494719</x:v>
      </x:c>
      <x:c r="AJ447" s="62">
        <x:v>0.310172317954419</x:v>
      </x:c>
      <x:c r="AK447" s="62">
        <x:v>0.324624791550862</x:v>
      </x:c>
      <x:c r="AL447" s="62">
        <x:v>1.03</x:v>
      </x:c>
      <x:c r="AM447" s="62">
        <x:v>0.95</x:v>
      </x:c>
      <x:c r="AN447" s="62">
        <x:v>0.000612952214073013</x:v>
      </x:c>
      <x:c r="AO447" s="62">
        <x:v>0.885079515198577</x:v>
      </x:c>
      <x:c r="AP447" s="62">
        <x:v>-0.0650795151985771</x:v>
      </x:c>
      <x:c r="AQ447" s="62" t="s">
        <x:v>150</x:v>
      </x:c>
      <x:c r="AR447" s="49">
        <x:v>0</x:v>
      </x:c>
      <x:c r="AS447" s="62">
        <x:v>0.366010686061692</x:v>
      </x:c>
      <x:c r="AT447" s="62">
        <x:v>0.323948560576981</x:v>
      </x:c>
      <x:c r="AU447" s="60">
        <x:v>2.44</x:v>
      </x:c>
      <x:c r="AV447" s="60">
        <x:v>2.93</x:v>
      </x:c>
      <x:c r="AW447" s="60">
        <x:v>2.83</x:v>
      </x:c>
      <x:c r="AX447" s="49" t="s">
        <x:v>1356</x:v>
      </x:c>
      <x:c r="AY447" s="49" t="s">
        <x:v>101</x:v>
      </x:c>
    </x:row>
    <x:row r="448" ht="22" customHeight="1">
      <x:c r="A448" s="49" t="s">
        <x:v>1734</x:v>
      </x:c>
      <x:c r="B448" s="49" t="s">
        <x:v>1862</x:v>
      </x:c>
      <x:c r="C448" s="49" t="s">
        <x:v>89</x:v>
      </x:c>
      <x:c r="D448" s="49" t="s">
        <x:v>116</x:v>
      </x:c>
      <x:c r="E448" s="49" t="s">
        <x:v>1863</x:v>
      </x:c>
      <x:c r="F448" s="49" t="s">
        <x:v>1864</x:v>
      </x:c>
      <x:c r="G448" s="60">
        <x:v>0.93</x:v>
      </x:c>
      <x:c r="H448" s="60">
        <x:v>1.5</x:v>
      </x:c>
      <x:c r="I448" s="60">
        <x:v>0.95</x:v>
      </x:c>
      <x:c r="J448" s="49" t="s">
        <x:v>1865</x:v>
      </x:c>
      <x:c r="K448" s="49" t="s">
        <x:v>132</x:v>
      </x:c>
      <x:c r="L448" s="49" t="s">
        <x:v>1866</x:v>
      </x:c>
      <x:c r="M448" s="61">
        <x:v>0.555</x:v>
      </x:c>
      <x:c r="N448" s="49" t="s">
        <x:v>96</x:v>
      </x:c>
      <x:c r="O448" s="49" t="s">
        <x:v>201</x:v>
      </x:c>
      <x:c r="P448" s="49" t="s">
        <x:v>30</x:v>
      </x:c>
      <x:c r="Q448" s="49" t="s">
        <x:v>11</x:v>
      </x:c>
      <x:c r="R448" s="50">
        <x:v>0.95</x:v>
      </x:c>
      <x:c r="S448" s="50">
        <x:f t="shared" si="28"/>
        <x:v>0.95</x:v>
      </x:c>
      <x:c r="T448" s="49" t="s">
        <x:v>1867</x:v>
      </x:c>
      <x:c r="U448" s="49" t="str">
        <x:f t="shared" si="30"/>
        <x:v>黑</x:v>
      </x:c>
      <x:c r="V448" s="50">
        <x:f t="shared" si="31"/>
        <x:v>0.93</x:v>
      </x:c>
      <x:c r="W448" s="50">
        <x:f t="shared" si="29"/>
        <x:v>-1</x:v>
      </x:c>
      <x:c r="X448" s="62">
        <x:v>0.96</x:v>
      </x:c>
      <x:c r="Y448" s="62">
        <x:v>1.75</x:v>
      </x:c>
      <x:c r="Z448" s="62">
        <x:v>0.92</x:v>
      </x:c>
      <x:c r="AA448" s="62">
        <x:v>1.75</x:v>
      </x:c>
      <x:c r="AB448" s="62">
        <x:v>0.92</x:v>
      </x:c>
      <x:c r="AC448" s="62">
        <x:v>0.95</x:v>
      </x:c>
      <x:c r="AD448" s="60">
        <x:v>1.26</x:v>
      </x:c>
      <x:c r="AE448" s="60">
        <x:v>5.58</x:v>
      </x:c>
      <x:c r="AF448" s="60">
        <x:v>10.17</x:v>
      </x:c>
      <x:c r="AG448" s="62">
        <x:v>0.0711906800973314</x:v>
      </x:c>
      <x:c r="AH448" s="62">
        <x:v>0.0211906800973314</x:v>
      </x:c>
      <x:c r="AI448" s="62">
        <x:v>0.74090524534687</x:v>
      </x:c>
      <x:c r="AJ448" s="62">
        <x:v>0.167301184433164</x:v>
      </x:c>
      <x:c r="AK448" s="62">
        <x:v>0.0917935702199662</x:v>
      </x:c>
      <x:c r="AL448" s="62">
        <x:v>2.28</x:v>
      </x:c>
      <x:c r="AM448" s="62">
        <x:v>0.66</x:v>
      </x:c>
      <x:c r="AN448" s="62">
        <x:v>0.000401514815450582</x:v>
      </x:c>
      <x:c r="AO448" s="62">
        <x:v>1.01495411389012</x:v>
      </x:c>
      <x:c r="AP448" s="62">
        <x:v>-0.0649541138901233</x:v>
      </x:c>
      <x:c r="AQ448" s="62" t="s">
        <x:v>289</x:v>
      </x:c>
      <x:c r="AR448" s="49">
        <x:v>1.5</x:v>
      </x:c>
      <x:c r="AS448" s="62">
        <x:v>0.496289217261317</x:v>
      </x:c>
      <x:c r="AT448" s="62">
        <x:v>0.503710782738683</x:v>
      </x:c>
      <x:c r="AU448" s="60">
        <x:v>1.32</x:v>
      </x:c>
      <x:c r="AV448" s="60">
        <x:v>5.22</x:v>
      </x:c>
      <x:c r="AW448" s="60">
        <x:v>8.36</x:v>
      </x:c>
      <x:c r="AX448" s="49" t="s">
        <x:v>1356</x:v>
      </x:c>
      <x:c r="AY448" s="49" t="s">
        <x:v>101</x:v>
      </x:c>
    </x:row>
    <x:row r="449" ht="22" customHeight="1">
      <x:c r="A449" s="49" t="s">
        <x:v>1734</x:v>
      </x:c>
      <x:c r="B449" s="49" t="s">
        <x:v>1868</x:v>
      </x:c>
      <x:c r="C449" s="49" t="s">
        <x:v>89</x:v>
      </x:c>
      <x:c r="D449" s="49" t="s">
        <x:v>116</x:v>
      </x:c>
      <x:c r="E449" s="49" t="s">
        <x:v>580</x:v>
      </x:c>
      <x:c r="F449" s="49" t="s">
        <x:v>1869</x:v>
      </x:c>
      <x:c r="G449" s="60">
        <x:v>0.83</x:v>
      </x:c>
      <x:c r="H449" s="60">
        <x:v>0</x:v>
      </x:c>
      <x:c r="I449" s="60">
        <x:v>1.05</x:v>
      </x:c>
      <x:c r="J449" s="49" t="s">
        <x:v>1584</x:v>
      </x:c>
      <x:c r="K449" s="49" t="s">
        <x:v>106</x:v>
      </x:c>
      <x:c r="L449" s="49" t="s">
        <x:v>1870</x:v>
      </x:c>
      <x:c r="M449" s="61">
        <x:v>0.576</x:v>
      </x:c>
      <x:c r="N449" s="49" t="s">
        <x:v>96</x:v>
      </x:c>
      <x:c r="O449" s="49" t="s">
        <x:v>126</x:v>
      </x:c>
      <x:c r="P449" s="49" t="s">
        <x:v>30</x:v>
      </x:c>
      <x:c r="Q449" s="49" t="s">
        <x:v>17</x:v>
      </x:c>
      <x:c r="R449" s="50">
        <x:v>0.83</x:v>
      </x:c>
      <x:c r="S449" s="50">
        <x:f t="shared" si="28"/>
        <x:v>0</x:v>
      </x:c>
      <x:c r="T449" s="49" t="s">
        <x:v>1871</x:v>
      </x:c>
      <x:c r="U449" s="49" t="str">
        <x:f t="shared" si="30"/>
        <x:v>走</x:v>
      </x:c>
      <x:c r="V449" s="50">
        <x:f t="shared" si="31"/>
        <x:v>1.05</x:v>
      </x:c>
      <x:c r="W449" s="50">
        <x:f t="shared" si="29"/>
        <x:v>0</x:v>
      </x:c>
      <x:c r="X449" s="62">
        <x:v>0.83</x:v>
      </x:c>
      <x:c r="Y449" s="62">
        <x:v>0</x:v>
      </x:c>
      <x:c r="Z449" s="62">
        <x:v>1.05</x:v>
      </x:c>
      <x:c r="AA449" s="62">
        <x:v>0</x:v>
      </x:c>
      <x:c r="AB449" s="62">
        <x:v>0.83</x:v>
      </x:c>
      <x:c r="AC449" s="62">
        <x:v>0.83</x:v>
      </x:c>
      <x:c r="AD449" s="60">
        <x:v>2.44</x:v>
      </x:c>
      <x:c r="AE449" s="60">
        <x:v>3.46</x:v>
      </x:c>
      <x:c r="AF449" s="60">
        <x:v>2.59</x:v>
      </x:c>
      <x:c r="AG449" s="62">
        <x:v>0.0849537927146189</x:v>
      </x:c>
      <x:c r="AH449" s="62">
        <x:v>0.0349537927146189</x:v>
      </x:c>
      <x:c r="AI449" s="62">
        <x:v>0.377745179864606</x:v>
      </x:c>
      <x:c r="AJ449" s="62">
        <x:v>0.26638677423978</x:v>
      </x:c>
      <x:c r="AK449" s="62">
        <x:v>0.355868045895614</x:v>
      </x:c>
      <x:c r="AL449" s="62">
        <x:v>1.3</x:v>
      </x:c>
      <x:c r="AM449" s="62">
        <x:v>1.25</x:v>
      </x:c>
      <x:c r="AN449" s="62">
        <x:v>0.000778470051775778</x:v>
      </x:c>
      <x:c r="AO449" s="62">
        <x:v>0.937566061324646</x:v>
      </x:c>
      <x:c r="AP449" s="62">
        <x:v>-0.107566061324646</x:v>
      </x:c>
      <x:c r="AQ449" s="62" t="s">
        <x:v>150</x:v>
      </x:c>
      <x:c r="AR449" s="49">
        <x:v>0</x:v>
      </x:c>
      <x:c r="AS449" s="62">
        <x:v>0.378398993803112</x:v>
      </x:c>
      <x:c r="AT449" s="62">
        <x:v>0.354774054229193</x:v>
      </x:c>
      <x:c r="AU449" s="60">
        <x:v>2.4</x:v>
      </x:c>
      <x:c r="AV449" s="60">
        <x:v>3.48</x:v>
      </x:c>
      <x:c r="AW449" s="60">
        <x:v>2.67</x:v>
      </x:c>
      <x:c r="AX449" s="49" t="s">
        <x:v>1356</x:v>
      </x:c>
      <x:c r="AY449" s="49" t="s">
        <x:v>101</x:v>
      </x:c>
    </x:row>
    <x:row r="450" ht="22" customHeight="1">
      <x:c r="A450" s="49" t="s">
        <x:v>1734</x:v>
      </x:c>
      <x:c r="B450" s="49" t="s">
        <x:v>1872</x:v>
      </x:c>
      <x:c r="C450" s="49" t="s">
        <x:v>333</x:v>
      </x:c>
      <x:c r="D450" s="49" t="s">
        <x:v>116</x:v>
      </x:c>
      <x:c r="E450" s="49" t="s">
        <x:v>730</x:v>
      </x:c>
      <x:c r="F450" s="49" t="s">
        <x:v>1873</x:v>
      </x:c>
      <x:c r="G450" s="60">
        <x:v>0.81</x:v>
      </x:c>
      <x:c r="H450" s="60">
        <x:v>0.25</x:v>
      </x:c>
      <x:c r="I450" s="60">
        <x:v>0.95</x:v>
      </x:c>
      <x:c r="J450" s="49" t="s">
        <x:v>990</x:v>
      </x:c>
      <x:c r="K450" s="49" t="s">
        <x:v>106</x:v>
      </x:c>
      <x:c r="L450" s="49" t="s">
        <x:v>1874</x:v>
      </x:c>
      <x:c r="M450" s="61">
        <x:v>0.584</x:v>
      </x:c>
      <x:c r="N450" s="49" t="s">
        <x:v>96</x:v>
      </x:c>
      <x:c r="O450" s="49" t="s">
        <x:v>273</x:v>
      </x:c>
      <x:c r="P450" s="49" t="s">
        <x:v>30</x:v>
      </x:c>
      <x:c r="Q450" s="49" t="s">
        <x:v>20</x:v>
      </x:c>
      <x:c r="R450" s="50">
        <x:v>0.81</x:v>
      </x:c>
      <x:c r="S450" s="50">
        <x:f t="shared" si="28"/>
        <x:v>-0.5</x:v>
      </x:c>
      <x:c r="T450" s="49" t="s">
        <x:v>1875</x:v>
      </x:c>
      <x:c r="U450" s="49" t="str">
        <x:f t="shared" si="30"/>
        <x:v>半红</x:v>
      </x:c>
      <x:c r="V450" s="50">
        <x:f t="shared" si="31"/>
        <x:v>0.95</x:v>
      </x:c>
      <x:c r="W450" s="50">
        <x:f t="shared" si="29"/>
        <x:v>0.475</x:v>
      </x:c>
      <x:c r="X450" s="62">
        <x:v>0.87</x:v>
      </x:c>
      <x:c r="Y450" s="62">
        <x:v>0.25</x:v>
      </x:c>
      <x:c r="Z450" s="62">
        <x:v>0.83</x:v>
      </x:c>
      <x:c r="AA450" s="62">
        <x:v>-0.25</x:v>
      </x:c>
      <x:c r="AB450" s="62">
        <x:v>0.87</x:v>
      </x:c>
      <x:c r="AC450" s="62">
        <x:v>0.81</x:v>
      </x:c>
      <x:c r="AD450" s="60">
        <x:v>2.12</x:v>
      </x:c>
      <x:c r="AE450" s="60">
        <x:v>3.49</x:v>
      </x:c>
      <x:c r="AF450" s="60">
        <x:v>2.9</x:v>
      </x:c>
      <x:c r="AG450" s="62">
        <x:v>0.103058650703842</x:v>
      </x:c>
      <x:c r="AH450" s="62">
        <x:v>0.053058650703842</x:v>
      </x:c>
      <x:c r="AI450" s="62">
        <x:v>0.427627409391663</x:v>
      </x:c>
      <x:c r="AJ450" s="62">
        <x:v>0.259762208570294</x:v>
      </x:c>
      <x:c r="AK450" s="62">
        <x:v>0.312610382038043</x:v>
      </x:c>
      <x:c r="AL450" s="62">
        <x:v>1.44</x:v>
      </x:c>
      <x:c r="AM450" s="62">
        <x:v>1.19</x:v>
      </x:c>
      <x:c r="AN450" s="62">
        <x:v>0.000502856217465139</x:v>
      </x:c>
      <x:c r="AO450" s="62">
        <x:v>1.03180425746305</x:v>
      </x:c>
      <x:c r="AP450" s="62">
        <x:v>-0.221804257463052</x:v>
      </x:c>
      <x:c r="AQ450" s="62" t="s">
        <x:v>99</x:v>
      </x:c>
      <x:c r="AR450" s="49">
        <x:v>-0.25</x:v>
      </x:c>
      <x:c r="AS450" s="62">
        <x:v>0.42825566028092</x:v>
      </x:c>
      <x:c r="AT450" s="62">
        <x:v>0.441876013560503</x:v>
      </x:c>
      <x:c r="AU450" s="60">
        <x:v>2.08</x:v>
      </x:c>
      <x:c r="AV450" s="60">
        <x:v>3.47</x:v>
      </x:c>
      <x:c r="AW450" s="60">
        <x:v>3.02</x:v>
      </x:c>
      <x:c r="AX450" s="49" t="s">
        <x:v>1356</x:v>
      </x:c>
      <x:c r="AY450" s="49" t="s">
        <x:v>101</x:v>
      </x:c>
    </x:row>
    <x:row r="451" ht="22" customHeight="1">
      <x:c r="A451" s="49" t="s">
        <x:v>1734</x:v>
      </x:c>
      <x:c r="B451" s="49" t="s">
        <x:v>1876</x:v>
      </x:c>
      <x:c r="C451" s="49" t="s">
        <x:v>333</x:v>
      </x:c>
      <x:c r="D451" s="49" t="s">
        <x:v>116</x:v>
      </x:c>
      <x:c r="E451" s="49" t="s">
        <x:v>602</x:v>
      </x:c>
      <x:c r="F451" s="49" t="s">
        <x:v>1877</x:v>
      </x:c>
      <x:c r="G451" s="60">
        <x:v>1.02</x:v>
      </x:c>
      <x:c r="H451" s="60">
        <x:v>-0.75</x:v>
      </x:c>
      <x:c r="I451" s="60">
        <x:v>0.86</x:v>
      </x:c>
      <x:c r="J451" s="49" t="s">
        <x:v>1878</x:v>
      </x:c>
      <x:c r="K451" s="49" t="s">
        <x:v>132</x:v>
      </x:c>
      <x:c r="L451" s="49" t="s">
        <x:v>1091</x:v>
      </x:c>
      <x:c r="M451" s="61">
        <x:v>0.559</x:v>
      </x:c>
      <x:c r="N451" s="49" t="s">
        <x:v>96</x:v>
      </x:c>
      <x:c r="O451" s="49" t="s">
        <x:v>178</x:v>
      </x:c>
      <x:c r="P451" s="49" t="s">
        <x:v>30</x:v>
      </x:c>
      <x:c r="Q451" s="49" t="s">
        <x:v>23</x:v>
      </x:c>
      <x:c r="R451" s="50">
        <x:v>0.86</x:v>
      </x:c>
      <x:c r="S451" s="50">
        <x:f t="shared" si="28"/>
        <x:v>-1</x:v>
      </x:c>
      <x:c r="T451" s="49" t="s">
        <x:v>1879</x:v>
      </x:c>
      <x:c r="U451" s="49" t="str">
        <x:f t="shared" si="30"/>
        <x:v>红</x:v>
      </x:c>
      <x:c r="V451" s="50">
        <x:f t="shared" si="31"/>
        <x:v>1.02</x:v>
      </x:c>
      <x:c r="W451" s="50">
        <x:f t="shared" si="29"/>
        <x:v>1.02</x:v>
      </x:c>
      <x:c r="X451" s="62">
        <x:v>0.82</x:v>
      </x:c>
      <x:c r="Y451" s="62">
        <x:v>-1</x:v>
      </x:c>
      <x:c r="Z451" s="62">
        <x:v>1.06</x:v>
      </x:c>
      <x:c r="AA451" s="62">
        <x:v>-1</x:v>
      </x:c>
      <x:c r="AB451" s="62">
        <x:v>1.06</x:v>
      </x:c>
      <x:c r="AC451" s="62">
        <x:v>0.86</x:v>
      </x:c>
      <x:c r="AD451" s="60">
        <x:v>5.39</x:v>
      </x:c>
      <x:c r="AE451" s="60">
        <x:v>3.91</x:v>
      </x:c>
      <x:c r="AF451" s="60">
        <x:v>1.61</x:v>
      </x:c>
      <x:c r="AG451" s="62">
        <x:v>0.0624012450830134</x:v>
      </x:c>
      <x:c r="AH451" s="62">
        <x:v>0.0124012450830134</x:v>
      </x:c>
      <x:c r="AI451" s="62">
        <x:v>0.174631531933899</x:v>
      </x:c>
      <x:c r="AJ451" s="62">
        <x:v>0.240732469852613</x:v>
      </x:c>
      <x:c r="AK451" s="62">
        <x:v>0.584635998213488</x:v>
      </x:c>
      <x:c r="AL451" s="62">
        <x:v>0.79</x:v>
      </x:c>
      <x:c r="AM451" s="62">
        <x:v>1.67</x:v>
      </x:c>
      <x:c r="AN451" s="62">
        <x:v>0.000785102360164524</x:v>
      </x:c>
      <x:c r="AO451" s="62">
        <x:v>0.918218514166958</x:v>
      </x:c>
      <x:c r="AP451" s="62">
        <x:v>-0.0582185141669576</x:v>
      </x:c>
      <x:c r="AQ451" s="62" t="s">
        <x:v>99</x:v>
      </x:c>
      <x:c r="AR451" s="49">
        <x:v>-0.75</x:v>
      </x:c>
      <x:c r="AS451" s="62">
        <x:v>0.45356678703136</x:v>
      </x:c>
      <x:c r="AT451" s="62">
        <x:v>0.416473421263416</x:v>
      </x:c>
      <x:c r="AU451" s="60">
        <x:v>5.14</x:v>
      </x:c>
      <x:c r="AV451" s="60">
        <x:v>3.96</x:v>
      </x:c>
      <x:c r="AW451" s="60">
        <x:v>1.64</x:v>
      </x:c>
      <x:c r="AX451" s="49" t="s">
        <x:v>1356</x:v>
      </x:c>
      <x:c r="AY451" s="49" t="s">
        <x:v>101</x:v>
      </x:c>
    </x:row>
    <x:row r="452" ht="22" customHeight="1">
      <x:c r="A452" s="49" t="s">
        <x:v>1734</x:v>
      </x:c>
      <x:c r="B452" s="49" t="s">
        <x:v>1880</x:v>
      </x:c>
      <x:c r="C452" s="49" t="s">
        <x:v>333</x:v>
      </x:c>
      <x:c r="D452" s="49" t="s">
        <x:v>116</x:v>
      </x:c>
      <x:c r="E452" s="49" t="s">
        <x:v>927</x:v>
      </x:c>
      <x:c r="F452" s="49" t="s">
        <x:v>1881</x:v>
      </x:c>
      <x:c r="G452" s="60">
        <x:v>0.92</x:v>
      </x:c>
      <x:c r="H452" s="60">
        <x:v>-0.25</x:v>
      </x:c>
      <x:c r="I452" s="60">
        <x:v>0.78</x:v>
      </x:c>
      <x:c r="J452" s="49" t="s">
        <x:v>1882</x:v>
      </x:c>
      <x:c r="K452" s="49" t="s">
        <x:v>106</x:v>
      </x:c>
      <x:c r="L452" s="49" t="s">
        <x:v>336</x:v>
      </x:c>
      <x:c r="M452" s="61">
        <x:v>0.584</x:v>
      </x:c>
      <x:c r="N452" s="49" t="s">
        <x:v>96</x:v>
      </x:c>
      <x:c r="O452" s="49" t="s">
        <x:v>149</x:v>
      </x:c>
      <x:c r="P452" s="49" t="s">
        <x:v>30</x:v>
      </x:c>
      <x:c r="Q452" s="49" t="s">
        <x:v>20</x:v>
      </x:c>
      <x:c r="R452" s="50">
        <x:v>0.78</x:v>
      </x:c>
      <x:c r="S452" s="50" t="n">
        <x:f t="shared" ref="S452:S515" si="32">IF(OR(Q452="",Q452="待结算"),"",IF(Q452="红",R452,IF(Q452="半红",R452*0.5,IF(Q452="走",0,IF(Q452="半黑",-0.5,-1)))))</x:f>
        <x:v>-0.5</x:v>
      </x:c>
      <x:c r="T452" s="49" t="s">
        <x:v>1883</x:v>
      </x:c>
      <x:c r="U452" s="49" t="str">
        <x:f t="shared" si="30"/>
        <x:v>半红</x:v>
      </x:c>
      <x:c r="V452" s="50">
        <x:f t="shared" si="31"/>
        <x:v>0.92</x:v>
      </x:c>
      <x:c r="W452" s="50" t="n">
        <x:f t="shared" ref="W452:W515" si="33">IF(OR(U452="",U452="待结算"),"",IF(U452="红",V452,IF(U452="半红",V452*0.5,IF(U452="走",0,IF(U452="半黑",-0.5,-1)))))</x:f>
        <x:v>0.46</x:v>
      </x:c>
      <x:c r="X452" s="62">
        <x:v>0.92</x:v>
      </x:c>
      <x:c r="Y452" s="62">
        <x:v>-0.25</x:v>
      </x:c>
      <x:c r="Z452" s="62">
        <x:v>0.78</x:v>
      </x:c>
      <x:c r="AA452" s="62">
        <x:v>-0.25</x:v>
      </x:c>
      <x:c r="AB452" s="62">
        <x:v>0.78</x:v>
      </x:c>
      <x:c r="AC452" s="62">
        <x:v>0.78</x:v>
      </x:c>
      <x:c r="AD452" s="60">
        <x:v>3.33</x:v>
      </x:c>
      <x:c r="AE452" s="60">
        <x:v>2.89</x:v>
      </x:c>
      <x:c r="AF452" s="60">
        <x:v>2.18</x:v>
      </x:c>
      <x:c r="AG452" s="62">
        <x:v>0.10503665787625</x:v>
      </x:c>
      <x:c r="AH452" s="62">
        <x:v>0.0550366578762503</x:v>
      </x:c>
      <x:c r="AI452" s="62">
        <x:v>0.271755962265942</x:v>
      </x:c>
      <x:c r="AJ452" s="62">
        <x:v>0.313130572437919</x:v>
      </x:c>
      <x:c r="AK452" s="62">
        <x:v>0.41511346529614</x:v>
      </x:c>
      <x:c r="AL452" s="62">
        <x:v>0.82</x:v>
      </x:c>
      <x:c r="AM452" s="62">
        <x:v>1.09</x:v>
      </x:c>
      <x:c r="AN452" s="62">
        <x:v>9.04810939979051e-5</x:v>
      </x:c>
      <x:c r="AO452" s="62">
        <x:v>1.03126073404231</x:v>
      </x:c>
      <x:c r="AP452" s="62">
        <x:v>-0.251260734042314</x:v>
      </x:c>
      <x:c r="AQ452" s="62" t="s">
        <x:v>99</x:v>
      </x:c>
      <x:c r="AR452" s="49">
        <x:v>-0.25</x:v>
      </x:c>
      <x:c r="AS452" s="62">
        <x:v>0.41523070114633</x:v>
      </x:c>
      <x:c r="AT452" s="62">
        <x:v>0.428211117661069</x:v>
      </x:c>
      <x:c r="AU452" s="60">
        <x:v>3.47</x:v>
      </x:c>
      <x:c r="AV452" s="60">
        <x:v>2.89</x:v>
      </x:c>
      <x:c r="AW452" s="60">
        <x:v>2.11</x:v>
      </x:c>
      <x:c r="AX452" s="49" t="s">
        <x:v>1356</x:v>
      </x:c>
      <x:c r="AY452" s="49" t="s">
        <x:v>101</x:v>
      </x:c>
    </x:row>
    <x:row r="453" ht="22" customHeight="1">
      <x:c r="A453" s="49" t="s">
        <x:v>1884</x:v>
      </x:c>
      <x:c r="B453" s="49" t="s">
        <x:v>1885</x:v>
      </x:c>
      <x:c r="C453" s="49" t="s">
        <x:v>89</x:v>
      </x:c>
      <x:c r="D453" s="49" t="s">
        <x:v>116</x:v>
      </x:c>
      <x:c r="E453" s="49" t="s">
        <x:v>812</x:v>
      </x:c>
      <x:c r="F453" s="49" t="s">
        <x:v>1886</x:v>
      </x:c>
      <x:c r="G453" s="60">
        <x:v>0.98</x:v>
      </x:c>
      <x:c r="H453" s="60">
        <x:v>-0.25</x:v>
      </x:c>
      <x:c r="I453" s="60">
        <x:v>0.84</x:v>
      </x:c>
      <x:c r="J453" s="49" t="s">
        <x:v>661</x:v>
      </x:c>
      <x:c r="K453" s="49" t="s">
        <x:v>132</x:v>
      </x:c>
      <x:c r="L453" s="49" t="s">
        <x:v>1887</x:v>
      </x:c>
      <x:c r="M453" s="61">
        <x:v>0.555</x:v>
      </x:c>
      <x:c r="N453" s="49" t="s">
        <x:v>1888</x:v>
      </x:c>
      <x:c r="O453" s="49" t="s">
        <x:v>126</x:v>
      </x:c>
      <x:c r="P453" s="49" t="s">
        <x:v>30</x:v>
      </x:c>
      <x:c r="Q453" s="63" t="s">
        <x:v>14</x:v>
      </x:c>
      <x:c r="R453" s="50">
        <x:v>0.98</x:v>
      </x:c>
      <x:c r="S453" s="50">
        <x:f t="shared" si="32"/>
        <x:v>0.49</x:v>
      </x:c>
      <x:c r="T453" s="49" t="s">
        <x:v>1889</x:v>
      </x:c>
      <x:c r="U453" s="49" t="str">
        <x:f t="shared" si="30"/>
        <x:v>半黑</x:v>
      </x:c>
      <x:c r="V453" s="50">
        <x:f t="shared" si="31"/>
        <x:v>0.84</x:v>
      </x:c>
      <x:c r="W453" s="50">
        <x:f t="shared" si="33"/>
        <x:v>-0.5</x:v>
      </x:c>
      <x:c r="X453" s="62">
        <x:v>0.78</x:v>
      </x:c>
      <x:c r="Y453" s="62">
        <x:v>-0.5</x:v>
      </x:c>
      <x:c r="Z453" s="62">
        <x:v>0.92</x:v>
      </x:c>
      <x:c r="AA453" s="62">
        <x:v>0.5</x:v>
      </x:c>
      <x:c r="AB453" s="62">
        <x:v>0.78</x:v>
      </x:c>
      <x:c r="AC453" s="62">
        <x:v>0.98</x:v>
      </x:c>
      <x:c r="AD453" s="60">
        <x:v>3.4</x:v>
      </x:c>
      <x:c r="AE453" s="60">
        <x:v>3.13</x:v>
      </x:c>
      <x:c r="AF453" s="60">
        <x:v>2.08</x:v>
      </x:c>
      <x:c r="AG453" s="62">
        <x:v>0.0943756957194282</x:v>
      </x:c>
      <x:c r="AH453" s="62">
        <x:v>0.0443756957194282</x:v>
      </x:c>
      <x:c r="AI453" s="62">
        <x:v>0.268753818464028</x:v>
      </x:c>
      <x:c r="AJ453" s="62">
        <x:v>0.291937055200542</x:v>
      </x:c>
      <x:c r="AK453" s="62">
        <x:v>0.43930912633543</x:v>
      </x:c>
      <x:c r="AL453" s="62">
        <x:v>0.89</x:v>
      </x:c>
      <x:c r="AM453" s="62">
        <x:v>1.23</x:v>
      </x:c>
      <x:c r="AN453" s="62">
        <x:v>0.000955390414416263</x:v>
      </x:c>
      <x:c r="AO453" s="62">
        <x:v>1.06490995783179</x:v>
      </x:c>
      <x:c r="AP453" s="62">
        <x:v>-0.0849099578317907</x:v>
      </x:c>
      <x:c r="AQ453" s="62" t="s">
        <x:v>289</x:v>
      </x:c>
      <x:c r="AR453" s="49">
        <x:v>0.25</x:v>
      </x:c>
      <x:c r="AS453" s="62">
        <x:v>0.413558579116697</x:v>
      </x:c>
      <x:c r="AT453" s="62">
        <x:v>0.440402649048137</x:v>
      </x:c>
      <x:c r="AU453" s="60">
        <x:v>3.29</x:v>
      </x:c>
      <x:c r="AV453" s="60">
        <x:v>3.15</x:v>
      </x:c>
      <x:c r="AW453" s="60">
        <x:v>2.15</x:v>
      </x:c>
      <x:c r="AX453" s="49" t="s">
        <x:v>1890</x:v>
      </x:c>
      <x:c r="AY453" s="49" t="s">
        <x:v>101</x:v>
      </x:c>
    </x:row>
    <x:row r="454" ht="22" customHeight="1">
      <x:c r="A454" s="49" t="s">
        <x:v>1884</x:v>
      </x:c>
      <x:c r="B454" s="49" t="s">
        <x:v>1891</x:v>
      </x:c>
      <x:c r="C454" s="49" t="s">
        <x:v>89</x:v>
      </x:c>
      <x:c r="D454" s="49" t="s">
        <x:v>116</x:v>
      </x:c>
      <x:c r="E454" s="49" t="s">
        <x:v>883</x:v>
      </x:c>
      <x:c r="F454" s="49" t="s">
        <x:v>1892</x:v>
      </x:c>
      <x:c r="G454" s="60">
        <x:v>1</x:v>
      </x:c>
      <x:c r="H454" s="60">
        <x:v>-0.25</x:v>
      </x:c>
      <x:c r="I454" s="60">
        <x:v>0.82</x:v>
      </x:c>
      <x:c r="J454" s="49" t="s">
        <x:v>696</x:v>
      </x:c>
      <x:c r="K454" s="49" t="s">
        <x:v>106</x:v>
      </x:c>
      <x:c r="L454" s="49" t="s">
        <x:v>1893</x:v>
      </x:c>
      <x:c r="M454" s="61">
        <x:v>0.576</x:v>
      </x:c>
      <x:c r="N454" s="49" t="s">
        <x:v>1888</x:v>
      </x:c>
      <x:c r="O454" s="49" t="s">
        <x:v>273</x:v>
      </x:c>
      <x:c r="P454" s="49" t="s">
        <x:v>30</x:v>
      </x:c>
      <x:c r="Q454" s="64" t="s">
        <x:v>20</x:v>
      </x:c>
      <x:c r="R454" s="50">
        <x:v>0.82</x:v>
      </x:c>
      <x:c r="S454" s="50">
        <x:f t="shared" si="32"/>
        <x:v>-0.5</x:v>
      </x:c>
      <x:c r="T454" s="49" t="s">
        <x:v>1894</x:v>
      </x:c>
      <x:c r="U454" s="49" t="str">
        <x:f t="shared" si="30"/>
        <x:v>半红</x:v>
      </x:c>
      <x:c r="V454" s="50">
        <x:f t="shared" si="31"/>
        <x:v>1</x:v>
      </x:c>
      <x:c r="W454" s="50">
        <x:f t="shared" si="33"/>
        <x:v>0.5</x:v>
      </x:c>
      <x:c r="X454" s="62">
        <x:v>0.92</x:v>
      </x:c>
      <x:c r="Y454" s="62">
        <x:v>-0.25</x:v>
      </x:c>
      <x:c r="Z454" s="62">
        <x:v>0.84</x:v>
      </x:c>
      <x:c r="AA454" s="62">
        <x:v>-0.25</x:v>
      </x:c>
      <x:c r="AB454" s="62">
        <x:v>0.84</x:v>
      </x:c>
      <x:c r="AC454" s="62">
        <x:v>0.82</x:v>
      </x:c>
      <x:c r="AD454" s="60">
        <x:v>3.12</x:v>
      </x:c>
      <x:c r="AE454" s="60">
        <x:v>3.28</x:v>
      </x:c>
      <x:c r="AF454" s="60">
        <x:v>2.13</x:v>
      </x:c>
      <x:c r="AG454" s="62">
        <x:v>0.0948744373684258</x:v>
      </x:c>
      <x:c r="AH454" s="62">
        <x:v>0.0448744373684258</x:v>
      </x:c>
      <x:c r="AI454" s="62">
        <x:v>0.292739340305712</x:v>
      </x:c>
      <x:c r="AJ454" s="62">
        <x:v>0.278459372485921</x:v>
      </x:c>
      <x:c r="AK454" s="62">
        <x:v>0.428801287208367</x:v>
      </x:c>
      <x:c r="AL454" s="62">
        <x:v>1.02</x:v>
      </x:c>
      <x:c r="AM454" s="62">
        <x:v>1.3</x:v>
      </x:c>
      <x:c r="AN454" s="62">
        <x:v>0.000543884112102324</x:v>
      </x:c>
      <x:c r="AO454" s="62">
        <x:v>1.00471994474758</x:v>
      </x:c>
      <x:c r="AP454" s="62">
        <x:v>-0.184719944747579</x:v>
      </x:c>
      <x:c r="AQ454" s="62" t="s">
        <x:v>99</x:v>
      </x:c>
      <x:c r="AR454" s="49">
        <x:v>-0.25</x:v>
      </x:c>
      <x:c r="AS454" s="62">
        <x:v>0.429310991714152</x:v>
      </x:c>
      <x:c r="AT454" s="62">
        <x:v>0.431337315874571</x:v>
      </x:c>
      <x:c r="AU454" s="60">
        <x:v>3.3</x:v>
      </x:c>
      <x:c r="AV454" s="60">
        <x:v>3.27</x:v>
      </x:c>
      <x:c r="AW454" s="60">
        <x:v>2.08</x:v>
      </x:c>
      <x:c r="AX454" s="49" t="s">
        <x:v>1890</x:v>
      </x:c>
      <x:c r="AY454" s="49" t="s">
        <x:v>101</x:v>
      </x:c>
    </x:row>
    <x:row r="455" ht="22" customHeight="1">
      <x:c r="A455" s="49" t="s">
        <x:v>1884</x:v>
      </x:c>
      <x:c r="B455" s="49" t="s">
        <x:v>1895</x:v>
      </x:c>
      <x:c r="C455" s="49" t="s">
        <x:v>89</x:v>
      </x:c>
      <x:c r="D455" s="49" t="s">
        <x:v>116</x:v>
      </x:c>
      <x:c r="E455" s="49" t="s">
        <x:v>812</x:v>
      </x:c>
      <x:c r="F455" s="49" t="s">
        <x:v>1896</x:v>
      </x:c>
      <x:c r="G455" s="60">
        <x:v>1.02</x:v>
      </x:c>
      <x:c r="H455" s="60">
        <x:v>-0.25</x:v>
      </x:c>
      <x:c r="I455" s="60">
        <x:v>0.8</x:v>
      </x:c>
      <x:c r="J455" s="49" t="s">
        <x:v>676</x:v>
      </x:c>
      <x:c r="K455" s="49" t="s">
        <x:v>132</x:v>
      </x:c>
      <x:c r="L455" s="49" t="s">
        <x:v>1897</x:v>
      </x:c>
      <x:c r="M455" s="61">
        <x:v>0.555</x:v>
      </x:c>
      <x:c r="N455" s="49" t="s">
        <x:v>1888</x:v>
      </x:c>
      <x:c r="O455" s="49" t="s">
        <x:v>169</x:v>
      </x:c>
      <x:c r="P455" s="49" t="s">
        <x:v>30</x:v>
      </x:c>
      <x:c r="Q455" s="64" t="s">
        <x:v>23</x:v>
      </x:c>
      <x:c r="R455" s="50">
        <x:v>1.02</x:v>
      </x:c>
      <x:c r="S455" s="50">
        <x:f t="shared" si="32"/>
        <x:v>-1</x:v>
      </x:c>
      <x:c r="T455" s="49" t="s">
        <x:v>1898</x:v>
      </x:c>
      <x:c r="U455" s="49" t="str">
        <x:f t="shared" si="30"/>
        <x:v>红</x:v>
      </x:c>
      <x:c r="V455" s="50">
        <x:f t="shared" si="31"/>
        <x:v>0.8</x:v>
      </x:c>
      <x:c r="W455" s="50">
        <x:f t="shared" si="33"/>
        <x:v>0.8</x:v>
      </x:c>
      <x:c r="X455" s="62">
        <x:v>0.9</x:v>
      </x:c>
      <x:c r="Y455" s="62">
        <x:v>-0.5</x:v>
      </x:c>
      <x:c r="Z455" s="62">
        <x:v>0.8</x:v>
      </x:c>
      <x:c r="AA455" s="62">
        <x:v>0.5</x:v>
      </x:c>
      <x:c r="AB455" s="62">
        <x:v>0.9</x:v>
      </x:c>
      <x:c r="AC455" s="62">
        <x:v>1.02</x:v>
      </x:c>
      <x:c r="AD455" s="60">
        <x:v>3.62</x:v>
      </x:c>
      <x:c r="AE455" s="60">
        <x:v>3.27</x:v>
      </x:c>
      <x:c r="AF455" s="60">
        <x:v>1.96</x:v>
      </x:c>
      <x:c r="AG455" s="62">
        <x:v>0.0922575731088218</x:v>
      </x:c>
      <x:c r="AH455" s="62">
        <x:v>0.0422575731088218</x:v>
      </x:c>
      <x:c r="AI455" s="62">
        <x:v>0.25291021158718</x:v>
      </x:c>
      <x:c r="AJ455" s="62">
        <x:v>0.279980111909967</x:v>
      </x:c>
      <x:c r="AK455" s="62">
        <x:v>0.467109676502853</x:v>
      </x:c>
      <x:c r="AL455" s="62">
        <x:v>0.9</x:v>
      </x:c>
      <x:c r="AM455" s="62">
        <x:v>1.33</x:v>
      </x:c>
      <x:c r="AN455" s="62">
        <x:v>0.000392164080897704</x:v>
      </x:c>
      <x:c r="AO455" s="62">
        <x:v>1.18624955503775</x:v>
      </x:c>
      <x:c r="AP455" s="62">
        <x:v>-0.166249555037747</x:v>
      </x:c>
      <x:c r="AQ455" s="62" t="s">
        <x:v>289</x:v>
      </x:c>
      <x:c r="AR455" s="49">
        <x:v>0.25</x:v>
      </x:c>
      <x:c r="AS455" s="62">
        <x:v>0.393303256900052</x:v>
      </x:c>
      <x:c r="AT455" s="62">
        <x:v>0.466555813492584</x:v>
      </x:c>
      <x:c r="AU455" s="60">
        <x:v>3.54</x:v>
      </x:c>
      <x:c r="AV455" s="60">
        <x:v>3.17</x:v>
      </x:c>
      <x:c r="AW455" s="60">
        <x:v>2.04</x:v>
      </x:c>
      <x:c r="AX455" s="49" t="s">
        <x:v>1890</x:v>
      </x:c>
      <x:c r="AY455" s="49" t="s">
        <x:v>101</x:v>
      </x:c>
    </x:row>
    <x:row r="456" ht="22" customHeight="1">
      <x:c r="A456" s="49" t="s">
        <x:v>1884</x:v>
      </x:c>
      <x:c r="B456" s="49" t="s">
        <x:v>1895</x:v>
      </x:c>
      <x:c r="C456" s="49" t="s">
        <x:v>333</x:v>
      </x:c>
      <x:c r="D456" s="49" t="s">
        <x:v>116</x:v>
      </x:c>
      <x:c r="E456" s="49" t="s">
        <x:v>602</x:v>
      </x:c>
      <x:c r="F456" s="49" t="s">
        <x:v>1899</x:v>
      </x:c>
      <x:c r="G456" s="60">
        <x:v>0.84</x:v>
      </x:c>
      <x:c r="H456" s="60">
        <x:v>1.75</x:v>
      </x:c>
      <x:c r="I456" s="60">
        <x:v>1.05</x:v>
      </x:c>
      <x:c r="J456" s="49" t="s">
        <x:v>1900</x:v>
      </x:c>
      <x:c r="K456" s="49" t="s">
        <x:v>106</x:v>
      </x:c>
      <x:c r="L456" s="49" t="s">
        <x:v>605</x:v>
      </x:c>
      <x:c r="M456" s="61">
        <x:v>0.584</x:v>
      </x:c>
      <x:c r="N456" s="49" t="s">
        <x:v>1888</x:v>
      </x:c>
      <x:c r="O456" s="49" t="s">
        <x:v>231</x:v>
      </x:c>
      <x:c r="P456" s="49" t="s">
        <x:v>30</x:v>
      </x:c>
      <x:c r="Q456" s="64" t="s">
        <x:v>23</x:v>
      </x:c>
      <x:c r="R456" s="50">
        <x:v>0.84</x:v>
      </x:c>
      <x:c r="S456" s="50">
        <x:f t="shared" si="32"/>
        <x:v>-1</x:v>
      </x:c>
      <x:c r="T456" s="49" t="s">
        <x:v>1901</x:v>
      </x:c>
      <x:c r="U456" s="49" t="str">
        <x:f t="shared" si="30"/>
        <x:v>红</x:v>
      </x:c>
      <x:c r="V456" s="50">
        <x:f t="shared" si="31"/>
        <x:v>1.05</x:v>
      </x:c>
      <x:c r="W456" s="50">
        <x:f t="shared" si="33"/>
        <x:v>1.05</x:v>
      </x:c>
      <x:c r="X456" s="62">
        <x:v>0.82</x:v>
      </x:c>
      <x:c r="Y456" s="62">
        <x:v>1.25</x:v>
      </x:c>
      <x:c r="Z456" s="62">
        <x:v>1.06</x:v>
      </x:c>
      <x:c r="AA456" s="62">
        <x:v>-1.25</x:v>
      </x:c>
      <x:c r="AB456" s="62">
        <x:v>0.82</x:v>
      </x:c>
      <x:c r="AC456" s="62">
        <x:v>0.84</x:v>
      </x:c>
      <x:c r="AD456" s="60">
        <x:v>1.26</x:v>
      </x:c>
      <x:c r="AE456" s="60">
        <x:v>5.53</x:v>
      </x:c>
      <x:c r="AF456" s="60">
        <x:v>11.88</x:v>
      </x:c>
      <x:c r="AG456" s="62">
        <x:v>0.0586577042273244</x:v>
      </x:c>
      <x:c r="AH456" s="62">
        <x:v>0.00865770422732441</x:v>
      </x:c>
      <x:c r="AI456" s="62">
        <x:v>0.749676491732566</x:v>
      </x:c>
      <x:c r="AJ456" s="62">
        <x:v>0.170812365204889</x:v>
      </x:c>
      <x:c r="AK456" s="62">
        <x:v>0.0795111430625449</x:v>
      </x:c>
      <x:c r="AL456" s="62">
        <x:v>2.18</x:v>
      </x:c>
      <x:c r="AM456" s="62">
        <x:v>0.55</x:v>
      </x:c>
      <x:c r="AN456" s="62">
        <x:v>0.000558291559603439</x:v>
      </x:c>
      <x:c r="AO456" s="62">
        <x:v>1.26912516667564</x:v>
      </x:c>
      <x:c r="AP456" s="62">
        <x:v>-0.429125166675644</x:v>
      </x:c>
      <x:c r="AQ456" s="62" t="s">
        <x:v>99</x:v>
      </x:c>
      <x:c r="AR456" s="49">
        <x:v>-1.75</x:v>
      </x:c>
      <x:c r="AS456" s="62">
        <x:v>0.390684593332547</x:v>
      </x:c>
      <x:c r="AT456" s="62">
        <x:v>0.495827649630775</x:v>
      </x:c>
      <x:c r="AU456" s="60">
        <x:v>1.22</x:v>
      </x:c>
      <x:c r="AV456" s="60">
        <x:v>6.31</x:v>
      </x:c>
      <x:c r="AW456" s="60">
        <x:v>13.31</x:v>
      </x:c>
      <x:c r="AX456" s="49" t="s">
        <x:v>1890</x:v>
      </x:c>
      <x:c r="AY456" s="49" t="s">
        <x:v>101</x:v>
      </x:c>
    </x:row>
    <x:row r="457" ht="22" customHeight="1">
      <x:c r="A457" s="49" t="s">
        <x:v>1884</x:v>
      </x:c>
      <x:c r="B457" s="49" t="s">
        <x:v>1895</x:v>
      </x:c>
      <x:c r="C457" s="49" t="s">
        <x:v>333</x:v>
      </x:c>
      <x:c r="D457" s="49" t="s">
        <x:v>116</x:v>
      </x:c>
      <x:c r="E457" s="49" t="s">
        <x:v>602</x:v>
      </x:c>
      <x:c r="F457" s="49" t="s">
        <x:v>1902</x:v>
      </x:c>
      <x:c r="G457" s="60">
        <x:v>1.03</x:v>
      </x:c>
      <x:c r="H457" s="60">
        <x:v>-1</x:v>
      </x:c>
      <x:c r="I457" s="60">
        <x:v>0.86</x:v>
      </x:c>
      <x:c r="J457" s="49" t="s">
        <x:v>1903</x:v>
      </x:c>
      <x:c r="K457" s="49" t="s">
        <x:v>106</x:v>
      </x:c>
      <x:c r="L457" s="49" t="s">
        <x:v>1391</x:v>
      </x:c>
      <x:c r="M457" s="61">
        <x:v>0.584</x:v>
      </x:c>
      <x:c r="N457" s="49" t="s">
        <x:v>1888</x:v>
      </x:c>
      <x:c r="O457" s="49" t="s">
        <x:v>114</x:v>
      </x:c>
      <x:c r="P457" s="49" t="s">
        <x:v>30</x:v>
      </x:c>
      <x:c r="Q457" s="63" t="s">
        <x:v>11</x:v>
      </x:c>
      <x:c r="R457" s="50">
        <x:v>0.86</x:v>
      </x:c>
      <x:c r="S457" s="50">
        <x:f t="shared" si="32"/>
        <x:v>0.86</x:v>
      </x:c>
      <x:c r="T457" s="49" t="s">
        <x:v>1904</x:v>
      </x:c>
      <x:c r="U457" s="49" t="str">
        <x:f t="shared" si="30"/>
        <x:v>黑</x:v>
      </x:c>
      <x:c r="V457" s="50">
        <x:f t="shared" si="31"/>
        <x:v>1.03</x:v>
      </x:c>
      <x:c r="W457" s="50">
        <x:f t="shared" si="33"/>
        <x:v>-1</x:v>
      </x:c>
      <x:c r="X457" s="62">
        <x:v>0.96</x:v>
      </x:c>
      <x:c r="Y457" s="62">
        <x:v>-0.75</x:v>
      </x:c>
      <x:c r="Z457" s="62">
        <x:v>0.92</x:v>
      </x:c>
      <x:c r="AA457" s="62">
        <x:v>-0.75</x:v>
      </x:c>
      <x:c r="AB457" s="62">
        <x:v>0.92</x:v>
      </x:c>
      <x:c r="AC457" s="62">
        <x:v>0.86</x:v>
      </x:c>
      <x:c r="AD457" s="60">
        <x:v>5.22</x:v>
      </x:c>
      <x:c r="AE457" s="60">
        <x:v>3.73</x:v>
      </x:c>
      <x:c r="AF457" s="60">
        <x:v>1.67</x:v>
      </x:c>
      <x:c r="AG457" s="62">
        <x:v>0.0584697911809429</x:v>
      </x:c>
      <x:c r="AH457" s="62">
        <x:v>0.00846979118094286</x:v>
      </x:c>
      <x:c r="AI457" s="62">
        <x:v>0.180988520241392</x:v>
      </x:c>
      <x:c r="AJ457" s="62">
        <x:v>0.253286883554977</x:v>
      </x:c>
      <x:c r="AK457" s="62">
        <x:v>0.565724596203631</x:v>
      </x:c>
      <x:c r="AL457" s="62">
        <x:v>0.76</x:v>
      </x:c>
      <x:c r="AM457" s="62">
        <x:v>1.57</x:v>
      </x:c>
      <x:c r="AN457" s="62">
        <x:v>0.000689940926789163</x:v>
      </x:c>
      <x:c r="AO457" s="62">
        <x:v>1.43123818014661</x:v>
      </x:c>
      <x:c r="AP457" s="62">
        <x:v>-0.571238180146606</x:v>
      </x:c>
      <x:c r="AQ457" s="62" t="s">
        <x:v>99</x:v>
      </x:c>
      <x:c r="AR457" s="49">
        <x:v>-1</x:v>
      </x:c>
      <x:c r="AS457" s="62">
        <x:v>0.302757299276172</x:v>
      </x:c>
      <x:c r="AT457" s="62">
        <x:v>0.433317806042129</x:v>
      </x:c>
      <x:c r="AU457" s="60">
        <x:v>6.07</x:v>
      </x:c>
      <x:c r="AV457" s="60">
        <x:v>4.26</x:v>
      </x:c>
      <x:c r="AW457" s="60">
        <x:v>1.53</x:v>
      </x:c>
      <x:c r="AX457" s="49" t="s">
        <x:v>1890</x:v>
      </x:c>
      <x:c r="AY457" s="49" t="s">
        <x:v>101</x:v>
      </x:c>
    </x:row>
    <x:row r="458" ht="22" customHeight="1">
      <x:c r="A458" s="49" t="s">
        <x:v>1884</x:v>
      </x:c>
      <x:c r="B458" s="49" t="s">
        <x:v>1905</x:v>
      </x:c>
      <x:c r="C458" s="49" t="s">
        <x:v>89</x:v>
      </x:c>
      <x:c r="D458" s="49" t="s">
        <x:v>116</x:v>
      </x:c>
      <x:c r="E458" s="49" t="s">
        <x:v>587</x:v>
      </x:c>
      <x:c r="F458" s="49" t="s">
        <x:v>1906</x:v>
      </x:c>
      <x:c r="G458" s="60">
        <x:v>0.84</x:v>
      </x:c>
      <x:c r="H458" s="60">
        <x:v>0.5</x:v>
      </x:c>
      <x:c r="I458" s="60">
        <x:v>1.05</x:v>
      </x:c>
      <x:c r="J458" s="49" t="s">
        <x:v>1907</x:v>
      </x:c>
      <x:c r="K458" s="49" t="s">
        <x:v>106</x:v>
      </x:c>
      <x:c r="L458" s="49" t="s">
        <x:v>1908</x:v>
      </x:c>
      <x:c r="M458" s="61">
        <x:v>0.576</x:v>
      </x:c>
      <x:c r="N458" s="49" t="s">
        <x:v>1888</x:v>
      </x:c>
      <x:c r="O458" s="49" t="s">
        <x:v>201</x:v>
      </x:c>
      <x:c r="P458" s="49" t="s">
        <x:v>30</x:v>
      </x:c>
      <x:c r="Q458" s="63" t="s">
        <x:v>11</x:v>
      </x:c>
      <x:c r="R458" s="50">
        <x:v>0.84</x:v>
      </x:c>
      <x:c r="S458" s="50">
        <x:f t="shared" si="32"/>
        <x:v>0.84</x:v>
      </x:c>
      <x:c r="T458" s="49" t="s">
        <x:v>1909</x:v>
      </x:c>
      <x:c r="U458" s="49" t="str">
        <x:f t="shared" si="30"/>
        <x:v>黑</x:v>
      </x:c>
      <x:c r="V458" s="50">
        <x:f t="shared" si="31"/>
        <x:v>1.05</x:v>
      </x:c>
      <x:c r="W458" s="50">
        <x:f t="shared" si="33"/>
        <x:v>-1</x:v>
      </x:c>
      <x:c r="X458" s="62">
        <x:v>0.93</x:v>
      </x:c>
      <x:c r="Y458" s="62">
        <x:v>0.5</x:v>
      </x:c>
      <x:c r="Z458" s="62">
        <x:v>0.95</x:v>
      </x:c>
      <x:c r="AA458" s="62">
        <x:v>-0.5</x:v>
      </x:c>
      <x:c r="AB458" s="62">
        <x:v>0.93</x:v>
      </x:c>
      <x:c r="AC458" s="62">
        <x:v>0.84</x:v>
      </x:c>
      <x:c r="AD458" s="60">
        <x:v>1.76</x:v>
      </x:c>
      <x:c r="AE458" s="60">
        <x:v>3.58</x:v>
      </x:c>
      <x:c r="AF458" s="60">
        <x:v>4.06</x:v>
      </x:c>
      <x:c r="AG458" s="62">
        <x:v>0.0938168458395774</x:v>
      </x:c>
      <x:c r="AH458" s="62">
        <x:v>0.0438168458395774</x:v>
      </x:c>
      <x:c r="AI458" s="62">
        <x:v>0.519448772747416</x:v>
      </x:c>
      <x:c r="AJ458" s="62">
        <x:v>0.255371463697054</x:v>
      </x:c>
      <x:c r="AK458" s="62">
        <x:v>0.22517976355553</x:v>
      </x:c>
      <x:c r="AL458" s="62">
        <x:v>1.56</x:v>
      </x:c>
      <x:c r="AM458" s="62">
        <x:v>0.93</x:v>
      </x:c>
      <x:c r="AN458" s="62">
        <x:v>0.000817055583156825</x:v>
      </x:c>
      <x:c r="AO458" s="62">
        <x:v>0.921021739477978</x:v>
      </x:c>
      <x:c r="AP458" s="62">
        <x:v>-0.0810217394779777</x:v>
      </x:c>
      <x:c r="AQ458" s="62" t="s">
        <x:v>99</x:v>
      </x:c>
      <x:c r="AR458" s="49">
        <x:v>-0.5</x:v>
      </x:c>
      <x:c r="AS458" s="62">
        <x:v>0.520556316177735</x:v>
      </x:c>
      <x:c r="AT458" s="62">
        <x:v>0.479443683822265</x:v>
      </x:c>
      <x:c r="AU458" s="60">
        <x:v>1.84</x:v>
      </x:c>
      <x:c r="AV458" s="60">
        <x:v>3.48</x:v>
      </x:c>
      <x:c r="AW458" s="60">
        <x:v>3.98</x:v>
      </x:c>
      <x:c r="AX458" s="49" t="s">
        <x:v>1890</x:v>
      </x:c>
      <x:c r="AY458" s="49" t="s">
        <x:v>101</x:v>
      </x:c>
    </x:row>
    <x:row r="459" ht="22" customHeight="1">
      <x:c r="A459" s="49" t="s">
        <x:v>1884</x:v>
      </x:c>
      <x:c r="B459" s="49" t="s">
        <x:v>1910</x:v>
      </x:c>
      <x:c r="C459" s="49" t="s">
        <x:v>333</x:v>
      </x:c>
      <x:c r="D459" s="49" t="s">
        <x:v>116</x:v>
      </x:c>
      <x:c r="E459" s="49" t="s">
        <x:v>747</x:v>
      </x:c>
      <x:c r="F459" s="49" t="s">
        <x:v>1911</x:v>
      </x:c>
      <x:c r="G459" s="60">
        <x:v>0.82</x:v>
      </x:c>
      <x:c r="H459" s="60">
        <x:v>0</x:v>
      </x:c>
      <x:c r="I459" s="60">
        <x:v>1.06</x:v>
      </x:c>
      <x:c r="J459" s="49" t="s">
        <x:v>185</x:v>
      </x:c>
      <x:c r="K459" s="49" t="s">
        <x:v>106</x:v>
      </x:c>
      <x:c r="L459" s="49" t="s">
        <x:v>1912</x:v>
      </x:c>
      <x:c r="M459" s="61">
        <x:v>0.584</x:v>
      </x:c>
      <x:c r="N459" s="49" t="s">
        <x:v>1888</x:v>
      </x:c>
      <x:c r="O459" s="49" t="s">
        <x:v>201</x:v>
      </x:c>
      <x:c r="P459" s="49" t="s">
        <x:v>30</x:v>
      </x:c>
      <x:c r="Q459" s="63" t="s">
        <x:v>11</x:v>
      </x:c>
      <x:c r="R459" s="50">
        <x:v>0.82</x:v>
      </x:c>
      <x:c r="S459" s="50">
        <x:f t="shared" si="32"/>
        <x:v>0.82</x:v>
      </x:c>
      <x:c r="T459" s="49" t="s">
        <x:v>1913</x:v>
      </x:c>
      <x:c r="U459" s="49" t="str">
        <x:f t="shared" si="30"/>
        <x:v>黑</x:v>
      </x:c>
      <x:c r="V459" s="50">
        <x:f t="shared" si="31"/>
        <x:v>1.06</x:v>
      </x:c>
      <x:c r="W459" s="50">
        <x:f t="shared" si="33"/>
        <x:v>-1</x:v>
      </x:c>
      <x:c r="X459" s="62">
        <x:v>0.86</x:v>
      </x:c>
      <x:c r="Y459" s="62">
        <x:v>0</x:v>
      </x:c>
      <x:c r="Z459" s="62">
        <x:v>0.9</x:v>
      </x:c>
      <x:c r="AA459" s="62">
        <x:v>0</x:v>
      </x:c>
      <x:c r="AB459" s="62">
        <x:v>0.86</x:v>
      </x:c>
      <x:c r="AC459" s="62">
        <x:v>0.82</x:v>
      </x:c>
      <x:c r="AD459" s="60">
        <x:v>2.51</x:v>
      </x:c>
      <x:c r="AE459" s="60">
        <x:v>3.17</x:v>
      </x:c>
      <x:c r="AF459" s="60">
        <x:v>2.68</x:v>
      </x:c>
      <x:c r="AG459" s="62">
        <x:v>0.0869981161094122</x:v>
      </x:c>
      <x:c r="AH459" s="62">
        <x:v>0.0369981161094122</x:v>
      </x:c>
      <x:c r="AI459" s="62">
        <x:v>0.366519838992886</x:v>
      </x:c>
      <x:c r="AJ459" s="62">
        <x:v>0.290209714786165</x:v>
      </x:c>
      <x:c r="AK459" s="62">
        <x:v>0.343270446220949</x:v>
      </x:c>
      <x:c r="AL459" s="62">
        <x:v>1.13</x:v>
      </x:c>
      <x:c r="AM459" s="62">
        <x:v>1.08</x:v>
      </x:c>
      <x:c r="AN459" s="62">
        <x:v>0.00077617217791391</x:v>
      </x:c>
      <x:c r="AO459" s="62">
        <x:v>0.931621405434303</x:v>
      </x:c>
      <x:c r="AP459" s="62">
        <x:v>-0.111621405434303</x:v>
      </x:c>
      <x:c r="AQ459" s="62" t="s">
        <x:v>150</x:v>
      </x:c>
      <x:c r="AR459" s="49">
        <x:v>0</x:v>
      </x:c>
      <x:c r="AS459" s="62">
        <x:v>0.367355484861519</x:v>
      </x:c>
      <x:c r="AT459" s="62">
        <x:v>0.342236233100688</x:v>
      </x:c>
      <x:c r="AU459" s="60">
        <x:v>2.38</x:v>
      </x:c>
      <x:c r="AV459" s="60">
        <x:v>3.23</x:v>
      </x:c>
      <x:c r="AW459" s="60">
        <x:v>2.89</x:v>
      </x:c>
      <x:c r="AX459" s="49" t="s">
        <x:v>1890</x:v>
      </x:c>
      <x:c r="AY459" s="49" t="s">
        <x:v>101</x:v>
      </x:c>
    </x:row>
    <x:row r="460" ht="22" customHeight="1">
      <x:c r="A460" s="49" t="s">
        <x:v>1914</x:v>
      </x:c>
      <x:c r="B460" s="49" t="s">
        <x:v>1915</x:v>
      </x:c>
      <x:c r="C460" s="49" t="s">
        <x:v>244</x:v>
      </x:c>
      <x:c r="D460" s="49" t="s">
        <x:v>116</x:v>
      </x:c>
      <x:c r="E460" s="49" t="s">
        <x:v>498</x:v>
      </x:c>
      <x:c r="F460" s="49" t="s">
        <x:v>1916</x:v>
      </x:c>
      <x:c r="G460" s="60">
        <x:v>0.99</x:v>
      </x:c>
      <x:c r="H460" s="60">
        <x:v>-0.5</x:v>
      </x:c>
      <x:c r="I460" s="60">
        <x:v>0.77</x:v>
      </x:c>
      <x:c r="J460" s="49" t="s">
        <x:v>1917</x:v>
      </x:c>
      <x:c r="K460" s="49" t="s">
        <x:v>106</x:v>
      </x:c>
      <x:c r="L460" s="49" t="s">
        <x:v>1918</x:v>
      </x:c>
      <x:c r="M460" s="61">
        <x:v>0.592</x:v>
      </x:c>
      <x:c r="N460" s="49" t="s">
        <x:v>1888</x:v>
      </x:c>
      <x:c r="O460" s="49" t="s">
        <x:v>126</x:v>
      </x:c>
      <x:c r="P460" s="49" t="s">
        <x:v>30</x:v>
      </x:c>
      <x:c r="Q460" s="64" t="s">
        <x:v>23</x:v>
      </x:c>
      <x:c r="R460" s="50">
        <x:v>0.77</x:v>
      </x:c>
      <x:c r="S460" s="50">
        <x:f t="shared" si="32"/>
        <x:v>-1</x:v>
      </x:c>
      <x:c r="T460" s="49" t="s">
        <x:v>1919</x:v>
      </x:c>
      <x:c r="U460" s="49" t="str">
        <x:f t="shared" si="30"/>
        <x:v>红</x:v>
      </x:c>
      <x:c r="V460" s="50">
        <x:f t="shared" si="31"/>
        <x:v>0.99</x:v>
      </x:c>
      <x:c r="W460" s="50">
        <x:f t="shared" si="33"/>
        <x:v>0.99</x:v>
      </x:c>
      <x:c r="X460" s="62">
        <x:v>0.94</x:v>
      </x:c>
      <x:c r="Y460" s="62">
        <x:v>-0.25</x:v>
      </x:c>
      <x:c r="Z460" s="62">
        <x:v>0.76</x:v>
      </x:c>
      <x:c r="AA460" s="62">
        <x:v>-0.25</x:v>
      </x:c>
      <x:c r="AB460" s="62">
        <x:v>0.76</x:v>
      </x:c>
      <x:c r="AC460" s="62">
        <x:v>0.77</x:v>
      </x:c>
      <x:c r="AD460" s="60">
        <x:v>3.62</x:v>
      </x:c>
      <x:c r="AE460" s="60">
        <x:v>3.32</x:v>
      </x:c>
      <x:c r="AF460" s="60">
        <x:v>1.88</x:v>
      </x:c>
      <x:c r="AG460" s="62">
        <x:v>0.109362806816782</x:v>
      </x:c>
      <x:c r="AH460" s="62">
        <x:v>0.0593628068167818</x:v>
      </x:c>
      <x:c r="AI460" s="62">
        <x:v>0.249010596195583</x:v>
      </x:c>
      <x:c r="AJ460" s="62">
        <x:v>0.271511553683136</x:v>
      </x:c>
      <x:c r="AK460" s="62">
        <x:v>0.479477850121282</x:v>
      </x:c>
      <x:c r="AL460" s="62">
        <x:v>0.93</x:v>
      </x:c>
      <x:c r="AM460" s="62">
        <x:v>1.4</x:v>
      </x:c>
      <x:c r="AN460" s="62">
        <x:v>0.0007676635616135</x:v>
      </x:c>
      <x:c r="AO460" s="62">
        <x:v>1.09002677688868</x:v>
      </x:c>
      <x:c r="AP460" s="62">
        <x:v>-0.320026776888681</x:v>
      </x:c>
      <x:c r="AQ460" s="62" t="s">
        <x:v>99</x:v>
      </x:c>
      <x:c r="AR460" s="49">
        <x:v>-0.5</x:v>
      </x:c>
      <x:c r="AS460" s="62">
        <x:v>0.478462769500327</x:v>
      </x:c>
      <x:c r="AT460" s="62">
        <x:v>0.521537230499673</x:v>
      </x:c>
      <x:c r="AU460" s="60">
        <x:v>3.86</x:v>
      </x:c>
      <x:c r="AV460" s="60">
        <x:v>3.67</x:v>
      </x:c>
      <x:c r="AW460" s="60">
        <x:v>1.74</x:v>
      </x:c>
      <x:c r="AX460" s="49" t="s">
        <x:v>1890</x:v>
      </x:c>
      <x:c r="AY460" s="49" t="s">
        <x:v>101</x:v>
      </x:c>
    </x:row>
    <x:row r="461" ht="22" customHeight="1">
      <x:c r="A461" s="49" t="s">
        <x:v>1914</x:v>
      </x:c>
      <x:c r="B461" s="49" t="s">
        <x:v>1915</x:v>
      </x:c>
      <x:c r="C461" s="49" t="s">
        <x:v>333</x:v>
      </x:c>
      <x:c r="D461" s="49" t="s">
        <x:v>90</x:v>
      </x:c>
      <x:c r="E461" s="49" t="s">
        <x:v>110</x:v>
      </x:c>
      <x:c r="F461" s="49" t="s">
        <x:v>1920</x:v>
      </x:c>
      <x:c r="G461" s="60">
        <x:v>1.01</x:v>
      </x:c>
      <x:c r="H461" s="60">
        <x:v>1</x:v>
      </x:c>
      <x:c r="I461" s="60">
        <x:v>0.88</x:v>
      </x:c>
      <x:c r="J461" s="49" t="s">
        <x:v>1921</x:v>
      </x:c>
      <x:c r="K461" s="49" t="s">
        <x:v>189</x:v>
      </x:c>
      <x:c r="L461" s="49" t="s">
        <x:v>1607</x:v>
      </x:c>
      <x:c r="M461" s="61">
        <x:v>0.529</x:v>
      </x:c>
      <x:c r="N461" s="49" t="s">
        <x:v>1888</x:v>
      </x:c>
      <x:c r="O461" s="49" t="s">
        <x:v>201</x:v>
      </x:c>
      <x:c r="P461" s="49" t="s">
        <x:v>30</x:v>
      </x:c>
      <x:c r="Q461" s="65" t="s">
        <x:v>17</x:v>
      </x:c>
      <x:c r="R461" s="50">
        <x:v>1.01</x:v>
      </x:c>
      <x:c r="S461" s="50">
        <x:f t="shared" si="32"/>
        <x:v>0</x:v>
      </x:c>
      <x:c r="T461" s="49" t="s">
        <x:v>1922</x:v>
      </x:c>
      <x:c r="U461" s="49" t="str">
        <x:f t="shared" si="30"/>
        <x:v>走</x:v>
      </x:c>
      <x:c r="V461" s="50">
        <x:f t="shared" si="31"/>
        <x:v>0.88</x:v>
      </x:c>
      <x:c r="W461" s="50">
        <x:f t="shared" si="33"/>
        <x:v>0</x:v>
      </x:c>
      <x:c r="X461" s="62">
        <x:v>0.8</x:v>
      </x:c>
      <x:c r="Y461" s="62">
        <x:v>0.75</x:v>
      </x:c>
      <x:c r="Z461" s="62">
        <x:v>1.02</x:v>
      </x:c>
      <x:c r="AA461" s="62">
        <x:v>-0.75</x:v>
      </x:c>
      <x:c r="AB461" s="62">
        <x:v>0.8</x:v>
      </x:c>
      <x:c r="AC461" s="62">
        <x:v>1.01</x:v>
      </x:c>
      <x:c r="AD461" s="60">
        <x:v>1.63</x:v>
      </x:c>
      <x:c r="AE461" s="60">
        <x:v>3.7</x:v>
      </x:c>
      <x:c r="AF461" s="60">
        <x:v>5.22</x:v>
      </x:c>
      <x:c r="AG461" s="62">
        <x:v>0.0753380840116613</x:v>
      </x:c>
      <x:c r="AH461" s="62">
        <x:v>0.0253380840116613</x:v>
      </x:c>
      <x:c r="AI461" s="62">
        <x:v>0.570515395703854</x:v>
      </x:c>
      <x:c r="AJ461" s="62">
        <x:v>0.251335160810076</x:v>
      </x:c>
      <x:c r="AK461" s="62">
        <x:v>0.178149443486069</x:v>
      </x:c>
      <x:c r="AL461" s="62">
        <x:v>1.59</x:v>
      </x:c>
      <x:c r="AM461" s="62">
        <x:v>0.76</x:v>
      </x:c>
      <x:c r="AN461" s="62">
        <x:v>0.00087567618707125</x:v>
      </x:c>
      <x:c r="AO461" s="62">
        <x:v>1.3903794819416</x:v>
      </x:c>
      <x:c r="AP461" s="62">
        <x:v>-0.380379481941595</x:v>
      </x:c>
      <x:c r="AQ461" s="62" t="s">
        <x:v>99</x:v>
      </x:c>
      <x:c r="AR461" s="49">
        <x:v>-1</x:v>
      </x:c>
      <x:c r="AS461" s="62">
        <x:v>0.308033453464367</x:v>
      </x:c>
      <x:c r="AT461" s="62">
        <x:v>0.428283393448467</x:v>
      </x:c>
      <x:c r="AU461" s="60">
        <x:v>1.57</x:v>
      </x:c>
      <x:c r="AV461" s="60">
        <x:v>3.97</x:v>
      </x:c>
      <x:c r="AW461" s="60">
        <x:v>5.76</x:v>
      </x:c>
      <x:c r="AX461" s="49" t="s">
        <x:v>1890</x:v>
      </x:c>
      <x:c r="AY461" s="49" t="s">
        <x:v>101</x:v>
      </x:c>
    </x:row>
    <x:row r="462" ht="22" customHeight="1">
      <x:c r="A462" s="49" t="s">
        <x:v>1914</x:v>
      </x:c>
      <x:c r="B462" s="49" t="s">
        <x:v>1923</x:v>
      </x:c>
      <x:c r="C462" s="49" t="s">
        <x:v>89</x:v>
      </x:c>
      <x:c r="D462" s="49" t="s">
        <x:v>90</x:v>
      </x:c>
      <x:c r="E462" s="49" t="s">
        <x:v>1373</x:v>
      </x:c>
      <x:c r="F462" s="49" t="s">
        <x:v>1924</x:v>
      </x:c>
      <x:c r="G462" s="60">
        <x:v>0.96</x:v>
      </x:c>
      <x:c r="H462" s="60">
        <x:v>-1</x:v>
      </x:c>
      <x:c r="I462" s="60">
        <x:v>0.8</x:v>
      </x:c>
      <x:c r="J462" s="49" t="s">
        <x:v>1925</x:v>
      </x:c>
      <x:c r="K462" s="49" t="s">
        <x:v>106</x:v>
      </x:c>
      <x:c r="L462" s="49" t="s">
        <x:v>1926</x:v>
      </x:c>
      <x:c r="M462" s="61">
        <x:v>0.576</x:v>
      </x:c>
      <x:c r="N462" s="49" t="s">
        <x:v>1888</x:v>
      </x:c>
      <x:c r="O462" s="49" t="s">
        <x:v>367</x:v>
      </x:c>
      <x:c r="P462" s="49" t="s">
        <x:v>30</x:v>
      </x:c>
      <x:c r="Q462" s="63" t="s">
        <x:v>11</x:v>
      </x:c>
      <x:c r="R462" s="50">
        <x:v>0.8</x:v>
      </x:c>
      <x:c r="S462" s="50">
        <x:f t="shared" si="32"/>
        <x:v>0.8</x:v>
      </x:c>
      <x:c r="T462" s="49" t="s">
        <x:v>1927</x:v>
      </x:c>
      <x:c r="U462" s="49" t="str">
        <x:f t="shared" si="30"/>
        <x:v>黑</x:v>
      </x:c>
      <x:c r="V462" s="50">
        <x:f t="shared" si="31"/>
        <x:v>0.96</x:v>
      </x:c>
      <x:c r="W462" s="50">
        <x:f t="shared" si="33"/>
        <x:v>-1</x:v>
      </x:c>
      <x:c r="X462" s="62">
        <x:v>0.82</x:v>
      </x:c>
      <x:c r="Y462" s="62">
        <x:v>-1</x:v>
      </x:c>
      <x:c r="Z462" s="62">
        <x:v>0.88</x:v>
      </x:c>
      <x:c r="AA462" s="62">
        <x:v>-1</x:v>
      </x:c>
      <x:c r="AB462" s="62">
        <x:v>0.88</x:v>
      </x:c>
      <x:c r="AC462" s="62">
        <x:v>0.8</x:v>
      </x:c>
      <x:c r="AD462" s="60">
        <x:v>4.46</x:v>
      </x:c>
      <x:c r="AE462" s="60">
        <x:v>4</x:v>
      </x:c>
      <x:c r="AF462" s="60">
        <x:v>1.59</x:v>
      </x:c>
      <x:c r="AG462" s="62">
        <x:v>0.103146064246834</x:v>
      </x:c>
      <x:c r="AH462" s="62">
        <x:v>0.0531460642468342</x:v>
      </x:c>
      <x:c r="AI462" s="62">
        <x:v>0.203250733428354</x:v>
      </x:c>
      <x:c r="AJ462" s="62">
        <x:v>0.226624567772615</x:v>
      </x:c>
      <x:c r="AK462" s="62">
        <x:v>0.570124698799031</x:v>
      </x:c>
      <x:c r="AL462" s="62">
        <x:v>1</x:v>
      </x:c>
      <x:c r="AM462" s="62">
        <x:v>1.84</x:v>
      </x:c>
      <x:c r="AN462" s="62">
        <x:v>0.000470786769205775</x:v>
      </x:c>
      <x:c r="AO462" s="62">
        <x:v>1.30589994809013</x:v>
      </x:c>
      <x:c r="AP462" s="62">
        <x:v>-0.50589994809013</x:v>
      </x:c>
      <x:c r="AQ462" s="62" t="s">
        <x:v>99</x:v>
      </x:c>
      <x:c r="AR462" s="49">
        <x:v>-1</x:v>
      </x:c>
      <x:c r="AS462" s="62">
        <x:v>0.328790335668626</x:v>
      </x:c>
      <x:c r="AT462" s="62">
        <x:v>0.429367282282196</x:v>
      </x:c>
      <x:c r="AU462" s="60">
        <x:v>4.71</x:v>
      </x:c>
      <x:c r="AV462" s="60">
        <x:v>4.01</x:v>
      </x:c>
      <x:c r="AW462" s="60">
        <x:v>1.57</x:v>
      </x:c>
      <x:c r="AX462" s="49" t="s">
        <x:v>1890</x:v>
      </x:c>
      <x:c r="AY462" s="49" t="s">
        <x:v>101</x:v>
      </x:c>
    </x:row>
    <x:row r="463" ht="22" customHeight="1">
      <x:c r="A463" s="49" t="s">
        <x:v>1914</x:v>
      </x:c>
      <x:c r="B463" s="49" t="s">
        <x:v>1923</x:v>
      </x:c>
      <x:c r="C463" s="49" t="s">
        <x:v>333</x:v>
      </x:c>
      <x:c r="D463" s="49" t="s">
        <x:v>116</x:v>
      </x:c>
      <x:c r="E463" s="49" t="s">
        <x:v>613</x:v>
      </x:c>
      <x:c r="F463" s="49" t="s">
        <x:v>1928</x:v>
      </x:c>
      <x:c r="G463" s="60">
        <x:v>1.05</x:v>
      </x:c>
      <x:c r="H463" s="60">
        <x:v>0.25</x:v>
      </x:c>
      <x:c r="I463" s="60">
        <x:v>0.84</x:v>
      </x:c>
      <x:c r="J463" s="49" t="s">
        <x:v>555</x:v>
      </x:c>
      <x:c r="K463" s="49" t="s">
        <x:v>132</x:v>
      </x:c>
      <x:c r="L463" s="49" t="s">
        <x:v>965</x:v>
      </x:c>
      <x:c r="M463" s="61">
        <x:v>0.559</x:v>
      </x:c>
      <x:c r="N463" s="49" t="s">
        <x:v>1888</x:v>
      </x:c>
      <x:c r="O463" s="49" t="s">
        <x:v>231</x:v>
      </x:c>
      <x:c r="P463" s="49" t="s">
        <x:v>30</x:v>
      </x:c>
      <x:c r="Q463" s="63" t="s">
        <x:v>11</x:v>
      </x:c>
      <x:c r="R463" s="50">
        <x:v>1.05</x:v>
      </x:c>
      <x:c r="S463" s="50">
        <x:f t="shared" si="32"/>
        <x:v>1.05</x:v>
      </x:c>
      <x:c r="T463" s="49" t="s">
        <x:v>1929</x:v>
      </x:c>
      <x:c r="U463" s="49" t="str">
        <x:f t="shared" si="30"/>
        <x:v>黑</x:v>
      </x:c>
      <x:c r="V463" s="50">
        <x:f t="shared" si="31"/>
        <x:v>0.84</x:v>
      </x:c>
      <x:c r="W463" s="50">
        <x:f t="shared" si="33"/>
        <x:v>-1</x:v>
      </x:c>
      <x:c r="X463" s="62">
        <x:v>1.06</x:v>
      </x:c>
      <x:c r="Y463" s="62">
        <x:v>0.5</x:v>
      </x:c>
      <x:c r="Z463" s="62">
        <x:v>0.82</x:v>
      </x:c>
      <x:c r="AA463" s="62">
        <x:v>-0.5</x:v>
      </x:c>
      <x:c r="AB463" s="62">
        <x:v>1.06</x:v>
      </x:c>
      <x:c r="AC463" s="62">
        <x:v>1.05</x:v>
      </x:c>
      <x:c r="AD463" s="60">
        <x:v>2.03</x:v>
      </x:c>
      <x:c r="AE463" s="60">
        <x:v>3.4</x:v>
      </x:c>
      <x:c r="AF463" s="60">
        <x:v>3.62</x:v>
      </x:c>
      <x:c r="AG463" s="62">
        <x:v>0.0629715784198992</x:v>
      </x:c>
      <x:c r="AH463" s="62">
        <x:v>0.0129715784198992</x:v>
      </x:c>
      <x:c r="AI463" s="62">
        <x:v>0.463428042140775</x:v>
      </x:c>
      <x:c r="AJ463" s="62">
        <x:v>0.27669380163111</x:v>
      </x:c>
      <x:c r="AK463" s="62">
        <x:v>0.259878156228114</x:v>
      </x:c>
      <x:c r="AL463" s="62">
        <x:v>1.35</x:v>
      </x:c>
      <x:c r="AM463" s="62">
        <x:v>0.94</x:v>
      </x:c>
      <x:c r="AN463" s="62">
        <x:v>0.000891813078619189</x:v>
      </x:c>
      <x:c r="AO463" s="62">
        <x:v>0.863759113785062</x:v>
      </x:c>
      <x:c r="AP463" s="62">
        <x:v>0.186240886214938</x:v>
      </x:c>
      <x:c r="AQ463" s="62" t="s">
        <x:v>165</x:v>
      </x:c>
      <x:c r="AR463" s="49">
        <x:v>-0.25</x:v>
      </x:c>
      <x:c r="AS463" s="62">
        <x:v>0.462299333650613</x:v>
      </x:c>
      <x:c r="AT463" s="62">
        <x:v>0.399315262737478</x:v>
      </x:c>
      <x:c r="AU463" s="60">
        <x:v>2.31</x:v>
      </x:c>
      <x:c r="AV463" s="60">
        <x:v>3.35</x:v>
      </x:c>
      <x:c r="AW463" s="60">
        <x:v>3.13</x:v>
      </x:c>
      <x:c r="AX463" s="49" t="s">
        <x:v>1890</x:v>
      </x:c>
      <x:c r="AY463" s="49" t="s">
        <x:v>101</x:v>
      </x:c>
    </x:row>
    <x:row r="464" ht="22" customHeight="1">
      <x:c r="A464" s="49" t="s">
        <x:v>1914</x:v>
      </x:c>
      <x:c r="B464" s="49" t="s">
        <x:v>1930</x:v>
      </x:c>
      <x:c r="C464" s="49" t="s">
        <x:v>89</x:v>
      </x:c>
      <x:c r="D464" s="49" t="s">
        <x:v>116</x:v>
      </x:c>
      <x:c r="E464" s="49" t="s">
        <x:v>1483</x:v>
      </x:c>
      <x:c r="F464" s="49" t="s">
        <x:v>1931</x:v>
      </x:c>
      <x:c r="G464" s="60">
        <x:v>0.85</x:v>
      </x:c>
      <x:c r="H464" s="60">
        <x:v>2.5</x:v>
      </x:c>
      <x:c r="I464" s="60">
        <x:v>1.04</x:v>
      </x:c>
      <x:c r="J464" s="49" t="s">
        <x:v>1932</x:v>
      </x:c>
      <x:c r="K464" s="49" t="s">
        <x:v>106</x:v>
      </x:c>
      <x:c r="L464" s="49" t="s">
        <x:v>1933</x:v>
      </x:c>
      <x:c r="M464" s="61">
        <x:v>0.576</x:v>
      </x:c>
      <x:c r="N464" s="49" t="s">
        <x:v>1888</x:v>
      </x:c>
      <x:c r="O464" s="49" t="s">
        <x:v>1241</x:v>
      </x:c>
      <x:c r="P464" s="49" t="s">
        <x:v>30</x:v>
      </x:c>
      <x:c r="Q464" s="63" t="s">
        <x:v>11</x:v>
      </x:c>
      <x:c r="R464" s="50">
        <x:v>0.85</x:v>
      </x:c>
      <x:c r="S464" s="50">
        <x:f t="shared" si="32"/>
        <x:v>0.85</x:v>
      </x:c>
      <x:c r="T464" s="49" t="s">
        <x:v>1934</x:v>
      </x:c>
      <x:c r="U464" s="49" t="str">
        <x:f t="shared" si="30"/>
        <x:v>黑</x:v>
      </x:c>
      <x:c r="V464" s="50">
        <x:f t="shared" si="31"/>
        <x:v>1.04</x:v>
      </x:c>
      <x:c r="W464" s="50">
        <x:f t="shared" si="33"/>
        <x:v>-1</x:v>
      </x:c>
      <x:c r="X464" s="62">
        <x:v>0.94</x:v>
      </x:c>
      <x:c r="Y464" s="62">
        <x:v>2.25</x:v>
      </x:c>
      <x:c r="Z464" s="62">
        <x:v>0.94</x:v>
      </x:c>
      <x:c r="AA464" s="62">
        <x:v>-2.25</x:v>
      </x:c>
      <x:c r="AB464" s="62">
        <x:v>0.94</x:v>
      </x:c>
      <x:c r="AC464" s="62">
        <x:v>0.85</x:v>
      </x:c>
      <x:c r="AD464" s="60">
        <x:v>1.16</x:v>
      </x:c>
      <x:c r="AE464" s="60">
        <x:v>7.4</x:v>
      </x:c>
      <x:c r="AF464" s="60">
        <x:v>13.47</x:v>
      </x:c>
      <x:c r="AG464" s="62">
        <x:v>0.0714431503925399</x:v>
      </x:c>
      <x:c r="AH464" s="62">
        <x:v>0.0214431503925399</x:v>
      </x:c>
      <x:c r="AI464" s="62">
        <x:v>0.804586753110894</x:v>
      </x:c>
      <x:c r="AJ464" s="62">
        <x:v>0.126124409947113</x:v>
      </x:c>
      <x:c r="AK464" s="62">
        <x:v>0.0692888369419924</x:v>
      </x:c>
      <x:c r="AL464" s="62">
        <x:v>2.82</x:v>
      </x:c>
      <x:c r="AM464" s="62">
        <x:v>0.73</x:v>
      </x:c>
      <x:c r="AN464" s="62">
        <x:v>0.000191158482397136</x:v>
      </x:c>
      <x:c r="AO464" s="62">
        <x:v>1.5634261983679</x:v>
      </x:c>
      <x:c r="AP464" s="62">
        <x:v>-0.713426198367899</x:v>
      </x:c>
      <x:c r="AQ464" s="62" t="s">
        <x:v>99</x:v>
      </x:c>
      <x:c r="AR464" s="49">
        <x:v>-2.5</x:v>
      </x:c>
      <x:c r="AS464" s="62">
        <x:v>0.390102902372101</x:v>
      </x:c>
      <x:c r="AT464" s="62">
        <x:v>0.609897097627898</x:v>
      </x:c>
      <x:c r="AU464" s="60">
        <x:v>1.11</x:v>
      </x:c>
      <x:c r="AV464" s="60">
        <x:v>9.6</x:v>
      </x:c>
      <x:c r="AW464" s="60">
        <x:v>16.85</x:v>
      </x:c>
      <x:c r="AX464" s="49" t="s">
        <x:v>1890</x:v>
      </x:c>
      <x:c r="AY464" s="49" t="s">
        <x:v>101</x:v>
      </x:c>
    </x:row>
    <x:row r="465" ht="22" customHeight="1">
      <x:c r="A465" s="49" t="s">
        <x:v>1914</x:v>
      </x:c>
      <x:c r="B465" s="49" t="s">
        <x:v>1935</x:v>
      </x:c>
      <x:c r="C465" s="49" t="s">
        <x:v>333</x:v>
      </x:c>
      <x:c r="D465" s="49" t="s">
        <x:v>116</x:v>
      </x:c>
      <x:c r="E465" s="49" t="s">
        <x:v>156</x:v>
      </x:c>
      <x:c r="F465" s="49" t="s">
        <x:v>1936</x:v>
      </x:c>
      <x:c r="G465" s="60">
        <x:v>0.83</x:v>
      </x:c>
      <x:c r="H465" s="60">
        <x:v>0.5</x:v>
      </x:c>
      <x:c r="I465" s="60">
        <x:v>1.03</x:v>
      </x:c>
      <x:c r="J465" s="49" t="s">
        <x:v>1937</x:v>
      </x:c>
      <x:c r="K465" s="49" t="s">
        <x:v>106</x:v>
      </x:c>
      <x:c r="L465" s="49" t="s">
        <x:v>1626</x:v>
      </x:c>
      <x:c r="M465" s="61">
        <x:v>0.584</x:v>
      </x:c>
      <x:c r="N465" s="49" t="s">
        <x:v>1888</x:v>
      </x:c>
      <x:c r="O465" s="49" t="s">
        <x:v>191</x:v>
      </x:c>
      <x:c r="P465" s="49" t="s">
        <x:v>30</x:v>
      </x:c>
      <x:c r="Q465" s="64" t="s">
        <x:v>23</x:v>
      </x:c>
      <x:c r="R465" s="50">
        <x:v>0.83</x:v>
      </x:c>
      <x:c r="S465" s="50">
        <x:f t="shared" si="32"/>
        <x:v>-1</x:v>
      </x:c>
      <x:c r="T465" s="49" t="s">
        <x:v>1938</x:v>
      </x:c>
      <x:c r="U465" s="49" t="str">
        <x:f t="shared" si="30"/>
        <x:v>红</x:v>
      </x:c>
      <x:c r="V465" s="50">
        <x:f t="shared" si="31"/>
        <x:v>1.03</x:v>
      </x:c>
      <x:c r="W465" s="50">
        <x:f t="shared" si="33"/>
        <x:v>1.03</x:v>
      </x:c>
      <x:c r="X465" s="62">
        <x:v>1.02</x:v>
      </x:c>
      <x:c r="Y465" s="62">
        <x:v>0.5</x:v>
      </x:c>
      <x:c r="Z465" s="62">
        <x:v>0.86</x:v>
      </x:c>
      <x:c r="AA465" s="62">
        <x:v>-0.5</x:v>
      </x:c>
      <x:c r="AB465" s="62">
        <x:v>1.02</x:v>
      </x:c>
      <x:c r="AC465" s="62">
        <x:v>0.83</x:v>
      </x:c>
      <x:c r="AD465" s="60">
        <x:v>2.01</x:v>
      </x:c>
      <x:c r="AE465" s="60">
        <x:v>3.47</x:v>
      </x:c>
      <x:c r="AF465" s="60">
        <x:v>3.42</x:v>
      </x:c>
      <x:c r="AG465" s="62">
        <x:v>0.0780945366700045</x:v>
      </x:c>
      <x:c r="AH465" s="62">
        <x:v>0.0280945366700045</x:v>
      </x:c>
      <x:c r="AI465" s="62">
        <x:v>0.461473851214988</x:v>
      </x:c>
      <x:c r="AJ465" s="62">
        <x:v>0.267309060790238</x:v>
      </x:c>
      <x:c r="AK465" s="62">
        <x:v>0.271217087994774</x:v>
      </x:c>
      <x:c r="AL465" s="62">
        <x:v>1.42</x:v>
      </x:c>
      <x:c r="AM465" s="62">
        <x:v>1.02</x:v>
      </x:c>
      <x:c r="AN465" s="62">
        <x:v>0.000439584064277374</x:v>
      </x:c>
      <x:c r="AO465" s="62">
        <x:v>1.16419809490108</x:v>
      </x:c>
      <x:c r="AP465" s="62">
        <x:v>-0.334198094901079</x:v>
      </x:c>
      <x:c r="AQ465" s="62" t="s">
        <x:v>99</x:v>
      </x:c>
      <x:c r="AR465" s="49">
        <x:v>-0.5</x:v>
      </x:c>
      <x:c r="AS465" s="62">
        <x:v>0.462064910950635</x:v>
      </x:c>
      <x:c r="AT465" s="62">
        <x:v>0.537935089049366</x:v>
      </x:c>
      <x:c r="AU465" s="60">
        <x:v>1.86</x:v>
      </x:c>
      <x:c r="AV465" s="60">
        <x:v>3.53</x:v>
      </x:c>
      <x:c r="AW465" s="60">
        <x:v>4.13</x:v>
      </x:c>
      <x:c r="AX465" s="49" t="s">
        <x:v>1890</x:v>
      </x:c>
      <x:c r="AY465" s="49" t="s">
        <x:v>101</x:v>
      </x:c>
    </x:row>
    <x:row r="466" ht="22" customHeight="1">
      <x:c r="A466" s="49" t="s">
        <x:v>1914</x:v>
      </x:c>
      <x:c r="B466" s="49" t="s">
        <x:v>1935</x:v>
      </x:c>
      <x:c r="C466" s="49" t="s">
        <x:v>333</x:v>
      </x:c>
      <x:c r="D466" s="49" t="s">
        <x:v>116</x:v>
      </x:c>
      <x:c r="E466" s="49" t="s">
        <x:v>156</x:v>
      </x:c>
      <x:c r="F466" s="49" t="s">
        <x:v>1939</x:v>
      </x:c>
      <x:c r="G466" s="60">
        <x:v>1.01</x:v>
      </x:c>
      <x:c r="H466" s="60">
        <x:v>1.25</x:v>
      </x:c>
      <x:c r="I466" s="60">
        <x:v>0.85</x:v>
      </x:c>
      <x:c r="J466" s="49" t="s">
        <x:v>1940</x:v>
      </x:c>
      <x:c r="K466" s="49" t="s">
        <x:v>189</x:v>
      </x:c>
      <x:c r="L466" s="49" t="s">
        <x:v>424</x:v>
      </x:c>
      <x:c r="M466" s="61">
        <x:v>0.529</x:v>
      </x:c>
      <x:c r="N466" s="49" t="s">
        <x:v>1888</x:v>
      </x:c>
      <x:c r="O466" s="49" t="s">
        <x:v>273</x:v>
      </x:c>
      <x:c r="P466" s="49" t="s">
        <x:v>30</x:v>
      </x:c>
      <x:c r="Q466" s="64" t="s">
        <x:v>23</x:v>
      </x:c>
      <x:c r="R466" s="50">
        <x:v>1.01</x:v>
      </x:c>
      <x:c r="S466" s="50">
        <x:f t="shared" si="32"/>
        <x:v>-1</x:v>
      </x:c>
      <x:c r="T466" s="49" t="s">
        <x:v>1938</x:v>
      </x:c>
      <x:c r="U466" s="49" t="str">
        <x:f t="shared" si="30"/>
        <x:v>红</x:v>
      </x:c>
      <x:c r="V466" s="50">
        <x:f t="shared" si="31"/>
        <x:v>0.85</x:v>
      </x:c>
      <x:c r="W466" s="50">
        <x:f t="shared" si="33"/>
        <x:v>0.85</x:v>
      </x:c>
      <x:c r="X466" s="62">
        <x:v>1.04</x:v>
      </x:c>
      <x:c r="Y466" s="62">
        <x:v>1</x:v>
      </x:c>
      <x:c r="Z466" s="62">
        <x:v>0.84</x:v>
      </x:c>
      <x:c r="AA466" s="62">
        <x:v>-1</x:v>
      </x:c>
      <x:c r="AB466" s="62">
        <x:v>1.04</x:v>
      </x:c>
      <x:c r="AC466" s="62">
        <x:v>1.01</x:v>
      </x:c>
      <x:c r="AD466" s="60">
        <x:v>1.68</x:v>
      </x:c>
      <x:c r="AE466" s="60">
        <x:v>3.97</x:v>
      </x:c>
      <x:c r="AF466" s="60">
        <x:v>4.56</x:v>
      </x:c>
      <x:c r="AG466" s="62">
        <x:v>0.0664255096178734</x:v>
      </x:c>
      <x:c r="AH466" s="62">
        <x:v>0.0164255096178734</x:v>
      </x:c>
      <x:c r="AI466" s="62">
        <x:v>0.558161906171378</x:v>
      </x:c>
      <x:c r="AJ466" s="62">
        <x:v>0.236199496818115</x:v>
      </x:c>
      <x:c r="AK466" s="62">
        <x:v>0.205638597010508</x:v>
      </x:c>
      <x:c r="AL466" s="62">
        <x:v>1.73</x:v>
      </x:c>
      <x:c r="AM466" s="62">
        <x:v>0.95</x:v>
      </x:c>
      <x:c r="AN466" s="62">
        <x:v>0.000629429915117131</x:v>
      </x:c>
      <x:c r="AO466" s="62">
        <x:v>1.82238004803262</x:v>
      </x:c>
      <x:c r="AP466" s="62">
        <x:v>-0.812380048032616</x:v>
      </x:c>
      <x:c r="AQ466" s="62" t="s">
        <x:v>99</x:v>
      </x:c>
      <x:c r="AR466" s="49">
        <x:v>-1.25</x:v>
      </x:c>
      <x:c r="AS466" s="62">
        <x:v>0.310596229504572</x:v>
      </x:c>
      <x:c r="AT466" s="62">
        <x:v>0.566024371643291</x:v>
      </x:c>
      <x:c r="AU466" s="60">
        <x:v>1.49</x:v>
      </x:c>
      <x:c r="AV466" s="60">
        <x:v>4.52</x:v>
      </x:c>
      <x:c r="AW466" s="60">
        <x:v>5.87</x:v>
      </x:c>
      <x:c r="AX466" s="49" t="s">
        <x:v>1890</x:v>
      </x:c>
      <x:c r="AY466" s="49" t="s">
        <x:v>101</x:v>
      </x:c>
    </x:row>
    <x:row r="467" ht="22" customHeight="1">
      <x:c r="A467" s="49" t="s">
        <x:v>1914</x:v>
      </x:c>
      <x:c r="B467" s="49" t="s">
        <x:v>1941</x:v>
      </x:c>
      <x:c r="C467" s="49" t="s">
        <x:v>333</x:v>
      </x:c>
      <x:c r="D467" s="49" t="s">
        <x:v>116</x:v>
      </x:c>
      <x:c r="E467" s="49" t="s">
        <x:v>927</x:v>
      </x:c>
      <x:c r="F467" s="49" t="s">
        <x:v>1942</x:v>
      </x:c>
      <x:c r="G467" s="60">
        <x:v>0.63</x:v>
      </x:c>
      <x:c r="H467" s="60">
        <x:v>-0.25</x:v>
      </x:c>
      <x:c r="I467" s="60">
        <x:v>1.14</x:v>
      </x:c>
      <x:c r="J467" s="49" t="s">
        <x:v>1943</x:v>
      </x:c>
      <x:c r="K467" s="49" t="s">
        <x:v>189</x:v>
      </x:c>
      <x:c r="L467" s="49" t="s">
        <x:v>1032</x:v>
      </x:c>
      <x:c r="M467" s="61">
        <x:v>0.529</x:v>
      </x:c>
      <x:c r="N467" s="49" t="s">
        <x:v>1888</x:v>
      </x:c>
      <x:c r="O467" s="49" t="s">
        <x:v>126</x:v>
      </x:c>
      <x:c r="P467" s="49" t="s">
        <x:v>30</x:v>
      </x:c>
      <x:c r="Q467" s="64" t="s">
        <x:v>20</x:v>
      </x:c>
      <x:c r="R467" s="50">
        <x:v>1.14</x:v>
      </x:c>
      <x:c r="S467" s="50">
        <x:f t="shared" si="32"/>
        <x:v>-0.5</x:v>
      </x:c>
      <x:c r="T467" s="49" t="s">
        <x:v>1944</x:v>
      </x:c>
      <x:c r="U467" s="49" t="str">
        <x:f t="shared" si="30"/>
        <x:v>半红</x:v>
      </x:c>
      <x:c r="V467" s="50">
        <x:f t="shared" si="31"/>
        <x:v>0.63</x:v>
      </x:c>
      <x:c r="W467" s="50">
        <x:f t="shared" si="33"/>
        <x:v>0.315</x:v>
      </x:c>
      <x:c r="X467" s="62">
        <x:v>0.83</x:v>
      </x:c>
      <x:c r="Y467" s="62">
        <x:v>0</x:v>
      </x:c>
      <x:c r="Z467" s="62">
        <x:v>0.87</x:v>
      </x:c>
      <x:c r="AA467" s="62">
        <x:v>0</x:v>
      </x:c>
      <x:c r="AB467" s="62">
        <x:v>0.87</x:v>
      </x:c>
      <x:c r="AC467" s="62">
        <x:v>1.14</x:v>
      </x:c>
      <x:c r="AD467" s="60">
        <x:v>2.75</x:v>
      </x:c>
      <x:c r="AE467" s="60">
        <x:v>3.15</x:v>
      </x:c>
      <x:c r="AF467" s="60">
        <x:v>2.36</x:v>
      </x:c>
      <x:c r="AG467" s="62">
        <x:v>0.104825494656003</x:v>
      </x:c>
      <x:c r="AH467" s="62">
        <x:v>0.0548254946560032</x:v>
      </x:c>
      <x:c r="AI467" s="62">
        <x:v>0.329134660084564</x:v>
      </x:c>
      <x:c r="AJ467" s="62">
        <x:v>0.287339782613508</x:v>
      </x:c>
      <x:c r="AK467" s="62">
        <x:v>0.383525557301928</x:v>
      </x:c>
      <x:c r="AL467" s="62">
        <x:v>1.07</x:v>
      </x:c>
      <x:c r="AM467" s="62">
        <x:v>1.18</x:v>
      </x:c>
      <x:c r="AN467" s="62">
        <x:v>0.000379210963254061</x:v>
      </x:c>
      <x:c r="AO467" s="62">
        <x:v>1.23077218695218</x:v>
      </x:c>
      <x:c r="AP467" s="62">
        <x:v>-0.0907721869521818</x:v>
      </x:c>
      <x:c r="AQ467" s="62" t="s">
        <x:v>99</x:v>
      </x:c>
      <x:c r="AR467" s="49">
        <x:v>-0.25</x:v>
      </x:c>
      <x:c r="AS467" s="62">
        <x:v>0.383978168794544</x:v>
      </x:c>
      <x:c r="AT467" s="62">
        <x:v>0.472589650549155</x:v>
      </x:c>
      <x:c r="AU467" s="60">
        <x:v>2.69</x:v>
      </x:c>
      <x:c r="AV467" s="60">
        <x:v>3.21</x:v>
      </x:c>
      <x:c r="AW467" s="60">
        <x:v>2.38</x:v>
      </x:c>
      <x:c r="AX467" s="49" t="s">
        <x:v>1890</x:v>
      </x:c>
      <x:c r="AY467" s="49" t="s">
        <x:v>101</x:v>
      </x:c>
    </x:row>
    <x:row r="468" ht="22" customHeight="1">
      <x:c r="A468" s="49" t="s">
        <x:v>1914</x:v>
      </x:c>
      <x:c r="B468" s="49" t="s">
        <x:v>1941</x:v>
      </x:c>
      <x:c r="C468" s="49" t="s">
        <x:v>333</x:v>
      </x:c>
      <x:c r="D468" s="49" t="s">
        <x:v>116</x:v>
      </x:c>
      <x:c r="E468" s="49" t="s">
        <x:v>927</x:v>
      </x:c>
      <x:c r="F468" s="49" t="s">
        <x:v>1945</x:v>
      </x:c>
      <x:c r="G468" s="60">
        <x:v>0.96</x:v>
      </x:c>
      <x:c r="H468" s="60">
        <x:v>0</x:v>
      </x:c>
      <x:c r="I468" s="60">
        <x:v>0.8</x:v>
      </x:c>
      <x:c r="J468" s="49" t="s">
        <x:v>1946</x:v>
      </x:c>
      <x:c r="K468" s="49" t="s">
        <x:v>106</x:v>
      </x:c>
      <x:c r="L468" s="49" t="s">
        <x:v>1947</x:v>
      </x:c>
      <x:c r="M468" s="61">
        <x:v>0.584</x:v>
      </x:c>
      <x:c r="N468" s="49" t="s">
        <x:v>1888</x:v>
      </x:c>
      <x:c r="O468" s="49" t="s">
        <x:v>149</x:v>
      </x:c>
      <x:c r="P468" s="49" t="s">
        <x:v>30</x:v>
      </x:c>
      <x:c r="Q468" s="65" t="s">
        <x:v>17</x:v>
      </x:c>
      <x:c r="R468" s="50">
        <x:v>0.8</x:v>
      </x:c>
      <x:c r="S468" s="50">
        <x:f t="shared" si="32"/>
        <x:v>0</x:v>
      </x:c>
      <x:c r="T468" s="49" t="s">
        <x:v>1948</x:v>
      </x:c>
      <x:c r="U468" s="49" t="str">
        <x:f t="shared" si="30"/>
        <x:v>走</x:v>
      </x:c>
      <x:c r="V468" s="50">
        <x:f t="shared" si="31"/>
        <x:v>0.96</x:v>
      </x:c>
      <x:c r="W468" s="50">
        <x:f t="shared" si="33"/>
        <x:v>0</x:v>
      </x:c>
      <x:c r="X468" s="62">
        <x:v>0.93</x:v>
      </x:c>
      <x:c r="Y468" s="62">
        <x:v>0</x:v>
      </x:c>
      <x:c r="Z468" s="62">
        <x:v>0.77</x:v>
      </x:c>
      <x:c r="AA468" s="62">
        <x:v>0</x:v>
      </x:c>
      <x:c r="AB468" s="62">
        <x:v>0.77</x:v>
      </x:c>
      <x:c r="AC468" s="62">
        <x:v>0.8</x:v>
      </x:c>
      <x:c r="AD468" s="60">
        <x:v>2.65</x:v>
      </x:c>
      <x:c r="AE468" s="60">
        <x:v>2.94</x:v>
      </x:c>
      <x:c r="AF468" s="60">
        <x:v>2.58</x:v>
      </x:c>
      <x:c r="AG468" s="62">
        <x:v>0.105091444212613</x:v>
      </x:c>
      <x:c r="AH468" s="62">
        <x:v>0.0550914442126127</x:v>
      </x:c>
      <x:c r="AI468" s="62">
        <x:v>0.341472637890984</x:v>
      </x:c>
      <x:c r="AJ468" s="62">
        <x:v>0.307789962724866</x:v>
      </x:c>
      <x:c r="AK468" s="62">
        <x:v>0.35073739938415</x:v>
      </x:c>
      <x:c r="AL468" s="62">
        <x:v>0.99</x:v>
      </x:c>
      <x:c r="AM468" s="62">
        <x:v>1.01</x:v>
      </x:c>
      <x:c r="AN468" s="62">
        <x:v>0.000697883296187162</x:v>
      </x:c>
      <x:c r="AO468" s="62">
        <x:v>0.970155221061835</x:v>
      </x:c>
      <x:c r="AP468" s="62">
        <x:v>-0.170155221061835</x:v>
      </x:c>
      <x:c r="AQ468" s="62" t="s">
        <x:v>150</x:v>
      </x:c>
      <x:c r="AR468" s="49">
        <x:v>0</x:v>
      </x:c>
      <x:c r="AS468" s="62">
        <x:v>0.350994275210898</x:v>
      </x:c>
      <x:c r="AT468" s="62">
        <x:v>0.340518928658667</x:v>
      </x:c>
      <x:c r="AU468" s="60">
        <x:v>2.79</x:v>
      </x:c>
      <x:c r="AV468" s="60">
        <x:v>2.79</x:v>
      </x:c>
      <x:c r="AW468" s="60">
        <x:v>2.58</x:v>
      </x:c>
      <x:c r="AX468" s="49" t="s">
        <x:v>1890</x:v>
      </x:c>
      <x:c r="AY468" s="49" t="s">
        <x:v>101</x:v>
      </x:c>
    </x:row>
    <x:row r="469" ht="22" customHeight="1">
      <x:c r="A469" s="49" t="s">
        <x:v>1914</x:v>
      </x:c>
      <x:c r="B469" s="49" t="s">
        <x:v>1941</x:v>
      </x:c>
      <x:c r="C469" s="49" t="s">
        <x:v>333</x:v>
      </x:c>
      <x:c r="D469" s="49" t="s">
        <x:v>90</x:v>
      </x:c>
      <x:c r="E469" s="49" t="s">
        <x:v>110</x:v>
      </x:c>
      <x:c r="F469" s="49" t="s">
        <x:v>1949</x:v>
      </x:c>
      <x:c r="G469" s="60">
        <x:v>0.82</x:v>
      </x:c>
      <x:c r="H469" s="60">
        <x:v>1.25</x:v>
      </x:c>
      <x:c r="I469" s="60">
        <x:v>1.07</x:v>
      </x:c>
      <x:c r="J469" s="49" t="s">
        <x:v>683</x:v>
      </x:c>
      <x:c r="K469" s="49" t="s">
        <x:v>106</x:v>
      </x:c>
      <x:c r="L469" s="49" t="s">
        <x:v>1490</x:v>
      </x:c>
      <x:c r="M469" s="61">
        <x:v>0.584</x:v>
      </x:c>
      <x:c r="N469" s="49" t="s">
        <x:v>1888</x:v>
      </x:c>
      <x:c r="O469" s="49" t="s">
        <x:v>141</x:v>
      </x:c>
      <x:c r="P469" s="49" t="s">
        <x:v>30</x:v>
      </x:c>
      <x:c r="Q469" s="63" t="s">
        <x:v>11</x:v>
      </x:c>
      <x:c r="R469" s="50">
        <x:v>0.82</x:v>
      </x:c>
      <x:c r="S469" s="50">
        <x:f t="shared" si="32"/>
        <x:v>0.82</x:v>
      </x:c>
      <x:c r="T469" s="49" t="s">
        <x:v>1950</x:v>
      </x:c>
      <x:c r="U469" s="49" t="str">
        <x:f t="shared" si="30"/>
        <x:v>黑</x:v>
      </x:c>
      <x:c r="V469" s="50">
        <x:f t="shared" si="31"/>
        <x:v>1.07</x:v>
      </x:c>
      <x:c r="W469" s="50">
        <x:f t="shared" si="33"/>
        <x:v>-1</x:v>
      </x:c>
      <x:c r="X469" s="62">
        <x:v>1.02</x:v>
      </x:c>
      <x:c r="Y469" s="62">
        <x:v>1.25</x:v>
      </x:c>
      <x:c r="Z469" s="62">
        <x:v>0.8</x:v>
      </x:c>
      <x:c r="AA469" s="62">
        <x:v>-1.25</x:v>
      </x:c>
      <x:c r="AB469" s="62">
        <x:v>1.02</x:v>
      </x:c>
      <x:c r="AC469" s="62">
        <x:v>0.82</x:v>
      </x:c>
      <x:c r="AD469" s="60">
        <x:v>1.49</x:v>
      </x:c>
      <x:c r="AE469" s="60">
        <x:v>4.31</x:v>
      </x:c>
      <x:c r="AF469" s="60">
        <x:v>5.89</x:v>
      </x:c>
      <x:c r="AG469" s="62">
        <x:v>0.0729387880092291</x:v>
      </x:c>
      <x:c r="AH469" s="62">
        <x:v>0.0229387880092292</x:v>
      </x:c>
      <x:c r="AI469" s="62">
        <x:v>0.625516522561903</x:v>
      </x:c>
      <x:c r="AJ469" s="62">
        <x:v>0.216245851187294</x:v>
      </x:c>
      <x:c r="AK469" s="62">
        <x:v>0.158237626250804</x:v>
      </x:c>
      <x:c r="AL469" s="62">
        <x:v>1.91</x:v>
      </x:c>
      <x:c r="AM469" s="62">
        <x:v>0.84</x:v>
      </x:c>
      <x:c r="AN469" s="62">
        <x:v>0.000397967251419187</x:v>
      </x:c>
      <x:c r="AO469" s="62">
        <x:v>1.33024411544729</x:v>
      </x:c>
      <x:c r="AP469" s="62">
        <x:v>-0.510244115447286</x:v>
      </x:c>
      <x:c r="AQ469" s="62" t="s">
        <x:v>99</x:v>
      </x:c>
      <x:c r="AR469" s="49">
        <x:v>-1.25</x:v>
      </x:c>
      <x:c r="AS469" s="62">
        <x:v>0.375487918657045</x:v>
      </x:c>
      <x:c r="AT469" s="62">
        <x:v>0.499490594215083</x:v>
      </x:c>
      <x:c r="AU469" s="60">
        <x:v>1.38</x:v>
      </x:c>
      <x:c r="AV469" s="60">
        <x:v>4.76</x:v>
      </x:c>
      <x:c r="AW469" s="60">
        <x:v>7.69</x:v>
      </x:c>
      <x:c r="AX469" s="49" t="s">
        <x:v>1890</x:v>
      </x:c>
      <x:c r="AY469" s="49" t="s">
        <x:v>101</x:v>
      </x:c>
    </x:row>
    <x:row r="470" ht="22" customHeight="1">
      <x:c r="A470" s="49" t="s">
        <x:v>1914</x:v>
      </x:c>
      <x:c r="B470" s="49" t="s">
        <x:v>1941</x:v>
      </x:c>
      <x:c r="C470" s="49" t="s">
        <x:v>333</x:v>
      </x:c>
      <x:c r="D470" s="49" t="s">
        <x:v>90</x:v>
      </x:c>
      <x:c r="E470" s="49" t="s">
        <x:v>1176</x:v>
      </x:c>
      <x:c r="F470" s="49" t="s">
        <x:v>1951</x:v>
      </x:c>
      <x:c r="G470" s="60">
        <x:v>1.09</x:v>
      </x:c>
      <x:c r="H470" s="60">
        <x:v>-1.5</x:v>
      </x:c>
      <x:c r="I470" s="60">
        <x:v>0.79</x:v>
      </x:c>
      <x:c r="J470" s="49" t="s">
        <x:v>1952</x:v>
      </x:c>
      <x:c r="K470" s="49" t="s">
        <x:v>106</x:v>
      </x:c>
      <x:c r="L470" s="49" t="s">
        <x:v>1274</x:v>
      </x:c>
      <x:c r="M470" s="61">
        <x:v>0.584</x:v>
      </x:c>
      <x:c r="N470" s="49" t="s">
        <x:v>1888</x:v>
      </x:c>
      <x:c r="O470" s="49" t="s">
        <x:v>934</x:v>
      </x:c>
      <x:c r="P470" s="49" t="s">
        <x:v>30</x:v>
      </x:c>
      <x:c r="Q470" s="63" t="s">
        <x:v>11</x:v>
      </x:c>
      <x:c r="R470" s="50">
        <x:v>0.79</x:v>
      </x:c>
      <x:c r="S470" s="50">
        <x:f t="shared" si="32"/>
        <x:v>0.79</x:v>
      </x:c>
      <x:c r="T470" s="49" t="s">
        <x:v>1938</x:v>
      </x:c>
      <x:c r="U470" s="49" t="str">
        <x:f t="shared" si="30"/>
        <x:v>黑</x:v>
      </x:c>
      <x:c r="V470" s="50">
        <x:f t="shared" si="31"/>
        <x:v>1.09</x:v>
      </x:c>
      <x:c r="W470" s="50">
        <x:f t="shared" si="33"/>
        <x:v>-1</x:v>
      </x:c>
      <x:c r="X470" s="62">
        <x:v>0.87</x:v>
      </x:c>
      <x:c r="Y470" s="62">
        <x:v>-1.25</x:v>
      </x:c>
      <x:c r="Z470" s="62">
        <x:v>0.95</x:v>
      </x:c>
      <x:c r="AA470" s="62">
        <x:v>-1.25</x:v>
      </x:c>
      <x:c r="AB470" s="62">
        <x:v>0.95</x:v>
      </x:c>
      <x:c r="AC470" s="62">
        <x:v>0.79</x:v>
      </x:c>
      <x:c r="AD470" s="60">
        <x:v>6.38</x:v>
      </x:c>
      <x:c r="AE470" s="60">
        <x:v>4.32</x:v>
      </x:c>
      <x:c r="AF470" s="60">
        <x:v>1.45</x:v>
      </x:c>
      <x:c r="AG470" s="62">
        <x:v>0.0778764658075004</x:v>
      </x:c>
      <x:c r="AH470" s="62">
        <x:v>0.0278764658075004</x:v>
      </x:c>
      <x:c r="AI470" s="62">
        <x:v>0.145415376329608</x:v>
      </x:c>
      <x:c r="AJ470" s="62">
        <x:v>0.214756967820116</x:v>
      </x:c>
      <x:c r="AK470" s="62">
        <x:v>0.639827655850276</x:v>
      </x:c>
      <x:c r="AL470" s="62">
        <x:v>0.77</x:v>
      </x:c>
      <x:c r="AM470" s="62">
        <x:v>1.89</x:v>
      </x:c>
      <x:c r="AN470" s="62">
        <x:v>0.000671763257298025</x:v>
      </x:c>
      <x:c r="AO470" s="62">
        <x:v>1.60341989591657</x:v>
      </x:c>
      <x:c r="AP470" s="62">
        <x:v>-0.813419895916565</x:v>
      </x:c>
      <x:c r="AQ470" s="62" t="s">
        <x:v>99</x:v>
      </x:c>
      <x:c r="AR470" s="49">
        <x:v>-1.5</x:v>
      </x:c>
      <x:c r="AS470" s="62">
        <x:v>0.384110147413596</x:v>
      </x:c>
      <x:c r="AT470" s="62">
        <x:v>0.615889852586404</x:v>
      </x:c>
      <x:c r="AU470" s="60">
        <x:v>9.78</x:v>
      </x:c>
      <x:c r="AV470" s="60">
        <x:v>5.47</x:v>
      </x:c>
      <x:c r="AW470" s="60">
        <x:v>1.28</x:v>
      </x:c>
      <x:c r="AX470" s="49" t="s">
        <x:v>1890</x:v>
      </x:c>
      <x:c r="AY470" s="49" t="s">
        <x:v>101</x:v>
      </x:c>
    </x:row>
    <x:row r="471" ht="22" customHeight="1">
      <x:c r="A471" s="49" t="s">
        <x:v>1914</x:v>
      </x:c>
      <x:c r="B471" s="49" t="s">
        <x:v>1941</x:v>
      </x:c>
      <x:c r="C471" s="49" t="s">
        <x:v>333</x:v>
      </x:c>
      <x:c r="D471" s="49" t="s">
        <x:v>90</x:v>
      </x:c>
      <x:c r="E471" s="49" t="s">
        <x:v>1176</x:v>
      </x:c>
      <x:c r="F471" s="49" t="s">
        <x:v>1953</x:v>
      </x:c>
      <x:c r="G471" s="60">
        <x:v>1.02</x:v>
      </x:c>
      <x:c r="H471" s="60">
        <x:v>1</x:v>
      </x:c>
      <x:c r="I471" s="60">
        <x:v>0.86</x:v>
      </x:c>
      <x:c r="J471" s="49" t="s">
        <x:v>1954</x:v>
      </x:c>
      <x:c r="K471" s="49" t="s">
        <x:v>189</x:v>
      </x:c>
      <x:c r="L471" s="49" t="s">
        <x:v>612</x:v>
      </x:c>
      <x:c r="M471" s="61">
        <x:v>0.529</x:v>
      </x:c>
      <x:c r="N471" s="49" t="s">
        <x:v>1888</x:v>
      </x:c>
      <x:c r="O471" s="49" t="s">
        <x:v>197</x:v>
      </x:c>
      <x:c r="P471" s="49" t="s">
        <x:v>30</x:v>
      </x:c>
      <x:c r="Q471" s="63" t="s">
        <x:v>11</x:v>
      </x:c>
      <x:c r="R471" s="50">
        <x:v>1.02</x:v>
      </x:c>
      <x:c r="S471" s="50">
        <x:f t="shared" si="32"/>
        <x:v>1.02</x:v>
      </x:c>
      <x:c r="T471" s="49" t="s">
        <x:v>1938</x:v>
      </x:c>
      <x:c r="U471" s="49" t="str">
        <x:f t="shared" si="30"/>
        <x:v>黑</x:v>
      </x:c>
      <x:c r="V471" s="50">
        <x:f t="shared" si="31"/>
        <x:v>0.86</x:v>
      </x:c>
      <x:c r="W471" s="50">
        <x:f t="shared" si="33"/>
        <x:v>-1</x:v>
      </x:c>
      <x:c r="X471" s="62">
        <x:v>0.94</x:v>
      </x:c>
      <x:c r="Y471" s="62">
        <x:v>0.75</x:v>
      </x:c>
      <x:c r="Z471" s="62">
        <x:v>0.88</x:v>
      </x:c>
      <x:c r="AA471" s="62">
        <x:v>-0.75</x:v>
      </x:c>
      <x:c r="AB471" s="62">
        <x:v>0.94</x:v>
      </x:c>
      <x:c r="AC471" s="62">
        <x:v>1.02</x:v>
      </x:c>
      <x:c r="AD471" s="60">
        <x:v>1.73</x:v>
      </x:c>
      <x:c r="AE471" s="60">
        <x:v>3.87</x:v>
      </x:c>
      <x:c r="AF471" s="60">
        <x:v>4.13</x:v>
      </x:c>
      <x:c r="AG471" s="62">
        <x:v>0.0785633655027893</x:v>
      </x:c>
      <x:c r="AH471" s="62">
        <x:v>0.0285633655027893</x:v>
      </x:c>
      <x:c r="AI471" s="62">
        <x:v>0.535930201756357</x:v>
      </x:c>
      <x:c r="AJ471" s="62">
        <x:v>0.239576033343281</x:v>
      </x:c>
      <x:c r="AK471" s="62">
        <x:v>0.224493764900362</x:v>
      </x:c>
      <x:c r="AL471" s="62">
        <x:v>1.7</x:v>
      </x:c>
      <x:c r="AM471" s="62">
        <x:v>1.01</x:v>
      </x:c>
      <x:c r="AN471" s="62">
        <x:v>0.000481230517632419</x:v>
      </x:c>
      <x:c r="AO471" s="62">
        <x:v>1.58431179185759</x:v>
      </x:c>
      <x:c r="AP471" s="62">
        <x:v>-0.564311791857588</x:v>
      </x:c>
      <x:c r="AQ471" s="62" t="s">
        <x:v>99</x:v>
      </x:c>
      <x:c r="AR471" s="49">
        <x:v>-1</x:v>
      </x:c>
      <x:c r="AS471" s="62">
        <x:v>0.293174231135602</x:v>
      </x:c>
      <x:c r="AT471" s="62">
        <x:v>0.464479391456916</x:v>
      </x:c>
      <x:c r="AU471" s="60">
        <x:v>1.67</x:v>
      </x:c>
      <x:c r="AV471" s="60">
        <x:v>4.05</x:v>
      </x:c>
      <x:c r="AW471" s="60">
        <x:v>4.58</x:v>
      </x:c>
      <x:c r="AX471" s="49" t="s">
        <x:v>1890</x:v>
      </x:c>
      <x:c r="AY471" s="49" t="s">
        <x:v>101</x:v>
      </x:c>
    </x:row>
    <x:row r="472" ht="22" customHeight="1">
      <x:c r="A472" s="49" t="s">
        <x:v>1914</x:v>
      </x:c>
      <x:c r="B472" s="49" t="s">
        <x:v>1955</x:v>
      </x:c>
      <x:c r="C472" s="49" t="s">
        <x:v>333</x:v>
      </x:c>
      <x:c r="D472" s="49" t="s">
        <x:v>116</x:v>
      </x:c>
      <x:c r="E472" s="49" t="s">
        <x:v>613</x:v>
      </x:c>
      <x:c r="F472" s="49" t="s">
        <x:v>1956</x:v>
      </x:c>
      <x:c r="G472" s="60">
        <x:v>1.04</x:v>
      </x:c>
      <x:c r="H472" s="60">
        <x:v>-2</x:v>
      </x:c>
      <x:c r="I472" s="60">
        <x:v>0.85</x:v>
      </x:c>
      <x:c r="J472" s="49" t="s">
        <x:v>1957</x:v>
      </x:c>
      <x:c r="K472" s="49" t="s">
        <x:v>106</x:v>
      </x:c>
      <x:c r="L472" s="49" t="s">
        <x:v>616</x:v>
      </x:c>
      <x:c r="M472" s="61">
        <x:v>0.584</x:v>
      </x:c>
      <x:c r="N472" s="49" t="s">
        <x:v>1888</x:v>
      </x:c>
      <x:c r="O472" s="49" t="s">
        <x:v>642</x:v>
      </x:c>
      <x:c r="P472" s="49" t="s">
        <x:v>30</x:v>
      </x:c>
      <x:c r="Q472" s="64" t="s">
        <x:v>23</x:v>
      </x:c>
      <x:c r="R472" s="50">
        <x:v>0.85</x:v>
      </x:c>
      <x:c r="S472" s="50">
        <x:f t="shared" si="32"/>
        <x:v>-1</x:v>
      </x:c>
      <x:c r="T472" s="49" t="s">
        <x:v>1929</x:v>
      </x:c>
      <x:c r="U472" s="49" t="str">
        <x:f t="shared" si="30"/>
        <x:v>红</x:v>
      </x:c>
      <x:c r="V472" s="50">
        <x:f t="shared" si="31"/>
        <x:v>1.04</x:v>
      </x:c>
      <x:c r="W472" s="50">
        <x:f t="shared" si="33"/>
        <x:v>1.04</x:v>
      </x:c>
      <x:c r="X472" s="62">
        <x:v>0.84</x:v>
      </x:c>
      <x:c r="Y472" s="62">
        <x:v>-1.75</x:v>
      </x:c>
      <x:c r="Z472" s="62">
        <x:v>1.04</x:v>
      </x:c>
      <x:c r="AA472" s="62">
        <x:v>-1.75</x:v>
      </x:c>
      <x:c r="AB472" s="62">
        <x:v>1.04</x:v>
      </x:c>
      <x:c r="AC472" s="62">
        <x:v>0.85</x:v>
      </x:c>
      <x:c r="AD472" s="60">
        <x:v>9.4</x:v>
      </x:c>
      <x:c r="AE472" s="60">
        <x:v>5.65</x:v>
      </x:c>
      <x:c r="AF472" s="60">
        <x:v>1.28</x:v>
      </x:c>
      <x:c r="AG472" s="62">
        <x:v>0.0646241291658822</x:v>
      </x:c>
      <x:c r="AH472" s="62">
        <x:v>0.0146241291658822</x:v>
      </x:c>
      <x:c r="AI472" s="62">
        <x:v>0.0999253875701219</x:v>
      </x:c>
      <x:c r="AJ472" s="62">
        <x:v>0.166247547461796</x:v>
      </x:c>
      <x:c r="AK472" s="62">
        <x:v>0.733827064968082</x:v>
      </x:c>
      <x:c r="AL472" s="62">
        <x:v>0.74</x:v>
      </x:c>
      <x:c r="AM472" s="62">
        <x:v>2.35</x:v>
      </x:c>
      <x:c r="AN472" s="62">
        <x:v>0.000145599204850199</x:v>
      </x:c>
      <x:c r="AO472" s="62">
        <x:v>1.73705913316833</x:v>
      </x:c>
      <x:c r="AP472" s="62">
        <x:v>-0.887059133168328</x:v>
      </x:c>
      <x:c r="AQ472" s="62" t="s">
        <x:v>99</x:v>
      </x:c>
      <x:c r="AR472" s="49">
        <x:v>-2</x:v>
      </x:c>
      <x:c r="AS472" s="62">
        <x:v>0.286336531064501</x:v>
      </x:c>
      <x:c r="AT472" s="62">
        <x:v>0.497383486445327</x:v>
      </x:c>
      <x:c r="AU472" s="60">
        <x:v>12.17</x:v>
      </x:c>
      <x:c r="AV472" s="60">
        <x:v>7.32</x:v>
      </x:c>
      <x:c r="AW472" s="60">
        <x:v>1.2</x:v>
      </x:c>
      <x:c r="AX472" s="49" t="s">
        <x:v>1890</x:v>
      </x:c>
      <x:c r="AY472" s="49" t="s">
        <x:v>101</x:v>
      </x:c>
    </x:row>
    <x:row r="473" ht="22" customHeight="1">
      <x:c r="A473" s="49" t="s">
        <x:v>1914</x:v>
      </x:c>
      <x:c r="B473" s="49" t="s">
        <x:v>1958</x:v>
      </x:c>
      <x:c r="C473" s="49" t="s">
        <x:v>447</x:v>
      </x:c>
      <x:c r="D473" s="49" t="s">
        <x:v>116</x:v>
      </x:c>
      <x:c r="E473" s="49" t="s">
        <x:v>448</x:v>
      </x:c>
      <x:c r="F473" s="49" t="s">
        <x:v>1959</x:v>
      </x:c>
      <x:c r="G473" s="60">
        <x:v>1.03</x:v>
      </x:c>
      <x:c r="H473" s="60">
        <x:v>1</x:v>
      </x:c>
      <x:c r="I473" s="60">
        <x:v>0.79</x:v>
      </x:c>
      <x:c r="J473" s="49" t="s">
        <x:v>1960</x:v>
      </x:c>
      <x:c r="K473" s="49" t="s">
        <x:v>189</x:v>
      </x:c>
      <x:c r="L473" s="49" t="s">
        <x:v>1961</x:v>
      </x:c>
      <x:c r="M473" s="61">
        <x:v>0.523</x:v>
      </x:c>
      <x:c r="N473" s="49" t="s">
        <x:v>1888</x:v>
      </x:c>
      <x:c r="O473" s="49" t="s">
        <x:v>108</x:v>
      </x:c>
      <x:c r="P473" s="49" t="s">
        <x:v>30</x:v>
      </x:c>
      <x:c r="Q473" s="63" t="s">
        <x:v>11</x:v>
      </x:c>
      <x:c r="R473" s="50">
        <x:v>1.03</x:v>
      </x:c>
      <x:c r="S473" s="50">
        <x:f t="shared" si="32"/>
        <x:v>1.03</x:v>
      </x:c>
      <x:c r="T473" s="49" t="s">
        <x:v>1962</x:v>
      </x:c>
      <x:c r="U473" s="49" t="str">
        <x:f t="shared" si="30"/>
        <x:v>黑</x:v>
      </x:c>
      <x:c r="V473" s="50">
        <x:f t="shared" si="31"/>
        <x:v>0.79</x:v>
      </x:c>
      <x:c r="W473" s="50">
        <x:f t="shared" si="33"/>
        <x:v>-1</x:v>
      </x:c>
      <x:c r="X473" s="62">
        <x:v>0.76</x:v>
      </x:c>
      <x:c r="Y473" s="62">
        <x:v>0.75</x:v>
      </x:c>
      <x:c r="Z473" s="62">
        <x:v>0.94</x:v>
      </x:c>
      <x:c r="AA473" s="62">
        <x:v>-0.75</x:v>
      </x:c>
      <x:c r="AB473" s="62">
        <x:v>0.76</x:v>
      </x:c>
      <x:c r="AC473" s="62">
        <x:v>1.03</x:v>
      </x:c>
      <x:c r="AD473" s="60">
        <x:v>1.63</x:v>
      </x:c>
      <x:c r="AE473" s="60">
        <x:v>3.87</x:v>
      </x:c>
      <x:c r="AF473" s="60">
        <x:v>4.33</x:v>
      </x:c>
      <x:c r="AG473" s="62">
        <x:v>0.102841747548965</x:v>
      </x:c>
      <x:c r="AH473" s="62">
        <x:v>0.0528417475489649</x:v>
      </x:c>
      <x:c r="AI473" s="62">
        <x:v>0.556287367502017</x:v>
      </x:c>
      <x:c r="AJ473" s="62">
        <x:v>0.234301914477594</x:v>
      </x:c>
      <x:c r="AK473" s="62">
        <x:v>0.20941071802039</x:v>
      </x:c>
      <x:c r="AL473" s="62">
        <x:v>1.76</x:v>
      </x:c>
      <x:c r="AM473" s="62">
        <x:v>0.98</x:v>
      </x:c>
      <x:c r="AN473" s="62">
        <x:v>0.000602055990862604</x:v>
      </x:c>
      <x:c r="AO473" s="62">
        <x:v>1.415994629708</x:v>
      </x:c>
      <x:c r="AP473" s="62">
        <x:v>-0.385994629708003</x:v>
      </x:c>
      <x:c r="AQ473" s="62" t="s">
        <x:v>99</x:v>
      </x:c>
      <x:c r="AR473" s="49">
        <x:v>-1</x:v>
      </x:c>
      <x:c r="AS473" s="62">
        <x:v>0.312813831537696</x:v>
      </x:c>
      <x:c r="AT473" s="62">
        <x:v>0.442942705555761</x:v>
      </x:c>
      <x:c r="AU473" s="60">
        <x:v>1.64</x:v>
      </x:c>
      <x:c r="AV473" s="60">
        <x:v>3.86</x:v>
      </x:c>
      <x:c r="AW473" s="60">
        <x:v>4.34</x:v>
      </x:c>
      <x:c r="AX473" s="49" t="s">
        <x:v>1890</x:v>
      </x:c>
      <x:c r="AY473" s="49" t="s">
        <x:v>101</x:v>
      </x:c>
    </x:row>
    <x:row r="474" ht="22" customHeight="1">
      <x:c r="A474" s="49" t="s">
        <x:v>1963</x:v>
      </x:c>
      <x:c r="B474" s="49" t="s">
        <x:v>1964</x:v>
      </x:c>
      <x:c r="C474" s="49" t="s">
        <x:v>89</x:v>
      </x:c>
      <x:c r="D474" s="49" t="s">
        <x:v>90</x:v>
      </x:c>
      <x:c r="E474" s="49" t="s">
        <x:v>295</x:v>
      </x:c>
      <x:c r="F474" s="49" t="s">
        <x:v>1965</x:v>
      </x:c>
      <x:c r="G474" s="60">
        <x:v>0.85</x:v>
      </x:c>
      <x:c r="H474" s="60">
        <x:v>1.75</x:v>
      </x:c>
      <x:c r="I474" s="60">
        <x:v>0.97</x:v>
      </x:c>
      <x:c r="J474" s="49" t="s">
        <x:v>1156</x:v>
      </x:c>
      <x:c r="K474" s="49" t="s">
        <x:v>132</x:v>
      </x:c>
      <x:c r="L474" s="49" t="s">
        <x:v>1966</x:v>
      </x:c>
      <x:c r="M474" s="61">
        <x:v>0.555</x:v>
      </x:c>
      <x:c r="N474" s="49" t="s">
        <x:v>1888</x:v>
      </x:c>
      <x:c r="O474" s="49" t="s">
        <x:v>201</x:v>
      </x:c>
      <x:c r="P474" s="49" t="s">
        <x:v>30</x:v>
      </x:c>
      <x:c r="Q474" s="63" t="s">
        <x:v>11</x:v>
      </x:c>
      <x:c r="R474" s="50">
        <x:v>0.97</x:v>
      </x:c>
      <x:c r="S474" s="50">
        <x:f t="shared" si="32"/>
        <x:v>0.97</x:v>
      </x:c>
      <x:c r="T474" s="49" t="s">
        <x:v>1890</x:v>
      </x:c>
      <x:c r="U474" s="49" t="str">
        <x:f t="shared" si="30"/>
        <x:v>黑</x:v>
      </x:c>
      <x:c r="V474" s="50">
        <x:f t="shared" si="31"/>
        <x:v>0.85</x:v>
      </x:c>
      <x:c r="W474" s="50">
        <x:f t="shared" si="33"/>
        <x:v>-1</x:v>
      </x:c>
      <x:c r="X474" s="62">
        <x:v>0.87</x:v>
      </x:c>
      <x:c r="Y474" s="62">
        <x:v>2</x:v>
      </x:c>
      <x:c r="Z474" s="62">
        <x:v>0.95</x:v>
      </x:c>
      <x:c r="AA474" s="62">
        <x:v>2</x:v>
      </x:c>
      <x:c r="AB474" s="62">
        <x:v>0.95</x:v>
      </x:c>
      <x:c r="AC474" s="62">
        <x:v>0.97</x:v>
      </x:c>
      <x:c r="AD474" s="60">
        <x:v>1.23</x:v>
      </x:c>
      <x:c r="AE474" s="60">
        <x:v>5.5</x:v>
      </x:c>
      <x:c r="AF474" s="60">
        <x:v>9.87</x:v>
      </x:c>
      <x:c r="AG474" s="62">
        <x:v>0.0961434344932011</x:v>
      </x:c>
      <x:c r="AH474" s="62">
        <x:v>0.0461434344932011</x:v>
      </x:c>
      <x:c r="AI474" s="62">
        <x:v>0.741698672361426</x:v>
      </x:c>
      <x:c r="AJ474" s="62">
        <x:v>0.165870794000828</x:v>
      </x:c>
      <x:c r="AK474" s="62">
        <x:v>0.0924305336377461</x:v>
      </x:c>
      <x:c r="AL474" s="62">
        <x:v>2.31</x:v>
      </x:c>
      <x:c r="AM474" s="62">
        <x:v>0.68</x:v>
      </x:c>
      <x:c r="AN474" s="62">
        <x:v>0.000462426180310273</x:v>
      </x:c>
      <x:c r="AO474" s="62">
        <x:v>0.803258522643778</x:v>
      </x:c>
      <x:c r="AP474" s="62">
        <x:v>0.166741477356222</x:v>
      </x:c>
      <x:c r="AQ474" s="62" t="s">
        <x:v>142</x:v>
      </x:c>
      <x:c r="AR474" s="49">
        <x:v>1.75</x:v>
      </x:c>
      <x:c r="AS474" s="62">
        <x:v>0.493618093776014</x:v>
      </x:c>
      <x:c r="AT474" s="62">
        <x:v>0.396502940756759</x:v>
      </x:c>
      <x:c r="AU474" s="60">
        <x:v>1.19</x:v>
      </x:c>
      <x:c r="AV474" s="60">
        <x:v>5.88</x:v>
      </x:c>
      <x:c r="AW474" s="60">
        <x:v>11.66</x:v>
      </x:c>
      <x:c r="AX474" s="49" t="s">
        <x:v>1890</x:v>
      </x:c>
      <x:c r="AY474" s="49" t="s">
        <x:v>101</x:v>
      </x:c>
    </x:row>
    <x:row r="475" ht="22" customHeight="1">
      <x:c r="A475" s="49" t="s">
        <x:v>1963</x:v>
      </x:c>
      <x:c r="B475" s="49" t="s">
        <x:v>1967</x:v>
      </x:c>
      <x:c r="C475" s="49" t="s">
        <x:v>89</x:v>
      </x:c>
      <x:c r="D475" s="49" t="s">
        <x:v>116</x:v>
      </x:c>
      <x:c r="E475" s="49" t="s">
        <x:v>307</x:v>
      </x:c>
      <x:c r="F475" s="49" t="s">
        <x:v>1968</x:v>
      </x:c>
      <x:c r="G475" s="60">
        <x:v>0.9</x:v>
      </x:c>
      <x:c r="H475" s="60">
        <x:v>-0.25</x:v>
      </x:c>
      <x:c r="I475" s="60">
        <x:v>0.8</x:v>
      </x:c>
      <x:c r="J475" s="49" t="s">
        <x:v>1448</x:v>
      </x:c>
      <x:c r="K475" s="49" t="s">
        <x:v>106</x:v>
      </x:c>
      <x:c r="L475" s="49" t="s">
        <x:v>1969</x:v>
      </x:c>
      <x:c r="M475" s="61">
        <x:v>0.576</x:v>
      </x:c>
      <x:c r="N475" s="49" t="s">
        <x:v>1888</x:v>
      </x:c>
      <x:c r="O475" s="49" t="s">
        <x:v>191</x:v>
      </x:c>
      <x:c r="P475" s="49" t="s">
        <x:v>30</x:v>
      </x:c>
      <x:c r="Q475" s="63" t="s">
        <x:v>11</x:v>
      </x:c>
      <x:c r="R475" s="50">
        <x:v>0.8</x:v>
      </x:c>
      <x:c r="S475" s="50">
        <x:f t="shared" si="32"/>
        <x:v>0.8</x:v>
      </x:c>
      <x:c r="T475" s="49" t="s">
        <x:v>1890</x:v>
      </x:c>
      <x:c r="U475" s="49" t="str">
        <x:f t="shared" si="30"/>
        <x:v>黑</x:v>
      </x:c>
      <x:c r="V475" s="50">
        <x:f t="shared" si="31"/>
        <x:v>0.9</x:v>
      </x:c>
      <x:c r="W475" s="50">
        <x:f t="shared" si="33"/>
        <x:v>-1</x:v>
      </x:c>
      <x:c r="X475" s="62">
        <x:v>0.92</x:v>
      </x:c>
      <x:c r="Y475" s="62">
        <x:v>-0.25</x:v>
      </x:c>
      <x:c r="Z475" s="62">
        <x:v>0.78</x:v>
      </x:c>
      <x:c r="AA475" s="62">
        <x:v>-0.25</x:v>
      </x:c>
      <x:c r="AB475" s="62">
        <x:v>0.78</x:v>
      </x:c>
      <x:c r="AC475" s="62">
        <x:v>0.8</x:v>
      </x:c>
      <x:c r="AD475" s="60">
        <x:v>2.98</x:v>
      </x:c>
      <x:c r="AE475" s="60">
        <x:v>3.41</x:v>
      </x:c>
      <x:c r="AF475" s="60">
        <x:v>2.07</x:v>
      </x:c>
      <x:c r="AG475" s="62">
        <x:v>0.111917389203081</x:v>
      </x:c>
      <x:c r="AH475" s="62">
        <x:v>0.0619173892030805</x:v>
      </x:c>
      <x:c r="AI475" s="62">
        <x:v>0.30179442560851</x:v>
      </x:c>
      <x:c r="AJ475" s="62">
        <x:v>0.263738237042041</x:v>
      </x:c>
      <x:c r="AK475" s="62">
        <x:v>0.434467337349449</x:v>
      </x:c>
      <x:c r="AL475" s="62">
        <x:v>1.13</x:v>
      </x:c>
      <x:c r="AM475" s="62">
        <x:v>1.41</x:v>
      </x:c>
      <x:c r="AN475" s="62">
        <x:v>0.000511299401082343</x:v>
      </x:c>
      <x:c r="AO475" s="62">
        <x:v>1.000222977098</x:v>
      </x:c>
      <x:c r="AP475" s="62">
        <x:v>-0.200222977098002</x:v>
      </x:c>
      <x:c r="AQ475" s="62" t="s">
        <x:v>99</x:v>
      </x:c>
      <x:c r="AR475" s="49">
        <x:v>-0.25</x:v>
      </x:c>
      <x:c r="AS475" s="62">
        <x:v>0.433856860420027</x:v>
      </x:c>
      <x:c r="AT475" s="62">
        <x:v>0.433953600563712</x:v>
      </x:c>
      <x:c r="AU475" s="60">
        <x:v>2.95</x:v>
      </x:c>
      <x:c r="AV475" s="60">
        <x:v>3.49</x:v>
      </x:c>
      <x:c r="AW475" s="60">
        <x:v>2.08</x:v>
      </x:c>
      <x:c r="AX475" s="49" t="s">
        <x:v>1890</x:v>
      </x:c>
      <x:c r="AY475" s="49" t="s">
        <x:v>101</x:v>
      </x:c>
    </x:row>
    <x:row r="476" ht="22" customHeight="1">
      <x:c r="A476" s="49" t="s">
        <x:v>1963</x:v>
      </x:c>
      <x:c r="B476" s="49" t="s">
        <x:v>1970</x:v>
      </x:c>
      <x:c r="C476" s="49" t="s">
        <x:v>89</x:v>
      </x:c>
      <x:c r="D476" s="49" t="s">
        <x:v>116</x:v>
      </x:c>
      <x:c r="E476" s="49" t="s">
        <x:v>789</x:v>
      </x:c>
      <x:c r="F476" s="49" t="s">
        <x:v>1971</x:v>
      </x:c>
      <x:c r="G476" s="60">
        <x:v>1.06</x:v>
      </x:c>
      <x:c r="H476" s="60">
        <x:v>-0.25</x:v>
      </x:c>
      <x:c r="I476" s="60">
        <x:v>0.83</x:v>
      </x:c>
      <x:c r="J476" s="49" t="s">
        <x:v>842</x:v>
      </x:c>
      <x:c r="K476" s="49" t="s">
        <x:v>106</x:v>
      </x:c>
      <x:c r="L476" s="49" t="s">
        <x:v>1972</x:v>
      </x:c>
      <x:c r="M476" s="61">
        <x:v>0.576</x:v>
      </x:c>
      <x:c r="N476" s="49" t="s">
        <x:v>1888</x:v>
      </x:c>
      <x:c r="O476" s="49" t="s">
        <x:v>126</x:v>
      </x:c>
      <x:c r="P476" s="49" t="s">
        <x:v>30</x:v>
      </x:c>
      <x:c r="Q476" s="64" t="s">
        <x:v>20</x:v>
      </x:c>
      <x:c r="R476" s="50">
        <x:v>0.83</x:v>
      </x:c>
      <x:c r="S476" s="50">
        <x:f t="shared" si="32"/>
        <x:v>-0.5</x:v>
      </x:c>
      <x:c r="T476" s="49" t="s">
        <x:v>1890</x:v>
      </x:c>
      <x:c r="U476" s="49" t="str">
        <x:f t="shared" si="30"/>
        <x:v>半红</x:v>
      </x:c>
      <x:c r="V476" s="50">
        <x:f t="shared" si="31"/>
        <x:v>1.06</x:v>
      </x:c>
      <x:c r="W476" s="50">
        <x:f t="shared" si="33"/>
        <x:v>0.53</x:v>
      </x:c>
      <x:c r="X476" s="62">
        <x:v>0.85</x:v>
      </x:c>
      <x:c r="Y476" s="62">
        <x:v>-0.25</x:v>
      </x:c>
      <x:c r="Z476" s="62">
        <x:v>1.03</x:v>
      </x:c>
      <x:c r="AA476" s="62">
        <x:v>-0.25</x:v>
      </x:c>
      <x:c r="AB476" s="62">
        <x:v>1.03</x:v>
      </x:c>
      <x:c r="AC476" s="62">
        <x:v>0.83</x:v>
      </x:c>
      <x:c r="AD476" s="60">
        <x:v>3.13</x:v>
      </x:c>
      <x:c r="AE476" s="60">
        <x:v>3.22</x:v>
      </x:c>
      <x:c r="AF476" s="60">
        <x:v>2.25</x:v>
      </x:c>
      <x:c r="AG476" s="62">
        <x:v>0.0744922685469982</x:v>
      </x:c>
      <x:c r="AH476" s="62">
        <x:v>0.0244922685469982</x:v>
      </x:c>
      <x:c r="AI476" s="62">
        <x:v>0.297339336208913</x:v>
      </x:c>
      <x:c r="AJ476" s="62">
        <x:v>0.289028609420465</x:v>
      </x:c>
      <x:c r="AK476" s="62">
        <x:v>0.413632054370622</x:v>
      </x:c>
      <x:c r="AL476" s="62">
        <x:v>0.98</x:v>
      </x:c>
      <x:c r="AM476" s="62">
        <x:v>1.21</x:v>
      </x:c>
      <x:c r="AN476" s="62">
        <x:v>0.000440695815939281</x:v>
      </x:c>
      <x:c r="AO476" s="62">
        <x:v>1.0703488241173</x:v>
      </x:c>
      <x:c r="AP476" s="62">
        <x:v>-0.240348824117301</x:v>
      </x:c>
      <x:c r="AQ476" s="62" t="s">
        <x:v>99</x:v>
      </x:c>
      <x:c r="AR476" s="49">
        <x:v>-0.25</x:v>
      </x:c>
      <x:c r="AS476" s="62">
        <x:v>0.413081037934317</x:v>
      </x:c>
      <x:c r="AT476" s="62">
        <x:v>0.442140803218151</x:v>
      </x:c>
      <x:c r="AU476" s="60">
        <x:v>3.33</x:v>
      </x:c>
      <x:c r="AV476" s="60">
        <x:v>3.25</x:v>
      </x:c>
      <x:c r="AW476" s="60">
        <x:v>2.17</x:v>
      </x:c>
      <x:c r="AX476" s="49" t="s">
        <x:v>1890</x:v>
      </x:c>
      <x:c r="AY476" s="49" t="s">
        <x:v>101</x:v>
      </x:c>
    </x:row>
    <x:row r="477" ht="22" customHeight="1">
      <x:c r="A477" s="49" t="s">
        <x:v>1963</x:v>
      </x:c>
      <x:c r="B477" s="49" t="s">
        <x:v>1970</x:v>
      </x:c>
      <x:c r="C477" s="49" t="s">
        <x:v>89</x:v>
      </x:c>
      <x:c r="D477" s="49" t="s">
        <x:v>116</x:v>
      </x:c>
      <x:c r="E477" s="49" t="s">
        <x:v>789</x:v>
      </x:c>
      <x:c r="F477" s="49" t="s">
        <x:v>1973</x:v>
      </x:c>
      <x:c r="G477" s="60">
        <x:v>0.82</x:v>
      </x:c>
      <x:c r="H477" s="60">
        <x:v>1.25</x:v>
      </x:c>
      <x:c r="I477" s="60">
        <x:v>1.07</x:v>
      </x:c>
      <x:c r="J477" s="49" t="s">
        <x:v>683</x:v>
      </x:c>
      <x:c r="K477" s="49" t="s">
        <x:v>132</x:v>
      </x:c>
      <x:c r="L477" s="49" t="s">
        <x:v>1974</x:v>
      </x:c>
      <x:c r="M477" s="61">
        <x:v>0.555</x:v>
      </x:c>
      <x:c r="N477" s="49" t="s">
        <x:v>1888</x:v>
      </x:c>
      <x:c r="O477" s="49" t="s">
        <x:v>201</x:v>
      </x:c>
      <x:c r="P477" s="49" t="s">
        <x:v>30</x:v>
      </x:c>
      <x:c r="Q477" s="63" t="s">
        <x:v>14</x:v>
      </x:c>
      <x:c r="R477" s="50">
        <x:v>1.07</x:v>
      </x:c>
      <x:c r="S477" s="50">
        <x:f t="shared" si="32"/>
        <x:v>0.535</x:v>
      </x:c>
      <x:c r="T477" s="49" t="s">
        <x:v>1890</x:v>
      </x:c>
      <x:c r="U477" s="49" t="str">
        <x:f t="shared" si="30"/>
        <x:v>半黑</x:v>
      </x:c>
      <x:c r="V477" s="50">
        <x:f t="shared" si="31"/>
        <x:v>0.82</x:v>
      </x:c>
      <x:c r="W477" s="50">
        <x:f t="shared" si="33"/>
        <x:v>-0.5</x:v>
      </x:c>
      <x:c r="X477" s="62">
        <x:v>1.05</x:v>
      </x:c>
      <x:c r="Y477" s="62">
        <x:v>1.5</x:v>
      </x:c>
      <x:c r="Z477" s="62">
        <x:v>0.83</x:v>
      </x:c>
      <x:c r="AA477" s="62">
        <x:v>1.5</x:v>
      </x:c>
      <x:c r="AB477" s="62">
        <x:v>0.83</x:v>
      </x:c>
      <x:c r="AC477" s="62">
        <x:v>1.07</x:v>
      </x:c>
      <x:c r="AD477" s="60">
        <x:v>1.33</x:v>
      </x:c>
      <x:c r="AE477" s="60">
        <x:v>4.73</x:v>
      </x:c>
      <x:c r="AF477" s="60">
        <x:v>9.06</x:v>
      </x:c>
      <x:c r="AG477" s="62">
        <x:v>0.0736714656725679</x:v>
      </x:c>
      <x:c r="AH477" s="62">
        <x:v>0.0236714656725679</x:v>
      </x:c>
      <x:c r="AI477" s="62">
        <x:v>0.700288424613323</x:v>
      </x:c>
      <x:c r="AJ477" s="62">
        <x:v>0.196909853009666</x:v>
      </x:c>
      <x:c r="AK477" s="62">
        <x:v>0.102801722377011</x:v>
      </x:c>
      <x:c r="AL477" s="62">
        <x:v>1.98</x:v>
      </x:c>
      <x:c r="AM477" s="62">
        <x:v>0.6</x:v>
      </x:c>
      <x:c r="AN477" s="62">
        <x:v>0.000623319794177489</x:v>
      </x:c>
      <x:c r="AO477" s="62">
        <x:v>1.03346727639725</x:v>
      </x:c>
      <x:c r="AP477" s="62">
        <x:v>0.0365327236027475</x:v>
      </x:c>
      <x:c r="AQ477" s="62" t="s">
        <x:v>174</x:v>
      </x:c>
      <x:c r="AR477" s="49">
        <x:v>1.25</x:v>
      </x:c>
      <x:c r="AS477" s="62">
        <x:v>0.42817201567669</x:v>
      </x:c>
      <x:c r="AT477" s="62">
        <x:v>0.442501766870911</x:v>
      </x:c>
      <x:c r="AU477" s="60">
        <x:v>1.35</x:v>
      </x:c>
      <x:c r="AV477" s="60">
        <x:v>4.9</x:v>
      </x:c>
      <x:c r="AW477" s="60">
        <x:v>8.2</x:v>
      </x:c>
      <x:c r="AX477" s="49" t="s">
        <x:v>1890</x:v>
      </x:c>
      <x:c r="AY477" s="49" t="s">
        <x:v>101</x:v>
      </x:c>
    </x:row>
    <x:row r="478" ht="22" customHeight="1">
      <x:c r="A478" s="49" t="s">
        <x:v>1963</x:v>
      </x:c>
      <x:c r="B478" s="49" t="s">
        <x:v>1975</x:v>
      </x:c>
      <x:c r="C478" s="49" t="s">
        <x:v>89</x:v>
      </x:c>
      <x:c r="D478" s="49" t="s">
        <x:v>90</x:v>
      </x:c>
      <x:c r="E478" s="49" t="s">
        <x:v>1373</x:v>
      </x:c>
      <x:c r="F478" s="49" t="s">
        <x:v>1976</x:v>
      </x:c>
      <x:c r="G478" s="60">
        <x:v>0.9</x:v>
      </x:c>
      <x:c r="H478" s="60">
        <x:v>-0.75</x:v>
      </x:c>
      <x:c r="I478" s="60">
        <x:v>0.8</x:v>
      </x:c>
      <x:c r="J478" s="49" t="s">
        <x:v>1977</x:v>
      </x:c>
      <x:c r="K478" s="49" t="s">
        <x:v>106</x:v>
      </x:c>
      <x:c r="L478" s="49" t="s">
        <x:v>1978</x:v>
      </x:c>
      <x:c r="M478" s="61">
        <x:v>0.576</x:v>
      </x:c>
      <x:c r="N478" s="49" t="s">
        <x:v>1888</x:v>
      </x:c>
      <x:c r="O478" s="49" t="s">
        <x:v>197</x:v>
      </x:c>
      <x:c r="P478" s="49" t="s">
        <x:v>30</x:v>
      </x:c>
      <x:c r="Q478" s="64" t="s">
        <x:v>23</x:v>
      </x:c>
      <x:c r="R478" s="50">
        <x:v>0.8</x:v>
      </x:c>
      <x:c r="S478" s="50">
        <x:f t="shared" si="32"/>
        <x:v>-1</x:v>
      </x:c>
      <x:c r="T478" s="49" t="s">
        <x:v>1890</x:v>
      </x:c>
      <x:c r="U478" s="49" t="str">
        <x:f t="shared" si="30"/>
        <x:v>红</x:v>
      </x:c>
      <x:c r="V478" s="50">
        <x:f t="shared" si="31"/>
        <x:v>0.9</x:v>
      </x:c>
      <x:c r="W478" s="50">
        <x:f t="shared" si="33"/>
        <x:v>0.9</x:v>
      </x:c>
      <x:c r="X478" s="62">
        <x:v>0.76</x:v>
      </x:c>
      <x:c r="Y478" s="62">
        <x:v>-0.25</x:v>
      </x:c>
      <x:c r="Z478" s="62">
        <x:v>0.94</x:v>
      </x:c>
      <x:c r="AA478" s="62">
        <x:v>-0.25</x:v>
      </x:c>
      <x:c r="AB478" s="62">
        <x:v>0.94</x:v>
      </x:c>
      <x:c r="AC478" s="62">
        <x:v>0.8</x:v>
      </x:c>
      <x:c r="AD478" s="60">
        <x:v>2.87</x:v>
      </x:c>
      <x:c r="AE478" s="60">
        <x:v>3.32</x:v>
      </x:c>
      <x:c r="AF478" s="60">
        <x:v>2.2</x:v>
      </x:c>
      <x:c r="AG478" s="62">
        <x:v>0.104182329571692</x:v>
      </x:c>
      <x:c r="AH478" s="62">
        <x:v>0.0541823295716919</x:v>
      </x:c>
      <x:c r="AI478" s="62">
        <x:v>0.315556630836761</x:v>
      </x:c>
      <x:c r="AJ478" s="62">
        <x:v>0.272785400753465</x:v>
      </x:c>
      <x:c r="AK478" s="62">
        <x:v>0.411657968409774</x:v>
      </x:c>
      <x:c r="AL478" s="62">
        <x:v>1.12</x:v>
      </x:c>
      <x:c r="AM478" s="62">
        <x:v>1.32</x:v>
      </x:c>
      <x:c r="AN478" s="62">
        <x:v>0.000388996107747303</x:v>
      </x:c>
      <x:c r="AO478" s="62">
        <x:v>1.95983041877052</x:v>
      </x:c>
      <x:c r="AP478" s="62">
        <x:v>-1.15983041877052</x:v>
      </x:c>
      <x:c r="AQ478" s="62" t="s">
        <x:v>99</x:v>
      </x:c>
      <x:c r="AR478" s="49">
        <x:v>-0.75</x:v>
      </x:c>
      <x:c r="AS478" s="62">
        <x:v>0.300044756305435</x:v>
      </x:c>
      <x:c r="AT478" s="62">
        <x:v>0.588036840399978</x:v>
      </x:c>
      <x:c r="AU478" s="60">
        <x:v>4.07</x:v>
      </x:c>
      <x:c r="AV478" s="60">
        <x:v>3.85</x:v>
      </x:c>
      <x:c r="AW478" s="60">
        <x:v>1.71</x:v>
      </x:c>
      <x:c r="AX478" s="49" t="s">
        <x:v>1890</x:v>
      </x:c>
      <x:c r="AY478" s="49" t="s">
        <x:v>101</x:v>
      </x:c>
    </x:row>
    <x:row r="479" ht="22" customHeight="1">
      <x:c r="A479" s="49" t="s">
        <x:v>1963</x:v>
      </x:c>
      <x:c r="B479" s="49" t="s">
        <x:v>1979</x:v>
      </x:c>
      <x:c r="C479" s="49" t="s">
        <x:v>333</x:v>
      </x:c>
      <x:c r="D479" s="49" t="s">
        <x:v>116</x:v>
      </x:c>
      <x:c r="E479" s="49" t="s">
        <x:v>927</x:v>
      </x:c>
      <x:c r="F479" s="49" t="s">
        <x:v>1980</x:v>
      </x:c>
      <x:c r="G479" s="60">
        <x:v>0.99</x:v>
      </x:c>
      <x:c r="H479" s="60">
        <x:v>-0.75</x:v>
      </x:c>
      <x:c r="I479" s="60">
        <x:v>0.83</x:v>
      </x:c>
      <x:c r="J479" s="49" t="s">
        <x:v>1981</x:v>
      </x:c>
      <x:c r="K479" s="49" t="s">
        <x:v>106</x:v>
      </x:c>
      <x:c r="L479" s="49" t="s">
        <x:v>1982</x:v>
      </x:c>
      <x:c r="M479" s="61">
        <x:v>0.584</x:v>
      </x:c>
      <x:c r="N479" s="49" t="s">
        <x:v>1888</x:v>
      </x:c>
      <x:c r="O479" s="49" t="s">
        <x:v>191</x:v>
      </x:c>
      <x:c r="P479" s="49" t="s">
        <x:v>30</x:v>
      </x:c>
      <x:c r="Q479" s="63" t="s">
        <x:v>14</x:v>
      </x:c>
      <x:c r="R479" s="50">
        <x:v>0.83</x:v>
      </x:c>
      <x:c r="S479" s="50">
        <x:f t="shared" si="32"/>
        <x:v>0.415</x:v>
      </x:c>
      <x:c r="T479" s="49" t="s">
        <x:v>1890</x:v>
      </x:c>
      <x:c r="U479" s="49" t="str">
        <x:f t="shared" si="30"/>
        <x:v>半黑</x:v>
      </x:c>
      <x:c r="V479" s="50">
        <x:f t="shared" si="31"/>
        <x:v>0.99</x:v>
      </x:c>
      <x:c r="W479" s="50">
        <x:f t="shared" si="33"/>
        <x:v>-0.5</x:v>
      </x:c>
      <x:c r="X479" s="62">
        <x:v>0.76</x:v>
      </x:c>
      <x:c r="Y479" s="62">
        <x:v>-0.5</x:v>
      </x:c>
      <x:c r="Z479" s="62">
        <x:v>0.94</x:v>
      </x:c>
      <x:c r="AA479" s="62">
        <x:v>-0.5</x:v>
      </x:c>
      <x:c r="AB479" s="62">
        <x:v>0.94</x:v>
      </x:c>
      <x:c r="AC479" s="62">
        <x:v>0.83</x:v>
      </x:c>
      <x:c r="AD479" s="60">
        <x:v>3.59</x:v>
      </x:c>
      <x:c r="AE479" s="60">
        <x:v>3.25</x:v>
      </x:c>
      <x:c r="AF479" s="60">
        <x:v>1.94</x:v>
      </x:c>
      <x:c r="AG479" s="62">
        <x:v>0.101707757251507</x:v>
      </x:c>
      <x:c r="AH479" s="62">
        <x:v>0.051707757251507</x:v>
      </x:c>
      <x:c r="AI479" s="62">
        <x:v>0.252836135717465</x:v>
      </x:c>
      <x:c r="AJ479" s="62">
        <x:v>0.279286685300215</x:v>
      </x:c>
      <x:c r="AK479" s="62">
        <x:v>0.46787717898232</x:v>
      </x:c>
      <x:c r="AL479" s="62">
        <x:v>0.9</x:v>
      </x:c>
      <x:c r="AM479" s="62">
        <x:v>1.33</x:v>
      </x:c>
      <x:c r="AN479" s="62">
        <x:v>0.000973443855826165</x:v>
      </x:c>
      <x:c r="AO479" s="62">
        <x:v>1.55609201108238</x:v>
      </x:c>
      <x:c r="AP479" s="62">
        <x:v>-0.726092011082382</x:v>
      </x:c>
      <x:c r="AQ479" s="62" t="s">
        <x:v>99</x:v>
      </x:c>
      <x:c r="AR479" s="49">
        <x:v>-0.75</x:v>
      </x:c>
      <x:c r="AS479" s="62">
        <x:v>0.342810182629474</x:v>
      </x:c>
      <x:c r="AT479" s="62">
        <x:v>0.533444186507416</x:v>
      </x:c>
      <x:c r="AU479" s="60">
        <x:v>4</x:v>
      </x:c>
      <x:c r="AV479" s="60">
        <x:v>3.43</x:v>
      </x:c>
      <x:c r="AW479" s="60">
        <x:v>1.79</x:v>
      </x:c>
      <x:c r="AX479" s="49" t="s">
        <x:v>1890</x:v>
      </x:c>
      <x:c r="AY479" s="49" t="s">
        <x:v>101</x:v>
      </x:c>
    </x:row>
    <x:row r="480" ht="22" customHeight="1">
      <x:c r="A480" s="49" t="s">
        <x:v>1963</x:v>
      </x:c>
      <x:c r="B480" s="49" t="s">
        <x:v>1979</x:v>
      </x:c>
      <x:c r="C480" s="49" t="s">
        <x:v>333</x:v>
      </x:c>
      <x:c r="D480" s="49" t="s">
        <x:v>116</x:v>
      </x:c>
      <x:c r="E480" s="49" t="s">
        <x:v>927</x:v>
      </x:c>
      <x:c r="F480" s="49" t="s">
        <x:v>1983</x:v>
      </x:c>
      <x:c r="G480" s="60">
        <x:v>0.84</x:v>
      </x:c>
      <x:c r="H480" s="60">
        <x:v>0.25</x:v>
      </x:c>
      <x:c r="I480" s="60">
        <x:v>0.98</x:v>
      </x:c>
      <x:c r="J480" s="49" t="s">
        <x:v>1247</x:v>
      </x:c>
      <x:c r="K480" s="49" t="s">
        <x:v>106</x:v>
      </x:c>
      <x:c r="L480" s="49" t="s">
        <x:v>1984</x:v>
      </x:c>
      <x:c r="M480" s="61">
        <x:v>0.584</x:v>
      </x:c>
      <x:c r="N480" s="49" t="s">
        <x:v>1888</x:v>
      </x:c>
      <x:c r="O480" s="49" t="s">
        <x:v>126</x:v>
      </x:c>
      <x:c r="P480" s="49" t="s">
        <x:v>30</x:v>
      </x:c>
      <x:c r="Q480" s="64" t="s">
        <x:v>20</x:v>
      </x:c>
      <x:c r="R480" s="50">
        <x:v>0.84</x:v>
      </x:c>
      <x:c r="S480" s="50">
        <x:f t="shared" si="32"/>
        <x:v>-0.5</x:v>
      </x:c>
      <x:c r="T480" s="49" t="s">
        <x:v>1890</x:v>
      </x:c>
      <x:c r="U480" s="49" t="str">
        <x:f t="shared" si="30"/>
        <x:v>半红</x:v>
      </x:c>
      <x:c r="V480" s="50">
        <x:f t="shared" si="31"/>
        <x:v>0.98</x:v>
      </x:c>
      <x:c r="W480" s="50">
        <x:f t="shared" si="33"/>
        <x:v>0.49</x:v>
      </x:c>
      <x:c r="X480" s="62">
        <x:v>0.73</x:v>
      </x:c>
      <x:c r="Y480" s="62">
        <x:v>0</x:v>
      </x:c>
      <x:c r="Z480" s="62">
        <x:v>0.97</x:v>
      </x:c>
      <x:c r="AA480" s="62">
        <x:v>0</x:v>
      </x:c>
      <x:c r="AB480" s="62">
        <x:v>0.73</x:v>
      </x:c>
      <x:c r="AC480" s="62">
        <x:v>0.84</x:v>
      </x:c>
      <x:c r="AD480" s="60">
        <x:v>2.37</x:v>
      </x:c>
      <x:c r="AE480" s="60">
        <x:v>2.96</x:v>
      </x:c>
      <x:c r="AF480" s="60">
        <x:v>2.94</x:v>
      </x:c>
      <x:c r="AG480" s="62">
        <x:v>0.0999148205296487</x:v>
      </x:c>
      <x:c r="AH480" s="62">
        <x:v>0.0499148205296487</x:v>
      </x:c>
      <x:c r="AI480" s="62">
        <x:v>0.383612367425745</x:v>
      </x:c>
      <x:c r="AJ480" s="62">
        <x:v>0.307149091486154</x:v>
      </x:c>
      <x:c r="AK480" s="62">
        <x:v>0.309238541088101</x:v>
      </x:c>
      <x:c r="AL480" s="62">
        <x:v>1.07</x:v>
      </x:c>
      <x:c r="AM480" s="62">
        <x:v>0.93</x:v>
      </x:c>
      <x:c r="AN480" s="62">
        <x:v>0.000504035280371655</x:v>
      </x:c>
      <x:c r="AO480" s="62">
        <x:v>1.21015554204101</x:v>
      </x:c>
      <x:c r="AP480" s="62">
        <x:v>-0.370155542041014</x:v>
      </x:c>
      <x:c r="AQ480" s="62" t="s">
        <x:v>99</x:v>
      </x:c>
      <x:c r="AR480" s="49">
        <x:v>-0.25</x:v>
      </x:c>
      <x:c r="AS480" s="62">
        <x:v>0.382901869562113</x:v>
      </x:c>
      <x:c r="AT480" s="62">
        <x:v>0.463370819508457</x:v>
      </x:c>
      <x:c r="AU480" s="60">
        <x:v>2.24</x:v>
      </x:c>
      <x:c r="AV480" s="60">
        <x:v>2.9</x:v>
      </x:c>
      <x:c r="AW480" s="60">
        <x:v>3.27</x:v>
      </x:c>
      <x:c r="AX480" s="49" t="s">
        <x:v>1890</x:v>
      </x:c>
      <x:c r="AY480" s="49" t="s">
        <x:v>101</x:v>
      </x:c>
    </x:row>
    <x:row r="481" ht="22" customHeight="1">
      <x:c r="A481" s="49" t="s">
        <x:v>1963</x:v>
      </x:c>
      <x:c r="B481" s="49" t="s">
        <x:v>1979</x:v>
      </x:c>
      <x:c r="C481" s="49" t="s">
        <x:v>333</x:v>
      </x:c>
      <x:c r="D481" s="49" t="s">
        <x:v>116</x:v>
      </x:c>
      <x:c r="E481" s="49" t="s">
        <x:v>927</x:v>
      </x:c>
      <x:c r="F481" s="49" t="s">
        <x:v>1985</x:v>
      </x:c>
      <x:c r="G481" s="60">
        <x:v>0.84</x:v>
      </x:c>
      <x:c r="H481" s="60">
        <x:v>0</x:v>
      </x:c>
      <x:c r="I481" s="60">
        <x:v>0.98</x:v>
      </x:c>
      <x:c r="J481" s="49" t="s">
        <x:v>1638</x:v>
      </x:c>
      <x:c r="K481" s="49" t="s">
        <x:v>106</x:v>
      </x:c>
      <x:c r="L481" s="49" t="s">
        <x:v>1986</x:v>
      </x:c>
      <x:c r="M481" s="61">
        <x:v>0.584</x:v>
      </x:c>
      <x:c r="N481" s="49" t="s">
        <x:v>1888</x:v>
      </x:c>
      <x:c r="O481" s="49" t="s">
        <x:v>126</x:v>
      </x:c>
      <x:c r="P481" s="49" t="s">
        <x:v>30</x:v>
      </x:c>
      <x:c r="Q481" s="65" t="s">
        <x:v>17</x:v>
      </x:c>
      <x:c r="R481" s="50">
        <x:v>0.84</x:v>
      </x:c>
      <x:c r="S481" s="50">
        <x:f t="shared" si="32"/>
        <x:v>0</x:v>
      </x:c>
      <x:c r="T481" s="49" t="s">
        <x:v>1890</x:v>
      </x:c>
      <x:c r="U481" s="49" t="str">
        <x:f t="shared" si="30"/>
        <x:v>走</x:v>
      </x:c>
      <x:c r="V481" s="50">
        <x:f t="shared" si="31"/>
        <x:v>0.98</x:v>
      </x:c>
      <x:c r="W481" s="50">
        <x:f t="shared" si="33"/>
        <x:v>0</x:v>
      </x:c>
      <x:c r="X481" s="62">
        <x:v>0.75</x:v>
      </x:c>
      <x:c r="Y481" s="62">
        <x:v>0</x:v>
      </x:c>
      <x:c r="Z481" s="62">
        <x:v>0.95</x:v>
      </x:c>
      <x:c r="AA481" s="62">
        <x:v>0</x:v>
      </x:c>
      <x:c r="AB481" s="62">
        <x:v>0.75</x:v>
      </x:c>
      <x:c r="AC481" s="62">
        <x:v>0.84</x:v>
      </x:c>
      <x:c r="AD481" s="60">
        <x:v>2.43</x:v>
      </x:c>
      <x:c r="AE481" s="60">
        <x:v>3.06</x:v>
      </x:c>
      <x:c r="AF481" s="60">
        <x:v>2.73</x:v>
      </x:c>
      <x:c r="AG481" s="62">
        <x:v>0.104620385666137</x:v>
      </x:c>
      <x:c r="AH481" s="62">
        <x:v>0.0546203856661372</x:v>
      </x:c>
      <x:c r="AI481" s="62">
        <x:v>0.372546658639374</x:v>
      </x:c>
      <x:c r="AJ481" s="62">
        <x:v>0.295845875978326</x:v>
      </x:c>
      <x:c r="AK481" s="62">
        <x:v>0.3316074653823</x:v>
      </x:c>
      <x:c r="AL481" s="62">
        <x:v>1.11</x:v>
      </x:c>
      <x:c r="AM481" s="62">
        <x:v>1.03</x:v>
      </x:c>
      <x:c r="AN481" s="62">
        <x:v>8.65560237474156e-5</x:v>
      </x:c>
      <x:c r="AO481" s="62">
        <x:v>0.890636765567635</x:v>
      </x:c>
      <x:c r="AP481" s="62">
        <x:v>-0.0506367655676346</x:v>
      </x:c>
      <x:c r="AQ481" s="62" t="s">
        <x:v>150</x:v>
      </x:c>
      <x:c r="AR481" s="49">
        <x:v>0</x:v>
      </x:c>
      <x:c r="AS481" s="62">
        <x:v>0.372431701598418</x:v>
      </x:c>
      <x:c r="AT481" s="62">
        <x:v>0.331701366106466</x:v>
      </x:c>
      <x:c r="AU481" s="60">
        <x:v>2.48</x:v>
      </x:c>
      <x:c r="AV481" s="60">
        <x:v>2.9</x:v>
      </x:c>
      <x:c r="AW481" s="60">
        <x:v>2.83</x:v>
      </x:c>
      <x:c r="AX481" s="49" t="s">
        <x:v>1890</x:v>
      </x:c>
      <x:c r="AY481" s="49" t="s">
        <x:v>101</x:v>
      </x:c>
    </x:row>
    <x:row r="482" ht="22" customHeight="1">
      <x:c r="A482" s="49" t="s">
        <x:v>1963</x:v>
      </x:c>
      <x:c r="B482" s="49" t="s">
        <x:v>1987</x:v>
      </x:c>
      <x:c r="C482" s="49" t="s">
        <x:v>333</x:v>
      </x:c>
      <x:c r="D482" s="49" t="s">
        <x:v>116</x:v>
      </x:c>
      <x:c r="E482" s="49" t="s">
        <x:v>730</x:v>
      </x:c>
      <x:c r="F482" s="49" t="s">
        <x:v>1988</x:v>
      </x:c>
      <x:c r="G482" s="60">
        <x:v>1.05</x:v>
      </x:c>
      <x:c r="H482" s="60">
        <x:v>0</x:v>
      </x:c>
      <x:c r="I482" s="60">
        <x:v>0.81</x:v>
      </x:c>
      <x:c r="J482" s="49" t="s">
        <x:v>1989</x:v>
      </x:c>
      <x:c r="K482" s="49" t="s">
        <x:v>106</x:v>
      </x:c>
      <x:c r="L482" s="49" t="s">
        <x:v>736</x:v>
      </x:c>
      <x:c r="M482" s="61">
        <x:v>0.584</x:v>
      </x:c>
      <x:c r="N482" s="49" t="s">
        <x:v>1888</x:v>
      </x:c>
      <x:c r="O482" s="49" t="s">
        <x:v>134</x:v>
      </x:c>
      <x:c r="P482" s="49" t="s">
        <x:v>30</x:v>
      </x:c>
      <x:c r="Q482" s="65" t="s">
        <x:v>17</x:v>
      </x:c>
      <x:c r="R482" s="50">
        <x:v>0.81</x:v>
      </x:c>
      <x:c r="S482" s="50">
        <x:f t="shared" si="32"/>
        <x:v>0</x:v>
      </x:c>
      <x:c r="T482" s="49" t="s">
        <x:v>1890</x:v>
      </x:c>
      <x:c r="U482" s="49" t="str">
        <x:f t="shared" si="30"/>
        <x:v>走</x:v>
      </x:c>
      <x:c r="V482" s="50">
        <x:f t="shared" si="31"/>
        <x:v>1.05</x:v>
      </x:c>
      <x:c r="W482" s="50">
        <x:f t="shared" si="33"/>
        <x:v>0</x:v>
      </x:c>
      <x:c r="X482" s="62">
        <x:v>0.93</x:v>
      </x:c>
      <x:c r="Y482" s="62">
        <x:v>0</x:v>
      </x:c>
      <x:c r="Z482" s="62">
        <x:v>0.83</x:v>
      </x:c>
      <x:c r="AA482" s="62">
        <x:v>0</x:v>
      </x:c>
      <x:c r="AB482" s="62">
        <x:v>0.83</x:v>
      </x:c>
      <x:c r="AC482" s="62">
        <x:v>0.81</x:v>
      </x:c>
      <x:c r="AD482" s="60">
        <x:v>2.48</x:v>
      </x:c>
      <x:c r="AE482" s="60">
        <x:v>3.47</x:v>
      </x:c>
      <x:c r="AF482" s="60">
        <x:v>2.43</x:v>
      </x:c>
      <x:c r="AG482" s="62">
        <x:v>0.102932878236815</x:v>
      </x:c>
      <x:c r="AH482" s="62">
        <x:v>0.0529328782368146</x:v>
      </x:c>
      <x:c r="AI482" s="62">
        <x:v>0.36559414848184</x:v>
      </x:c>
      <x:c r="AJ482" s="62">
        <x:v>0.261289189693073</x:v>
      </x:c>
      <x:c r="AK482" s="62">
        <x:v>0.373116661825088</x:v>
      </x:c>
      <x:c r="AL482" s="62">
        <x:v>1.31</x:v>
      </x:c>
      <x:c r="AM482" s="62">
        <x:v>1.33</x:v>
      </x:c>
      <x:c r="AN482" s="62">
        <x:v>0.000753878085944315</x:v>
      </x:c>
      <x:c r="AO482" s="62">
        <x:v>0.9751018268333</x:v>
      </x:c>
      <x:c r="AP482" s="62">
        <x:v>-0.1651018268333</x:v>
      </x:c>
      <x:c r="AQ482" s="62" t="s">
        <x:v>150</x:v>
      </x:c>
      <x:c r="AR482" s="49">
        <x:v>0</x:v>
      </x:c>
      <x:c r="AS482" s="62">
        <x:v>0.373874652590078</x:v>
      </x:c>
      <x:c r="AT482" s="62">
        <x:v>0.364565856747251</x:v>
      </x:c>
      <x:c r="AU482" s="60">
        <x:v>2.62</x:v>
      </x:c>
      <x:c r="AV482" s="60">
        <x:v>3.41</x:v>
      </x:c>
      <x:c r="AW482" s="60">
        <x:v>2.4</x:v>
      </x:c>
      <x:c r="AX482" s="49" t="s">
        <x:v>1890</x:v>
      </x:c>
      <x:c r="AY482" s="49" t="s">
        <x:v>101</x:v>
      </x:c>
    </x:row>
    <x:row r="483" ht="22" customHeight="1">
      <x:c r="A483" s="49" t="s">
        <x:v>1963</x:v>
      </x:c>
      <x:c r="B483" s="49" t="s">
        <x:v>1987</x:v>
      </x:c>
      <x:c r="C483" s="49" t="s">
        <x:v>333</x:v>
      </x:c>
      <x:c r="D483" s="49" t="s">
        <x:v>116</x:v>
      </x:c>
      <x:c r="E483" s="49" t="s">
        <x:v>613</x:v>
      </x:c>
      <x:c r="F483" s="49" t="s">
        <x:v>1990</x:v>
      </x:c>
      <x:c r="G483" s="60">
        <x:v>0.84</x:v>
      </x:c>
      <x:c r="H483" s="60">
        <x:v>0</x:v>
      </x:c>
      <x:c r="I483" s="60">
        <x:v>1.05</x:v>
      </x:c>
      <x:c r="J483" s="49" t="s">
        <x:v>1991</x:v>
      </x:c>
      <x:c r="K483" s="49" t="s">
        <x:v>106</x:v>
      </x:c>
      <x:c r="L483" s="49" t="s">
        <x:v>1992</x:v>
      </x:c>
      <x:c r="M483" s="61">
        <x:v>0.584</x:v>
      </x:c>
      <x:c r="N483" s="49" t="s">
        <x:v>1888</x:v>
      </x:c>
      <x:c r="O483" s="49" t="s">
        <x:v>191</x:v>
      </x:c>
      <x:c r="P483" s="49" t="s">
        <x:v>30</x:v>
      </x:c>
      <x:c r="Q483" s="64" t="s">
        <x:v>23</x:v>
      </x:c>
      <x:c r="R483" s="50">
        <x:v>0.84</x:v>
      </x:c>
      <x:c r="S483" s="50">
        <x:f t="shared" si="32"/>
        <x:v>-1</x:v>
      </x:c>
      <x:c r="T483" s="49" t="s">
        <x:v>1890</x:v>
      </x:c>
      <x:c r="U483" s="49" t="str">
        <x:f t="shared" si="30"/>
        <x:v>红</x:v>
      </x:c>
      <x:c r="V483" s="50">
        <x:f t="shared" si="31"/>
        <x:v>1.05</x:v>
      </x:c>
      <x:c r="W483" s="50">
        <x:f t="shared" si="33"/>
        <x:v>1.05</x:v>
      </x:c>
      <x:c r="X483" s="62">
        <x:v>0.77</x:v>
      </x:c>
      <x:c r="Y483" s="62">
        <x:v>0</x:v>
      </x:c>
      <x:c r="Z483" s="62">
        <x:v>1.12</x:v>
      </x:c>
      <x:c r="AA483" s="62">
        <x:v>0</x:v>
      </x:c>
      <x:c r="AB483" s="62">
        <x:v>0.77</x:v>
      </x:c>
      <x:c r="AC483" s="62">
        <x:v>0.84</x:v>
      </x:c>
      <x:c r="AD483" s="60">
        <x:v>2.35</x:v>
      </x:c>
      <x:c r="AE483" s="60">
        <x:v>3.09</x:v>
      </x:c>
      <x:c r="AF483" s="60">
        <x:v>3.19</x:v>
      </x:c>
      <x:c r="AG483" s="62">
        <x:v>0.0626361341873243</x:v>
      </x:c>
      <x:c r="AH483" s="62">
        <x:v>0.0126361341873243</x:v>
      </x:c>
      <x:c r="AI483" s="62">
        <x:v>0.400449317695236</x:v>
      </x:c>
      <x:c r="AJ483" s="62">
        <x:v>0.304548833845891</x:v>
      </x:c>
      <x:c r="AK483" s="62">
        <x:v>0.295001848458873</x:v>
      </x:c>
      <x:c r="AL483" s="62">
        <x:v>1.11</x:v>
      </x:c>
      <x:c r="AM483" s="62">
        <x:v>0.91</x:v>
      </x:c>
      <x:c r="AN483" s="62">
        <x:v>0.000540457930332071</x:v>
      </x:c>
      <x:c r="AO483" s="62">
        <x:v>0.739556472339673</x:v>
      </x:c>
      <x:c r="AP483" s="62">
        <x:v>0.100443527660327</x:v>
      </x:c>
      <x:c r="AQ483" s="62" t="s">
        <x:v>135</x:v>
      </x:c>
      <x:c r="AR483" s="49">
        <x:v>0</x:v>
      </x:c>
      <x:c r="AS483" s="62">
        <x:v>0.3997942744551</x:v>
      </x:c>
      <x:c r="AT483" s="62">
        <x:v>0.295670443277613</x:v>
      </x:c>
      <x:c r="AU483" s="60">
        <x:v>2.61</x:v>
      </x:c>
      <x:c r="AV483" s="60">
        <x:v>3.06</x:v>
      </x:c>
      <x:c r="AW483" s="60">
        <x:v>2.92</x:v>
      </x:c>
      <x:c r="AX483" s="49" t="s">
        <x:v>1890</x:v>
      </x:c>
      <x:c r="AY483" s="49" t="s">
        <x:v>101</x:v>
      </x:c>
    </x:row>
    <x:row r="484" ht="22" customHeight="1">
      <x:c r="A484" s="49" t="s">
        <x:v>1963</x:v>
      </x:c>
      <x:c r="B484" s="49" t="s">
        <x:v>1987</x:v>
      </x:c>
      <x:c r="C484" s="49" t="s">
        <x:v>333</x:v>
      </x:c>
      <x:c r="D484" s="49" t="s">
        <x:v>116</x:v>
      </x:c>
      <x:c r="E484" s="49" t="s">
        <x:v>613</x:v>
      </x:c>
      <x:c r="F484" s="49" t="s">
        <x:v>1993</x:v>
      </x:c>
      <x:c r="G484" s="60">
        <x:v>1.06</x:v>
      </x:c>
      <x:c r="H484" s="60">
        <x:v>1.5</x:v>
      </x:c>
      <x:c r="I484" s="60">
        <x:v>0.83</x:v>
      </x:c>
      <x:c r="J484" s="49" t="s">
        <x:v>1994</x:v>
      </x:c>
      <x:c r="K484" s="49" t="s">
        <x:v>189</x:v>
      </x:c>
      <x:c r="L484" s="49" t="s">
        <x:v>871</x:v>
      </x:c>
      <x:c r="M484" s="61">
        <x:v>0.529</x:v>
      </x:c>
      <x:c r="N484" s="49" t="s">
        <x:v>1888</x:v>
      </x:c>
      <x:c r="O484" s="49" t="s">
        <x:v>108</x:v>
      </x:c>
      <x:c r="P484" s="49" t="s">
        <x:v>30</x:v>
      </x:c>
      <x:c r="Q484" s="63" t="s">
        <x:v>11</x:v>
      </x:c>
      <x:c r="R484" s="50">
        <x:v>1.06</x:v>
      </x:c>
      <x:c r="S484" s="50">
        <x:f t="shared" si="32"/>
        <x:v>1.06</x:v>
      </x:c>
      <x:c r="T484" s="49" t="s">
        <x:v>1890</x:v>
      </x:c>
      <x:c r="U484" s="49" t="str">
        <x:f t="shared" si="30"/>
        <x:v>黑</x:v>
      </x:c>
      <x:c r="V484" s="50">
        <x:f t="shared" si="31"/>
        <x:v>0.83</x:v>
      </x:c>
      <x:c r="W484" s="50">
        <x:f t="shared" si="33"/>
        <x:v>-1</x:v>
      </x:c>
      <x:c r="X484" s="62">
        <x:v>0.87</x:v>
      </x:c>
      <x:c r="Y484" s="62">
        <x:v>1</x:v>
      </x:c>
      <x:c r="Z484" s="62">
        <x:v>1.01</x:v>
      </x:c>
      <x:c r="AA484" s="62">
        <x:v>-1</x:v>
      </x:c>
      <x:c r="AB484" s="62">
        <x:v>0.87</x:v>
      </x:c>
      <x:c r="AC484" s="62">
        <x:v>1.06</x:v>
      </x:c>
      <x:c r="AD484" s="60">
        <x:v>1.51</x:v>
      </x:c>
      <x:c r="AE484" s="60">
        <x:v>4.17</x:v>
      </x:c>
      <x:c r="AF484" s="60">
        <x:v>6.29</x:v>
      </x:c>
      <x:c r="AG484" s="62">
        <x:v>0.0610423210300457</x:v>
      </x:c>
      <x:c r="AH484" s="62">
        <x:v>0.0110423210300457</x:v>
      </x:c>
      <x:c r="AI484" s="62">
        <x:v>0.624151970664312</x:v>
      </x:c>
      <x:c r="AJ484" s="62">
        <x:v>0.226011864677005</x:v>
      </x:c>
      <x:c r="AK484" s="62">
        <x:v>0.149836164658682</x:v>
      </x:c>
      <x:c r="AL484" s="62">
        <x:v>1.79</x:v>
      </x:c>
      <x:c r="AM484" s="62">
        <x:v>0.74</x:v>
      </x:c>
      <x:c r="AN484" s="62">
        <x:v>0.000304676762789129</x:v>
      </x:c>
      <x:c r="AO484" s="62">
        <x:v>1.74549730979482</x:v>
      </x:c>
      <x:c r="AP484" s="62">
        <x:v>-0.685497309794817</x:v>
      </x:c>
      <x:c r="AQ484" s="62" t="s">
        <x:v>99</x:v>
      </x:c>
      <x:c r="AR484" s="49">
        <x:v>-1.5</x:v>
      </x:c>
      <x:c r="AS484" s="62">
        <x:v>0.364232737155636</x:v>
      </x:c>
      <x:c r="AT484" s="62">
        <x:v>0.635767262844365</x:v>
      </x:c>
      <x:c r="AU484" s="60">
        <x:v>1.37</x:v>
      </x:c>
      <x:c r="AV484" s="60">
        <x:v>4.87</x:v>
      </x:c>
      <x:c r="AW484" s="60">
        <x:v>8.7</x:v>
      </x:c>
      <x:c r="AX484" s="49" t="s">
        <x:v>1890</x:v>
      </x:c>
      <x:c r="AY484" s="49" t="s">
        <x:v>101</x:v>
      </x:c>
    </x:row>
    <x:row r="485" ht="22" customHeight="1">
      <x:c r="A485" s="49" t="s">
        <x:v>1963</x:v>
      </x:c>
      <x:c r="B485" s="49" t="s">
        <x:v>1995</x:v>
      </x:c>
      <x:c r="C485" s="49" t="s">
        <x:v>333</x:v>
      </x:c>
      <x:c r="D485" s="49" t="s">
        <x:v>90</x:v>
      </x:c>
      <x:c r="E485" s="49" t="s">
        <x:v>1245</x:v>
      </x:c>
      <x:c r="F485" s="49" t="s">
        <x:v>1996</x:v>
      </x:c>
      <x:c r="G485" s="60">
        <x:v>0.93</x:v>
      </x:c>
      <x:c r="H485" s="60">
        <x:v>-0.25</x:v>
      </x:c>
      <x:c r="I485" s="60">
        <x:v>0.83</x:v>
      </x:c>
      <x:c r="J485" s="49" t="s">
        <x:v>1622</x:v>
      </x:c>
      <x:c r="K485" s="49" t="s">
        <x:v>106</x:v>
      </x:c>
      <x:c r="L485" s="49" t="s">
        <x:v>1997</x:v>
      </x:c>
      <x:c r="M485" s="61">
        <x:v>0.584</x:v>
      </x:c>
      <x:c r="N485" s="49" t="s">
        <x:v>1888</x:v>
      </x:c>
      <x:c r="O485" s="49" t="s">
        <x:v>201</x:v>
      </x:c>
      <x:c r="P485" s="49" t="s">
        <x:v>30</x:v>
      </x:c>
      <x:c r="Q485" s="64" t="s">
        <x:v>23</x:v>
      </x:c>
      <x:c r="R485" s="50">
        <x:v>0.83</x:v>
      </x:c>
      <x:c r="S485" s="50">
        <x:f t="shared" si="32"/>
        <x:v>-1</x:v>
      </x:c>
      <x:c r="T485" s="49" t="s">
        <x:v>1890</x:v>
      </x:c>
      <x:c r="U485" s="49" t="str">
        <x:f t="shared" si="30"/>
        <x:v>红</x:v>
      </x:c>
      <x:c r="V485" s="50">
        <x:f t="shared" si="31"/>
        <x:v>0.93</x:v>
      </x:c>
      <x:c r="W485" s="50">
        <x:f t="shared" si="33"/>
        <x:v>0.93</x:v>
      </x:c>
      <x:c r="X485" s="62">
        <x:v>0.93</x:v>
      </x:c>
      <x:c r="Y485" s="62">
        <x:v>-0.25</x:v>
      </x:c>
      <x:c r="Z485" s="62">
        <x:v>0.83</x:v>
      </x:c>
      <x:c r="AA485" s="62">
        <x:v>-0.25</x:v>
      </x:c>
      <x:c r="AB485" s="62">
        <x:v>0.83</x:v>
      </x:c>
      <x:c r="AC485" s="62">
        <x:v>0.83</x:v>
      </x:c>
      <x:c r="AD485" s="60">
        <x:v>3.11</x:v>
      </x:c>
      <x:c r="AE485" s="60">
        <x:v>3.24</x:v>
      </x:c>
      <x:c r="AF485" s="60">
        <x:v>2.11</x:v>
      </x:c>
      <x:c r="AG485" s="62">
        <x:v>0.10411903295787</x:v>
      </x:c>
      <x:c r="AH485" s="62">
        <x:v>0.0541190329578701</x:v>
      </x:c>
      <x:c r="AI485" s="62">
        <x:v>0.291221687845316</x:v>
      </x:c>
      <x:c r="AJ485" s="62">
        <x:v>0.279536867036707</x:v>
      </x:c>
      <x:c r="AK485" s="62">
        <x:v>0.429241445117977</x:v>
      </x:c>
      <x:c r="AL485" s="62">
        <x:v>1.01</x:v>
      </x:c>
      <x:c r="AM485" s="62">
        <x:v>1.29</x:v>
      </x:c>
      <x:c r="AN485" s="62">
        <x:v>0.000421560564224012</x:v>
      </x:c>
      <x:c r="AO485" s="62">
        <x:v>1.00520181432261</x:v>
      </x:c>
      <x:c r="AP485" s="62">
        <x:v>-0.17520181432261</x:v>
      </x:c>
      <x:c r="AQ485" s="62" t="s">
        <x:v>99</x:v>
      </x:c>
      <x:c r="AR485" s="49">
        <x:v>-0.25</x:v>
      </x:c>
      <x:c r="AS485" s="62">
        <x:v>0.428853850355116</x:v>
      </x:c>
      <x:c r="AT485" s="62">
        <x:v>0.4310846684562</x:v>
      </x:c>
      <x:c r="AU485" s="60">
        <x:v>3.12</x:v>
      </x:c>
      <x:c r="AV485" s="60">
        <x:v>3.22</x:v>
      </x:c>
      <x:c r="AW485" s="60">
        <x:v>2.1</x:v>
      </x:c>
      <x:c r="AX485" s="49" t="s">
        <x:v>1890</x:v>
      </x:c>
      <x:c r="AY485" s="49" t="s">
        <x:v>101</x:v>
      </x:c>
    </x:row>
    <x:row r="486" ht="22" customHeight="1">
      <x:c r="A486" s="49" t="s">
        <x:v>1963</x:v>
      </x:c>
      <x:c r="B486" s="49" t="s">
        <x:v>1998</x:v>
      </x:c>
      <x:c r="C486" s="49" t="s">
        <x:v>333</x:v>
      </x:c>
      <x:c r="D486" s="49" t="s">
        <x:v>90</x:v>
      </x:c>
      <x:c r="E486" s="49" t="s">
        <x:v>1176</x:v>
      </x:c>
      <x:c r="F486" s="49" t="s">
        <x:v>1999</x:v>
      </x:c>
      <x:c r="G486" s="60">
        <x:v>1.01</x:v>
      </x:c>
      <x:c r="H486" s="60">
        <x:v>1.25</x:v>
      </x:c>
      <x:c r="I486" s="60">
        <x:v>0.87</x:v>
      </x:c>
      <x:c r="J486" s="49" t="s">
        <x:v>2000</x:v>
      </x:c>
      <x:c r="K486" s="49" t="s">
        <x:v>189</x:v>
      </x:c>
      <x:c r="L486" s="49" t="s">
        <x:v>2001</x:v>
      </x:c>
      <x:c r="M486" s="61">
        <x:v>0.529</x:v>
      </x:c>
      <x:c r="N486" s="49" t="s">
        <x:v>1888</x:v>
      </x:c>
      <x:c r="O486" s="49" t="s">
        <x:v>201</x:v>
      </x:c>
      <x:c r="P486" s="49" t="s">
        <x:v>30</x:v>
      </x:c>
      <x:c r="Q486" s="64" t="s">
        <x:v>20</x:v>
      </x:c>
      <x:c r="R486" s="50">
        <x:v>1.01</x:v>
      </x:c>
      <x:c r="S486" s="50">
        <x:f t="shared" si="32"/>
        <x:v>-0.5</x:v>
      </x:c>
      <x:c r="T486" s="49" t="s">
        <x:v>1890</x:v>
      </x:c>
      <x:c r="U486" s="49" t="str">
        <x:f t="shared" si="30"/>
        <x:v>半红</x:v>
      </x:c>
      <x:c r="V486" s="50">
        <x:f t="shared" si="31"/>
        <x:v>0.87</x:v>
      </x:c>
      <x:c r="W486" s="50">
        <x:f t="shared" si="33"/>
        <x:v>0.435</x:v>
      </x:c>
      <x:c r="X486" s="62">
        <x:v>0.79</x:v>
      </x:c>
      <x:c r="Y486" s="62">
        <x:v>0.75</x:v>
      </x:c>
      <x:c r="Z486" s="62">
        <x:v>1.03</x:v>
      </x:c>
      <x:c r="AA486" s="62">
        <x:v>-0.75</x:v>
      </x:c>
      <x:c r="AB486" s="62">
        <x:v>0.79</x:v>
      </x:c>
      <x:c r="AC486" s="62">
        <x:v>1.01</x:v>
      </x:c>
      <x:c r="AD486" s="60">
        <x:v>1.6</x:v>
      </x:c>
      <x:c r="AE486" s="60">
        <x:v>3.87</x:v>
      </x:c>
      <x:c r="AF486" s="60">
        <x:v>5.04</x:v>
      </x:c>
      <x:c r="AG486" s="62">
        <x:v>0.0818106312292359</x:v>
      </x:c>
      <x:c r="AH486" s="62">
        <x:v>0.0318106312292359</x:v>
      </x:c>
      <x:c r="AI486" s="62">
        <x:v>0.577735124760077</x:v>
      </x:c>
      <x:c r="AJ486" s="62">
        <x:v>0.238856899125613</x:v>
      </x:c>
      <x:c r="AK486" s="62">
        <x:v>0.18340797611431</x:v>
      </x:c>
      <x:c r="AL486" s="62">
        <x:v>1.7</x:v>
      </x:c>
      <x:c r="AM486" s="62">
        <x:v>0.84</x:v>
      </x:c>
      <x:c r="AN486" s="62">
        <x:v>0.000128546174399356</x:v>
      </x:c>
      <x:c r="AO486" s="62">
        <x:v>1.7059793546565</x:v>
      </x:c>
      <x:c r="AP486" s="62">
        <x:v>-0.695979354656501</x:v>
      </x:c>
      <x:c r="AQ486" s="62" t="s">
        <x:v>99</x:v>
      </x:c>
      <x:c r="AR486" s="49">
        <x:v>-1.25</x:v>
      </x:c>
      <x:c r="AS486" s="62">
        <x:v>0.322341978442301</x:v>
      </x:c>
      <x:c r="AT486" s="62">
        <x:v>0.549908760361696</x:v>
      </x:c>
      <x:c r="AU486" s="60">
        <x:v>1.46</x:v>
      </x:c>
      <x:c r="AV486" s="60">
        <x:v>4.46</x:v>
      </x:c>
      <x:c r="AW486" s="60">
        <x:v>6.45</x:v>
      </x:c>
      <x:c r="AX486" s="49" t="s">
        <x:v>1890</x:v>
      </x:c>
      <x:c r="AY486" s="49" t="s">
        <x:v>101</x:v>
      </x:c>
    </x:row>
    <x:row r="487" ht="22" customHeight="1">
      <x:c r="A487" s="49" t="s">
        <x:v>1963</x:v>
      </x:c>
      <x:c r="B487" s="49" t="s">
        <x:v>1998</x:v>
      </x:c>
      <x:c r="C487" s="49" t="s">
        <x:v>333</x:v>
      </x:c>
      <x:c r="D487" s="49" t="s">
        <x:v>90</x:v>
      </x:c>
      <x:c r="E487" s="49" t="s">
        <x:v>1176</x:v>
      </x:c>
      <x:c r="F487" s="49" t="s">
        <x:v>2002</x:v>
      </x:c>
      <x:c r="G487" s="60">
        <x:v>1.06</x:v>
      </x:c>
      <x:c r="H487" s="60">
        <x:v>-0.75</x:v>
      </x:c>
      <x:c r="I487" s="60">
        <x:v>0.82</x:v>
      </x:c>
      <x:c r="J487" s="49" t="s">
        <x:v>2003</x:v>
      </x:c>
      <x:c r="K487" s="49" t="s">
        <x:v>106</x:v>
      </x:c>
      <x:c r="L487" s="49" t="s">
        <x:v>177</x:v>
      </x:c>
      <x:c r="M487" s="61">
        <x:v>0.584</x:v>
      </x:c>
      <x:c r="N487" s="49" t="s">
        <x:v>1888</x:v>
      </x:c>
      <x:c r="O487" s="49" t="s">
        <x:v>201</x:v>
      </x:c>
      <x:c r="P487" s="49" t="s">
        <x:v>30</x:v>
      </x:c>
      <x:c r="Q487" s="64" t="s">
        <x:v>23</x:v>
      </x:c>
      <x:c r="R487" s="50">
        <x:v>0.82</x:v>
      </x:c>
      <x:c r="S487" s="50">
        <x:f t="shared" si="32"/>
        <x:v>-1</x:v>
      </x:c>
      <x:c r="T487" s="49" t="s">
        <x:v>1890</x:v>
      </x:c>
      <x:c r="U487" s="49" t="str">
        <x:f t="shared" si="30"/>
        <x:v>红</x:v>
      </x:c>
      <x:c r="V487" s="50">
        <x:f t="shared" si="31"/>
        <x:v>1.06</x:v>
      </x:c>
      <x:c r="W487" s="50">
        <x:f t="shared" si="33"/>
        <x:v>1.06</x:v>
      </x:c>
      <x:c r="X487" s="62">
        <x:v>1.03</x:v>
      </x:c>
      <x:c r="Y487" s="62">
        <x:v>-0.75</x:v>
      </x:c>
      <x:c r="Z487" s="62">
        <x:v>0.79</x:v>
      </x:c>
      <x:c r="AA487" s="62">
        <x:v>-0.75</x:v>
      </x:c>
      <x:c r="AB487" s="62">
        <x:v>0.79</x:v>
      </x:c>
      <x:c r="AC487" s="62">
        <x:v>0.82</x:v>
      </x:c>
      <x:c r="AD487" s="60">
        <x:v>4.63</x:v>
      </x:c>
      <x:c r="AE487" s="60">
        <x:v>3.86</x:v>
      </x:c>
      <x:c r="AF487" s="60">
        <x:v>1.66</x:v>
      </x:c>
      <x:c r="AG487" s="62">
        <x:v>0.0774597174494598</x:v>
      </x:c>
      <x:c r="AH487" s="62">
        <x:v>0.0274597174494598</x:v>
      </x:c>
      <x:c r="AI487" s="62">
        <x:v>0.200455495351194</x:v>
      </x:c>
      <x:c r="AJ487" s="62">
        <x:v>0.240442731470474</x:v>
      </x:c>
      <x:c r="AK487" s="62">
        <x:v>0.559101773178331</x:v>
      </x:c>
      <x:c r="AL487" s="62">
        <x:v>0.91</x:v>
      </x:c>
      <x:c r="AM487" s="62">
        <x:v>1.7</x:v>
      </x:c>
      <x:c r="AN487" s="62">
        <x:v>0.000774634811106015</x:v>
      </x:c>
      <x:c r="AO487" s="62">
        <x:v>1.01095658767934</x:v>
      </x:c>
      <x:c r="AP487" s="62">
        <x:v>-0.19095658767934</x:v>
      </x:c>
      <x:c r="AQ487" s="62" t="s">
        <x:v>99</x:v>
      </x:c>
      <x:c r="AR487" s="49">
        <x:v>-0.75</x:v>
      </x:c>
      <x:c r="AS487" s="62">
        <x:v>0.435088976590391</x:v>
      </x:c>
      <x:c r="AT487" s="62">
        <x:v>0.439856067110718</x:v>
      </x:c>
      <x:c r="AU487" s="60">
        <x:v>5.18</x:v>
      </x:c>
      <x:c r="AV487" s="60">
        <x:v>4.1</x:v>
      </x:c>
      <x:c r="AW487" s="60">
        <x:v>1.59</x:v>
      </x:c>
      <x:c r="AX487" s="49" t="s">
        <x:v>1890</x:v>
      </x:c>
      <x:c r="AY487" s="49" t="s">
        <x:v>101</x:v>
      </x:c>
    </x:row>
    <x:row r="488" ht="22" customHeight="1">
      <x:c r="A488" s="49" t="s">
        <x:v>1963</x:v>
      </x:c>
      <x:c r="B488" s="49" t="s">
        <x:v>2004</x:v>
      </x:c>
      <x:c r="C488" s="49" t="s">
        <x:v>333</x:v>
      </x:c>
      <x:c r="D488" s="49" t="s">
        <x:v>116</x:v>
      </x:c>
      <x:c r="E488" s="49" t="s">
        <x:v>927</x:v>
      </x:c>
      <x:c r="F488" s="49" t="s">
        <x:v>2005</x:v>
      </x:c>
      <x:c r="G488" s="60">
        <x:v>0.88</x:v>
      </x:c>
      <x:c r="H488" s="60">
        <x:v>-0.5</x:v>
      </x:c>
      <x:c r="I488" s="60">
        <x:v>0.82</x:v>
      </x:c>
      <x:c r="J488" s="49" t="s">
        <x:v>2006</x:v>
      </x:c>
      <x:c r="K488" s="49" t="s">
        <x:v>106</x:v>
      </x:c>
      <x:c r="L488" s="49" t="s">
        <x:v>2007</x:v>
      </x:c>
      <x:c r="M488" s="61">
        <x:v>0.584</x:v>
      </x:c>
      <x:c r="N488" s="49" t="s">
        <x:v>1888</x:v>
      </x:c>
      <x:c r="O488" s="49" t="s">
        <x:v>353</x:v>
      </x:c>
      <x:c r="P488" s="49" t="s">
        <x:v>30</x:v>
      </x:c>
      <x:c r="Q488" s="63" t="s">
        <x:v>11</x:v>
      </x:c>
      <x:c r="R488" s="50">
        <x:v>0.82</x:v>
      </x:c>
      <x:c r="S488" s="50">
        <x:f t="shared" si="32"/>
        <x:v>0.82</x:v>
      </x:c>
      <x:c r="T488" s="49" t="s">
        <x:v>1890</x:v>
      </x:c>
      <x:c r="U488" s="49" t="str">
        <x:f t="shared" si="30"/>
        <x:v>黑</x:v>
      </x:c>
      <x:c r="V488" s="50">
        <x:f t="shared" si="31"/>
        <x:v>0.88</x:v>
      </x:c>
      <x:c r="W488" s="50">
        <x:f t="shared" si="33"/>
        <x:v>-1</x:v>
      </x:c>
      <x:c r="X488" s="62">
        <x:v>0.88</x:v>
      </x:c>
      <x:c r="Y488" s="62">
        <x:v>-0.5</x:v>
      </x:c>
      <x:c r="Z488" s="62">
        <x:v>0.82</x:v>
      </x:c>
      <x:c r="AA488" s="62">
        <x:v>-0.5</x:v>
      </x:c>
      <x:c r="AB488" s="62">
        <x:v>0.82</x:v>
      </x:c>
      <x:c r="AC488" s="62">
        <x:v>0.82</x:v>
      </x:c>
      <x:c r="AD488" s="60">
        <x:v>3.81</x:v>
      </x:c>
      <x:c r="AE488" s="60">
        <x:v>3.46</x:v>
      </x:c>
      <x:c r="AF488" s="60">
        <x:v>1.82</x:v>
      </x:c>
      <x:c r="AG488" s="62">
        <x:v>0.100935082092062</x:v>
      </x:c>
      <x:c r="AH488" s="62">
        <x:v>0.0509350820920618</x:v>
      </x:c>
      <x:c r="AI488" s="62">
        <x:v>0.238403876732036</x:v>
      </x:c>
      <x:c r="AJ488" s="62">
        <x:v>0.262519875823427</x:v>
      </x:c>
      <x:c r="AK488" s="62">
        <x:v>0.499076247444537</x:v>
      </x:c>
      <x:c r="AL488" s="62">
        <x:v>0.94</x:v>
      </x:c>
      <x:c r="AM488" s="62">
        <x:v>1.49</x:v>
      </x:c>
      <x:c r="AN488" s="62">
        <x:v>0.000674309454506268</x:v>
      </x:c>
      <x:c r="AO488" s="62">
        <x:v>0.999993516451119</x:v>
      </x:c>
      <x:c r="AP488" s="62">
        <x:v>-0.179993516451119</x:v>
      </x:c>
      <x:c r="AQ488" s="62" t="s">
        <x:v>99</x:v>
      </x:c>
      <x:c r="AR488" s="49">
        <x:v>-0.5</x:v>
      </x:c>
      <x:c r="AS488" s="62">
        <x:v>0.500001620892475</x:v>
      </x:c>
      <x:c r="AT488" s="62">
        <x:v>0.499998379107525</x:v>
      </x:c>
      <x:c r="AU488" s="60">
        <x:v>3.94</x:v>
      </x:c>
      <x:c r="AV488" s="60">
        <x:v>3.47</x:v>
      </x:c>
      <x:c r="AW488" s="60">
        <x:v>1.79</x:v>
      </x:c>
      <x:c r="AX488" s="49" t="s">
        <x:v>1890</x:v>
      </x:c>
      <x:c r="AY488" s="49" t="s">
        <x:v>101</x:v>
      </x:c>
    </x:row>
    <x:row r="489" ht="22" customHeight="1">
      <x:c r="A489" s="49" t="s">
        <x:v>1963</x:v>
      </x:c>
      <x:c r="B489" s="49" t="s">
        <x:v>2004</x:v>
      </x:c>
      <x:c r="C489" s="49" t="s">
        <x:v>2008</x:v>
      </x:c>
      <x:c r="D489" s="49" t="s">
        <x:v>90</x:v>
      </x:c>
      <x:c r="E489" s="49" t="s">
        <x:v>2009</x:v>
      </x:c>
      <x:c r="F489" s="49" t="s">
        <x:v>2010</x:v>
      </x:c>
      <x:c r="G489" s="60">
        <x:v>0.8</x:v>
      </x:c>
      <x:c r="H489" s="60">
        <x:v>1.5</x:v>
      </x:c>
      <x:c r="I489" s="60">
        <x:v>1.09</x:v>
      </x:c>
      <x:c r="J489" s="49" t="s">
        <x:v>2011</x:v>
      </x:c>
      <x:c r="K489" s="49" t="s">
        <x:v>106</x:v>
      </x:c>
      <x:c r="L489" s="49" t="s">
        <x:v>2012</x:v>
      </x:c>
      <x:c r="M489" s="61">
        <x:v>0.584</x:v>
      </x:c>
      <x:c r="N489" s="49" t="s">
        <x:v>1888</x:v>
      </x:c>
      <x:c r="O489" s="49" t="s">
        <x:v>231</x:v>
      </x:c>
      <x:c r="P489" s="49" t="s">
        <x:v>30</x:v>
      </x:c>
      <x:c r="Q489" s="64" t="s">
        <x:v>23</x:v>
      </x:c>
      <x:c r="R489" s="50">
        <x:v>0.8</x:v>
      </x:c>
      <x:c r="S489" s="50">
        <x:f t="shared" si="32"/>
        <x:v>-1</x:v>
      </x:c>
      <x:c r="T489" s="49" t="s">
        <x:v>1890</x:v>
      </x:c>
      <x:c r="U489" s="49" t="str">
        <x:f t="shared" si="30"/>
        <x:v>红</x:v>
      </x:c>
      <x:c r="V489" s="50">
        <x:f t="shared" si="31"/>
        <x:v>1.09</x:v>
      </x:c>
      <x:c r="W489" s="50">
        <x:f t="shared" si="33"/>
        <x:v>1.09</x:v>
      </x:c>
      <x:c r="X489" s="62">
        <x:v>0.84</x:v>
      </x:c>
      <x:c r="Y489" s="62">
        <x:v>1.25</x:v>
      </x:c>
      <x:c r="Z489" s="62">
        <x:v>0.98</x:v>
      </x:c>
      <x:c r="AA489" s="62">
        <x:v>-1.25</x:v>
      </x:c>
      <x:c r="AB489" s="62">
        <x:v>0.84</x:v>
      </x:c>
      <x:c r="AC489" s="62">
        <x:v>0.8</x:v>
      </x:c>
      <x:c r="AD489" s="60">
        <x:v>1.37</x:v>
      </x:c>
      <x:c r="AE489" s="60">
        <x:v>4.76</x:v>
      </x:c>
      <x:c r="AF489" s="60">
        <x:v>7.72</x:v>
      </x:c>
      <x:c r="AG489" s="62">
        <x:v>0.0695447196691923</x:v>
      </x:c>
      <x:c r="AH489" s="62">
        <x:v>0.0195447196691923</x:v>
      </x:c>
      <x:c r="AI489" s="62">
        <x:v>0.682465159124001</x:v>
      </x:c>
      <x:c r="AJ489" s="62">
        <x:v>0.196423795798294</x:v>
      </x:c>
      <x:c r="AK489" s="62">
        <x:v>0.121111045077705</x:v>
      </x:c>
      <x:c r="AL489" s="62">
        <x:v>2.04</x:v>
      </x:c>
      <x:c r="AM489" s="62">
        <x:v>0.72</x:v>
      </x:c>
      <x:c r="AN489" s="62">
        <x:v>5.75080438354503e-5</x:v>
      </x:c>
      <x:c r="AO489" s="62">
        <x:v>1.31371367095365</x:v>
      </x:c>
      <x:c r="AP489" s="62">
        <x:v>-0.513713670953653</x:v>
      </x:c>
      <x:c r="AQ489" s="62" t="s">
        <x:v>99</x:v>
      </x:c>
      <x:c r="AR489" s="49">
        <x:v>-1.5</x:v>
      </x:c>
      <x:c r="AS489" s="62">
        <x:v>0.432205597673556</x:v>
      </x:c>
      <x:c r="AT489" s="62">
        <x:v>0.567794402326445</x:v>
      </x:c>
      <x:c r="AU489" s="60">
        <x:v>1.29</x:v>
      </x:c>
      <x:c r="AV489" s="60">
        <x:v>5.46</x:v>
      </x:c>
      <x:c r="AW489" s="60">
        <x:v>10.58</x:v>
      </x:c>
      <x:c r="AX489" s="49" t="s">
        <x:v>1890</x:v>
      </x:c>
      <x:c r="AY489" s="49" t="s">
        <x:v>101</x:v>
      </x:c>
    </x:row>
    <x:row r="490" ht="22" customHeight="1">
      <x:c r="A490" s="49" t="s">
        <x:v>1963</x:v>
      </x:c>
      <x:c r="B490" s="49" t="s">
        <x:v>2004</x:v>
      </x:c>
      <x:c r="C490" s="49" t="s">
        <x:v>2008</x:v>
      </x:c>
      <x:c r="D490" s="49" t="s">
        <x:v>90</x:v>
      </x:c>
      <x:c r="E490" s="49" t="s">
        <x:v>2009</x:v>
      </x:c>
      <x:c r="F490" s="49" t="s">
        <x:v>2013</x:v>
      </x:c>
      <x:c r="G490" s="60">
        <x:v>1.09</x:v>
      </x:c>
      <x:c r="H490" s="60">
        <x:v>1.25</x:v>
      </x:c>
      <x:c r="I490" s="60">
        <x:v>0.8</x:v>
      </x:c>
      <x:c r="J490" s="49" t="s">
        <x:v>2014</x:v>
      </x:c>
      <x:c r="K490" s="49" t="s">
        <x:v>189</x:v>
      </x:c>
      <x:c r="L490" s="49" t="s">
        <x:v>2015</x:v>
      </x:c>
      <x:c r="M490" s="61">
        <x:v>0.527</x:v>
      </x:c>
      <x:c r="N490" s="49" t="s">
        <x:v>1888</x:v>
      </x:c>
      <x:c r="O490" s="49" t="s">
        <x:v>201</x:v>
      </x:c>
      <x:c r="P490" s="49" t="s">
        <x:v>30</x:v>
      </x:c>
      <x:c r="Q490" s="64" t="s">
        <x:v>20</x:v>
      </x:c>
      <x:c r="R490" s="50">
        <x:v>1.09</x:v>
      </x:c>
      <x:c r="S490" s="50">
        <x:f t="shared" si="32"/>
        <x:v>-0.5</x:v>
      </x:c>
      <x:c r="T490" s="49" t="s">
        <x:v>1890</x:v>
      </x:c>
      <x:c r="U490" s="49" t="str">
        <x:f t="shared" si="30"/>
        <x:v>半红</x:v>
      </x:c>
      <x:c r="V490" s="50">
        <x:f t="shared" si="31"/>
        <x:v>0.8</x:v>
      </x:c>
      <x:c r="W490" s="50">
        <x:f t="shared" si="33"/>
        <x:v>0.4</x:v>
      </x:c>
      <x:c r="X490" s="62">
        <x:v>0.9</x:v>
      </x:c>
      <x:c r="Y490" s="62">
        <x:v>0.75</x:v>
      </x:c>
      <x:c r="Z490" s="62">
        <x:v>0.92</x:v>
      </x:c>
      <x:c r="AA490" s="62">
        <x:v>-0.75</x:v>
      </x:c>
      <x:c r="AB490" s="62">
        <x:v>0.9</x:v>
      </x:c>
      <x:c r="AC490" s="62">
        <x:v>1.09</x:v>
      </x:c>
      <x:c r="AD490" s="60">
        <x:v>1.71</x:v>
      </x:c>
      <x:c r="AE490" s="60">
        <x:v>3.93</x:v>
      </x:c>
      <x:c r="AF490" s="60">
        <x:v>4.44</x:v>
      </x:c>
      <x:c r="AG490" s="62">
        <x:v>0.0644734730713035</x:v>
      </x:c>
      <x:c r="AH490" s="62">
        <x:v>0.0144734730713035</x:v>
      </x:c>
      <x:c r="AI490" s="62">
        <x:v>0.549375194808875</x:v>
      </x:c>
      <x:c r="AJ490" s="62">
        <x:v>0.239041115298518</x:v>
      </x:c>
      <x:c r="AK490" s="62">
        <x:v>0.211583689892607</x:v>
      </x:c>
      <x:c r="AL490" s="62">
        <x:v>1.71</x:v>
      </x:c>
      <x:c r="AM490" s="62">
        <x:v>0.96</x:v>
      </x:c>
      <x:c r="AN490" s="62">
        <x:v>0.000614736742527634</x:v>
      </x:c>
      <x:c r="AO490" s="62">
        <x:v>1.88495596772027</x:v>
      </x:c>
      <x:c r="AP490" s="62">
        <x:v>-0.794955967720266</x:v>
      </x:c>
      <x:c r="AQ490" s="62" t="s">
        <x:v>99</x:v>
      </x:c>
      <x:c r="AR490" s="49">
        <x:v>-1.25</x:v>
      </x:c>
      <x:c r="AS490" s="62">
        <x:v>0.303961456609135</x:v>
      </x:c>
      <x:c r="AT490" s="62">
        <x:v>0.572953961592333</x:v>
      </x:c>
      <x:c r="AU490" s="60">
        <x:v>1.5</x:v>
      </x:c>
      <x:c r="AV490" s="60">
        <x:v>4.46</x:v>
      </x:c>
      <x:c r="AW490" s="60">
        <x:v>6.14</x:v>
      </x:c>
      <x:c r="AX490" s="49" t="s">
        <x:v>1890</x:v>
      </x:c>
      <x:c r="AY490" s="49" t="s">
        <x:v>101</x:v>
      </x:c>
    </x:row>
    <x:row r="491" ht="22" customHeight="1">
      <x:c r="A491" s="49" t="s">
        <x:v>1963</x:v>
      </x:c>
      <x:c r="B491" s="49" t="s">
        <x:v>2004</x:v>
      </x:c>
      <x:c r="C491" s="49" t="s">
        <x:v>333</x:v>
      </x:c>
      <x:c r="D491" s="49" t="s">
        <x:v>90</x:v>
      </x:c>
      <x:c r="E491" s="49" t="s">
        <x:v>1176</x:v>
      </x:c>
      <x:c r="F491" s="49" t="s">
        <x:v>2016</x:v>
      </x:c>
      <x:c r="G491" s="60">
        <x:v>0.88</x:v>
      </x:c>
      <x:c r="H491" s="60">
        <x:v>-0.5</x:v>
      </x:c>
      <x:c r="I491" s="60">
        <x:v>1</x:v>
      </x:c>
      <x:c r="J491" s="49" t="s">
        <x:v>2017</x:v>
      </x:c>
      <x:c r="K491" s="49" t="s">
        <x:v>189</x:v>
      </x:c>
      <x:c r="L491" s="49" t="s">
        <x:v>1652</x:v>
      </x:c>
      <x:c r="M491" s="61">
        <x:v>0.529</x:v>
      </x:c>
      <x:c r="N491" s="49" t="s">
        <x:v>1888</x:v>
      </x:c>
      <x:c r="O491" s="49" t="s">
        <x:v>558</x:v>
      </x:c>
      <x:c r="P491" s="49" t="s">
        <x:v>30</x:v>
      </x:c>
      <x:c r="Q491" s="63" t="s">
        <x:v>11</x:v>
      </x:c>
      <x:c r="R491" s="50">
        <x:v>1</x:v>
      </x:c>
      <x:c r="S491" s="50">
        <x:f t="shared" si="32"/>
        <x:v>1</x:v>
      </x:c>
      <x:c r="T491" s="49" t="s">
        <x:v>1890</x:v>
      </x:c>
      <x:c r="U491" s="49" t="str">
        <x:f t="shared" si="30"/>
        <x:v>黑</x:v>
      </x:c>
      <x:c r="V491" s="50">
        <x:f t="shared" si="31"/>
        <x:v>0.88</x:v>
      </x:c>
      <x:c r="W491" s="50">
        <x:f t="shared" si="33"/>
        <x:v>-1</x:v>
      </x:c>
      <x:c r="X491" s="62">
        <x:v>0.88</x:v>
      </x:c>
      <x:c r="Y491" s="62">
        <x:v>-0.25</x:v>
      </x:c>
      <x:c r="Z491" s="62">
        <x:v>0.94</x:v>
      </x:c>
      <x:c r="AA491" s="62">
        <x:v>-0.25</x:v>
      </x:c>
      <x:c r="AB491" s="62">
        <x:v>0.94</x:v>
      </x:c>
      <x:c r="AC491" s="62">
        <x:v>1</x:v>
      </x:c>
      <x:c r="AD491" s="60">
        <x:v>2.94</x:v>
      </x:c>
      <x:c r="AE491" s="60">
        <x:v>3.49</x:v>
      </x:c>
      <x:c r="AF491" s="60">
        <x:v>2.21</x:v>
      </x:c>
      <x:c r="AG491" s="62">
        <x:v>0.0791576934939724</x:v>
      </x:c>
      <x:c r="AH491" s="62">
        <x:v>0.0291576934939724</x:v>
      </x:c>
      <x:c r="AI491" s="62">
        <x:v>0.315186609401371</x:v>
      </x:c>
      <x:c r="AJ491" s="62">
        <x:v>0.2655153672321</x:v>
      </x:c>
      <x:c r="AK491" s="62">
        <x:v>0.419298023366529</x:v>
      </x:c>
      <x:c r="AL491" s="62">
        <x:v>1.16</x:v>
      </x:c>
      <x:c r="AM491" s="62">
        <x:v>1.38</x:v>
      </x:c>
      <x:c r="AN491" s="62">
        <x:v>9.25057127953986e-5</x:v>
      </x:c>
      <x:c r="AO491" s="62">
        <x:v>1.38568177289741</x:v>
      </x:c>
      <x:c r="AP491" s="62">
        <x:v>-0.385681772897409</x:v>
      </x:c>
      <x:c r="AQ491" s="62" t="s">
        <x:v>99</x:v>
      </x:c>
      <x:c r="AR491" s="49">
        <x:v>-0.5</x:v>
      </x:c>
      <x:c r="AS491" s="62">
        <x:v>0.41916738911305</x:v>
      </x:c>
      <x:c r="AT491" s="62">
        <x:v>0.58083261088695</x:v>
      </x:c>
      <x:c r="AU491" s="60">
        <x:v>3.33</x:v>
      </x:c>
      <x:c r="AV491" s="60">
        <x:v>3.81</x:v>
      </x:c>
      <x:c r="AW491" s="60">
        <x:v>2</x:v>
      </x:c>
      <x:c r="AX491" s="49" t="s">
        <x:v>1890</x:v>
      </x:c>
      <x:c r="AY491" s="49" t="s">
        <x:v>101</x:v>
      </x:c>
    </x:row>
    <x:row r="492" ht="22" customHeight="1">
      <x:c r="A492" s="49" t="s">
        <x:v>1963</x:v>
      </x:c>
      <x:c r="B492" s="49" t="s">
        <x:v>2018</x:v>
      </x:c>
      <x:c r="C492" s="49" t="s">
        <x:v>333</x:v>
      </x:c>
      <x:c r="D492" s="49" t="s">
        <x:v>116</x:v>
      </x:c>
      <x:c r="E492" s="49" t="s">
        <x:v>613</x:v>
      </x:c>
      <x:c r="F492" s="49" t="s">
        <x:v>2019</x:v>
      </x:c>
      <x:c r="G492" s="60">
        <x:v>1.03</x:v>
      </x:c>
      <x:c r="H492" s="60">
        <x:v>-0.25</x:v>
      </x:c>
      <x:c r="I492" s="60">
        <x:v>0.86</x:v>
      </x:c>
      <x:c r="J492" s="49" t="s">
        <x:v>275</x:v>
      </x:c>
      <x:c r="K492" s="49" t="s">
        <x:v>276</x:v>
      </x:c>
      <x:c r="L492" s="49" t="s">
        <x:v>2020</x:v>
      </x:c>
      <x:c r="M492" s="61">
        <x:v>0.532</x:v>
      </x:c>
      <x:c r="N492" s="49" t="s">
        <x:v>1888</x:v>
      </x:c>
      <x:c r="O492" s="49" t="s">
        <x:v>149</x:v>
      </x:c>
      <x:c r="P492" s="49" t="s">
        <x:v>30</x:v>
      </x:c>
      <x:c r="Q492" s="63" t="s">
        <x:v>14</x:v>
      </x:c>
      <x:c r="R492" s="50">
        <x:v>1.03</x:v>
      </x:c>
      <x:c r="S492" s="50">
        <x:f t="shared" si="32"/>
        <x:v>0.515</x:v>
      </x:c>
      <x:c r="T492" s="49" t="s">
        <x:v>1890</x:v>
      </x:c>
      <x:c r="U492" s="49" t="str">
        <x:f t="shared" si="30"/>
        <x:v>半黑</x:v>
      </x:c>
      <x:c r="V492" s="50">
        <x:f t="shared" si="31"/>
        <x:v>0.86</x:v>
      </x:c>
      <x:c r="W492" s="50">
        <x:f t="shared" si="33"/>
        <x:v>-0.5</x:v>
      </x:c>
      <x:c r="X492" s="62">
        <x:v>0.88</x:v>
      </x:c>
      <x:c r="Y492" s="62">
        <x:v>-0.25</x:v>
      </x:c>
      <x:c r="Z492" s="62">
        <x:v>1</x:v>
      </x:c>
      <x:c r="AA492" s="62">
        <x:v>0.25</x:v>
      </x:c>
      <x:c r="AB492" s="62">
        <x:v>0.88</x:v>
      </x:c>
      <x:c r="AC492" s="62">
        <x:v>1.03</x:v>
      </x:c>
      <x:c r="AD492" s="60">
        <x:v>3.14</x:v>
      </x:c>
      <x:c r="AE492" s="60">
        <x:v>3.39</x:v>
      </x:c>
      <x:c r="AF492" s="60">
        <x:v>2.22</x:v>
      </x:c>
      <x:c r="AG492" s="62">
        <x:v>0.0639070387675313</x:v>
      </x:c>
      <x:c r="AH492" s="62">
        <x:v>0.0139070387675313</x:v>
      </x:c>
      <x:c r="AI492" s="62">
        <x:v>0.299341320223378</x:v>
      </x:c>
      <x:c r="AJ492" s="62">
        <x:v>0.277266001622834</x:v>
      </x:c>
      <x:c r="AK492" s="62">
        <x:v>0.423392678153787</x:v>
      </x:c>
      <x:c r="AL492" s="62">
        <x:v>1.05</x:v>
      </x:c>
      <x:c r="AM492" s="62">
        <x:v>1.3</x:v>
      </x:c>
      <x:c r="AN492" s="62">
        <x:v>0.000825468169768945</x:v>
      </x:c>
      <x:c r="AO492" s="62">
        <x:v>0.962123894985491</x:v>
      </x:c>
      <x:c r="AP492" s="62">
        <x:v>0.0678761050145095</x:v>
      </x:c>
      <x:c r="AQ492" s="62" t="s">
        <x:v>142</x:v>
      </x:c>
      <x:c r="AR492" s="49">
        <x:v>0.25</x:v>
      </x:c>
      <x:c r="AS492" s="62">
        <x:v>0.438984358860274</x:v>
      </x:c>
      <x:c r="AT492" s="62">
        <x:v>0.422357341184356</x:v>
      </x:c>
      <x:c r="AU492" s="60">
        <x:v>3.36</x:v>
      </x:c>
      <x:c r="AV492" s="60">
        <x:v>3.49</x:v>
      </x:c>
      <x:c r="AW492" s="60">
        <x:v>2.14</x:v>
      </x:c>
      <x:c r="AX492" s="49" t="s">
        <x:v>1890</x:v>
      </x:c>
      <x:c r="AY492" s="49" t="s">
        <x:v>101</x:v>
      </x:c>
    </x:row>
    <x:row r="493" ht="22" customHeight="1">
      <x:c r="A493" s="49" t="s">
        <x:v>2021</x:v>
      </x:c>
      <x:c r="B493" s="49" t="s">
        <x:v>2022</x:v>
      </x:c>
      <x:c r="C493" s="49" t="s">
        <x:v>89</x:v>
      </x:c>
      <x:c r="D493" s="49" t="s">
        <x:v>116</x:v>
      </x:c>
      <x:c r="E493" s="49" t="s">
        <x:v>789</x:v>
      </x:c>
      <x:c r="F493" s="49" t="s">
        <x:v>2023</x:v>
      </x:c>
      <x:c r="G493" s="60">
        <x:v>1.06</x:v>
      </x:c>
      <x:c r="H493" s="60">
        <x:v>-0.75</x:v>
      </x:c>
      <x:c r="I493" s="60">
        <x:v>0.83</x:v>
      </x:c>
      <x:c r="J493" s="49" t="s">
        <x:v>1191</x:v>
      </x:c>
      <x:c r="K493" s="49" t="s">
        <x:v>106</x:v>
      </x:c>
      <x:c r="L493" s="49" t="s">
        <x:v>2024</x:v>
      </x:c>
      <x:c r="M493" s="61">
        <x:v>0.576</x:v>
      </x:c>
      <x:c r="N493" s="49" t="s">
        <x:v>1888</x:v>
      </x:c>
      <x:c r="O493" s="49" t="s">
        <x:v>149</x:v>
      </x:c>
      <x:c r="P493" s="49" t="s">
        <x:v>30</x:v>
      </x:c>
      <x:c r="Q493" s="64" t="s">
        <x:v>23</x:v>
      </x:c>
      <x:c r="R493" s="50">
        <x:v>0.83</x:v>
      </x:c>
      <x:c r="S493" s="50">
        <x:f t="shared" si="32"/>
        <x:v>-1</x:v>
      </x:c>
      <x:c r="T493" s="49" t="s">
        <x:v>2025</x:v>
      </x:c>
      <x:c r="U493" s="49" t="str">
        <x:f t="shared" si="30"/>
        <x:v>红</x:v>
      </x:c>
      <x:c r="V493" s="50">
        <x:f t="shared" si="31"/>
        <x:v>1.06</x:v>
      </x:c>
      <x:c r="W493" s="50">
        <x:f t="shared" si="33"/>
        <x:v>1.06</x:v>
      </x:c>
      <x:c r="X493" s="62">
        <x:v>0.88</x:v>
      </x:c>
      <x:c r="Y493" s="62">
        <x:v>-0.75</x:v>
      </x:c>
      <x:c r="Z493" s="62">
        <x:v>1</x:v>
      </x:c>
      <x:c r="AA493" s="62">
        <x:v>-0.75</x:v>
      </x:c>
      <x:c r="AB493" s="62">
        <x:v>1</x:v>
      </x:c>
      <x:c r="AC493" s="62">
        <x:v>0.83</x:v>
      </x:c>
      <x:c r="AD493" s="60">
        <x:v>5.03</x:v>
      </x:c>
      <x:c r="AE493" s="60">
        <x:v>3.97</x:v>
      </x:c>
      <x:c r="AF493" s="60">
        <x:v>1.6</x:v>
      </x:c>
      <x:c r="AG493" s="62">
        <x:v>0.0756963258233971</x:v>
      </x:c>
      <x:c r="AH493" s="62">
        <x:v>0.0256963258233971</x:v>
      </x:c>
      <x:c r="AI493" s="62">
        <x:v>0.184817175893462</x:v>
      </x:c>
      <x:c r="AJ493" s="62">
        <x:v>0.234163827391465</x:v>
      </x:c>
      <x:c r="AK493" s="62">
        <x:v>0.581018996715073</x:v>
      </x:c>
      <x:c r="AL493" s="62">
        <x:v>0.87</x:v>
      </x:c>
      <x:c r="AM493" s="62">
        <x:v>1.75</x:v>
      </x:c>
      <x:c r="AN493" s="62">
        <x:v>0.000715922424103379</x:v>
      </x:c>
      <x:c r="AO493" s="62">
        <x:v>0.916915210026104</x:v>
      </x:c>
      <x:c r="AP493" s="62">
        <x:v>-0.0869152100261041</x:v>
      </x:c>
      <x:c r="AQ493" s="62" t="s">
        <x:v>99</x:v>
      </x:c>
      <x:c r="AR493" s="49">
        <x:v>-0.75</x:v>
      </x:c>
      <x:c r="AS493" s="62">
        <x:v>0.455843006434765</x:v>
      </x:c>
      <x:c r="AT493" s="62">
        <x:v>0.417969385984064</x:v>
      </x:c>
      <x:c r="AU493" s="60">
        <x:v>4.69</x:v>
      </x:c>
      <x:c r="AV493" s="60">
        <x:v>3.88</x:v>
      </x:c>
      <x:c r="AW493" s="60">
        <x:v>1.67</x:v>
      </x:c>
      <x:c r="AX493" s="49" t="s">
        <x:v>1890</x:v>
      </x:c>
      <x:c r="AY493" s="49" t="s">
        <x:v>101</x:v>
      </x:c>
    </x:row>
    <x:row r="494" ht="22" customHeight="1">
      <x:c r="A494" s="49" t="s">
        <x:v>2021</x:v>
      </x:c>
      <x:c r="B494" s="49" t="s">
        <x:v>2026</x:v>
      </x:c>
      <x:c r="C494" s="49" t="s">
        <x:v>89</x:v>
      </x:c>
      <x:c r="D494" s="49" t="s">
        <x:v>90</x:v>
      </x:c>
      <x:c r="E494" s="49" t="s">
        <x:v>295</x:v>
      </x:c>
      <x:c r="F494" s="49" t="s">
        <x:v>2027</x:v>
      </x:c>
      <x:c r="G494" s="60">
        <x:v>0.87</x:v>
      </x:c>
      <x:c r="H494" s="60">
        <x:v>0.5</x:v>
      </x:c>
      <x:c r="I494" s="60">
        <x:v>0.95</x:v>
      </x:c>
      <x:c r="J494" s="49" t="s">
        <x:v>2028</x:v>
      </x:c>
      <x:c r="K494" s="49" t="s">
        <x:v>132</x:v>
      </x:c>
      <x:c r="L494" s="49" t="s">
        <x:v>2029</x:v>
      </x:c>
      <x:c r="M494" s="61">
        <x:v>0.555</x:v>
      </x:c>
      <x:c r="N494" s="49" t="s">
        <x:v>1888</x:v>
      </x:c>
      <x:c r="O494" s="49" t="s">
        <x:v>126</x:v>
      </x:c>
      <x:c r="P494" s="49" t="s">
        <x:v>30</x:v>
      </x:c>
      <x:c r="Q494" s="63" t="s">
        <x:v>11</x:v>
      </x:c>
      <x:c r="R494" s="50">
        <x:v>0.95</x:v>
      </x:c>
      <x:c r="S494" s="50">
        <x:f t="shared" si="32"/>
        <x:v>0.95</x:v>
      </x:c>
      <x:c r="T494" s="49" t="s">
        <x:v>2030</x:v>
      </x:c>
      <x:c r="U494" s="49" t="str">
        <x:f t="shared" si="30"/>
        <x:v>黑</x:v>
      </x:c>
      <x:c r="V494" s="50">
        <x:f t="shared" si="31"/>
        <x:v>0.87</x:v>
      </x:c>
      <x:c r="W494" s="50">
        <x:f t="shared" si="33"/>
        <x:v>-1</x:v>
      </x:c>
      <x:c r="X494" s="62">
        <x:v>1.05</x:v>
      </x:c>
      <x:c r="Y494" s="62">
        <x:v>1</x:v>
      </x:c>
      <x:c r="Z494" s="62">
        <x:v>0.77</x:v>
      </x:c>
      <x:c r="AA494" s="62">
        <x:v>1</x:v>
      </x:c>
      <x:c r="AB494" s="62">
        <x:v>0.77</x:v>
      </x:c>
      <x:c r="AC494" s="62">
        <x:v>0.95</x:v>
      </x:c>
      <x:c r="AD494" s="60">
        <x:v>1.85</x:v>
      </x:c>
      <x:c r="AE494" s="60">
        <x:v>3.3</x:v>
      </x:c>
      <x:c r="AF494" s="60">
        <x:v>3.95</x:v>
      </x:c>
      <x:c r="AG494" s="62">
        <x:v>0.0967354005328689</x:v>
      </x:c>
      <x:c r="AH494" s="62">
        <x:v>0.0467354005328689</x:v>
      </x:c>
      <x:c r="AI494" s="62">
        <x:v>0.492863219585972</x:v>
      </x:c>
      <x:c r="AJ494" s="62">
        <x:v>0.276302107949712</x:v>
      </x:c>
      <x:c r="AK494" s="62">
        <x:v>0.230834672464316</x:v>
      </x:c>
      <x:c r="AL494" s="62">
        <x:v>1.38</x:v>
      </x:c>
      <x:c r="AM494" s="62">
        <x:v>0.85</x:v>
      </x:c>
      <x:c r="AN494" s="62">
        <x:v>0.000335522484167986</x:v>
      </x:c>
      <x:c r="AO494" s="62">
        <x:v>0.972416372041541</x:v>
      </x:c>
      <x:c r="AP494" s="62">
        <x:v>-0.0224163720415415</x:v>
      </x:c>
      <x:c r="AQ494" s="62" t="s">
        <x:v>174</x:v>
      </x:c>
      <x:c r="AR494" s="49">
        <x:v>0.5</x:v>
      </x:c>
      <x:c r="AS494" s="62">
        <x:v>0.506992344098703</x:v>
      </x:c>
      <x:c r="AT494" s="62">
        <x:v>0.493007655901297</x:v>
      </x:c>
      <x:c r="AU494" s="60">
        <x:v>1.85</x:v>
      </x:c>
      <x:c r="AV494" s="60">
        <x:v>3.37</x:v>
      </x:c>
      <x:c r="AW494" s="60">
        <x:v>3.94</x:v>
      </x:c>
      <x:c r="AX494" s="49" t="s">
        <x:v>1890</x:v>
      </x:c>
      <x:c r="AY494" s="49" t="s">
        <x:v>101</x:v>
      </x:c>
    </x:row>
    <x:row r="495" ht="22" customHeight="1">
      <x:c r="A495" s="49" t="s">
        <x:v>2021</x:v>
      </x:c>
      <x:c r="B495" s="49" t="s">
        <x:v>2031</x:v>
      </x:c>
      <x:c r="C495" s="49" t="s">
        <x:v>89</x:v>
      </x:c>
      <x:c r="D495" s="49" t="s">
        <x:v>116</x:v>
      </x:c>
      <x:c r="E495" s="49" t="s">
        <x:v>789</x:v>
      </x:c>
      <x:c r="F495" s="49" t="s">
        <x:v>2032</x:v>
      </x:c>
      <x:c r="G495" s="60">
        <x:v>1.06</x:v>
      </x:c>
      <x:c r="H495" s="60">
        <x:v>-0.25</x:v>
      </x:c>
      <x:c r="I495" s="60">
        <x:v>0.83</x:v>
      </x:c>
      <x:c r="J495" s="49" t="s">
        <x:v>842</x:v>
      </x:c>
      <x:c r="K495" s="49" t="s">
        <x:v>106</x:v>
      </x:c>
      <x:c r="L495" s="49" t="s">
        <x:v>2033</x:v>
      </x:c>
      <x:c r="M495" s="61">
        <x:v>0.576</x:v>
      </x:c>
      <x:c r="N495" s="49" t="s">
        <x:v>1888</x:v>
      </x:c>
      <x:c r="O495" s="49" t="s">
        <x:v>653</x:v>
      </x:c>
      <x:c r="P495" s="49" t="s">
        <x:v>30</x:v>
      </x:c>
      <x:c r="Q495" s="63" t="s">
        <x:v>11</x:v>
      </x:c>
      <x:c r="R495" s="50">
        <x:v>0.83</x:v>
      </x:c>
      <x:c r="S495" s="50">
        <x:f t="shared" si="32"/>
        <x:v>0.83</x:v>
      </x:c>
      <x:c r="T495" s="49" t="s">
        <x:v>2034</x:v>
      </x:c>
      <x:c r="U495" s="49" t="str">
        <x:f t="shared" ref="U495:U558" si="34">IF(Q495="","",IF(Q495="待结算","待结算",IF(Q495="红","黑",IF(Q495="半红","半黑",IF(Q495="走","走",IF(Q495="半黑","半红","红"))))))</x:f>
        <x:v>黑</x:v>
      </x:c>
      <x:c r="V495" s="50" t="n">
        <x:f t="shared" ref="V495:V558" si="35">IF(OR(Q495="",Q495="待结算"),"",IF(L495=LEFT(F495,FIND(" vs ",F495)-1),I495,G495))</x:f>
        <x:v>1.06</x:v>
      </x:c>
      <x:c r="W495" s="50">
        <x:f t="shared" si="33"/>
        <x:v>-1</x:v>
      </x:c>
      <x:c r="X495" s="62">
        <x:v>0.79</x:v>
      </x:c>
      <x:c r="Y495" s="62">
        <x:v>-0.25</x:v>
      </x:c>
      <x:c r="Z495" s="62">
        <x:v>1.09</x:v>
      </x:c>
      <x:c r="AA495" s="62">
        <x:v>-0.25</x:v>
      </x:c>
      <x:c r="AB495" s="62">
        <x:v>1.09</x:v>
      </x:c>
      <x:c r="AC495" s="62">
        <x:v>0.83</x:v>
      </x:c>
      <x:c r="AD495" s="60">
        <x:v>2.86</x:v>
      </x:c>
      <x:c r="AE495" s="60">
        <x:v>3.36</x:v>
      </x:c>
      <x:c r="AF495" s="60">
        <x:v>2.33</x:v>
      </x:c>
      <x:c r="AG495" s="62">
        <x:v>0.0764539466256204</x:v>
      </x:c>
      <x:c r="AH495" s="62">
        <x:v>0.0264539466256204</x:v>
      </x:c>
      <x:c r="AI495" s="62">
        <x:v>0.324816821700924</x:v>
      </x:c>
      <x:c r="AJ495" s="62">
        <x:v>0.276480985138286</x:v>
      </x:c>
      <x:c r="AK495" s="62">
        <x:v>0.39870219316079</x:v>
      </x:c>
      <x:c r="AL495" s="62">
        <x:v>1.12</x:v>
      </x:c>
      <x:c r="AM495" s="62">
        <x:v>1.27</x:v>
      </x:c>
      <x:c r="AN495" s="62">
        <x:v>0.000447530196070138</x:v>
      </x:c>
      <x:c r="AO495" s="62">
        <x:v>1.16406738729907</x:v>
      </x:c>
      <x:c r="AP495" s="62">
        <x:v>-0.334067387299067</x:v>
      </x:c>
      <x:c r="AQ495" s="62" t="s">
        <x:v>99</x:v>
      </x:c>
      <x:c r="AR495" s="49">
        <x:v>-0.25</x:v>
      </x:c>
      <x:c r="AS495" s="62">
        <x:v>0.398248890398546</x:v>
      </x:c>
      <x:c r="AT495" s="62">
        <x:v>0.463588545340988</x:v>
      </x:c>
      <x:c r="AU495" s="60">
        <x:v>3.29</x:v>
      </x:c>
      <x:c r="AV495" s="60">
        <x:v>3.3</x:v>
      </x:c>
      <x:c r="AW495" s="60">
        <x:v>2.17</x:v>
      </x:c>
      <x:c r="AX495" s="49" t="s">
        <x:v>1890</x:v>
      </x:c>
      <x:c r="AY495" s="49" t="s">
        <x:v>101</x:v>
      </x:c>
    </x:row>
    <x:row r="496" ht="22" customHeight="1">
      <x:c r="A496" s="49" t="s">
        <x:v>2021</x:v>
      </x:c>
      <x:c r="B496" s="49" t="s">
        <x:v>2035</x:v>
      </x:c>
      <x:c r="C496" s="49" t="s">
        <x:v>333</x:v>
      </x:c>
      <x:c r="D496" s="49" t="s">
        <x:v>116</x:v>
      </x:c>
      <x:c r="E496" s="49" t="s">
        <x:v>927</x:v>
      </x:c>
      <x:c r="F496" s="49" t="s">
        <x:v>2036</x:v>
      </x:c>
      <x:c r="G496" s="60">
        <x:v>0.8</x:v>
      </x:c>
      <x:c r="H496" s="60">
        <x:v>0</x:v>
      </x:c>
      <x:c r="I496" s="60">
        <x:v>0.96</x:v>
      </x:c>
      <x:c r="J496" s="49" t="s">
        <x:v>1795</x:v>
      </x:c>
      <x:c r="K496" s="49" t="s">
        <x:v>106</x:v>
      </x:c>
      <x:c r="L496" s="49" t="s">
        <x:v>2037</x:v>
      </x:c>
      <x:c r="M496" s="61">
        <x:v>0.584</x:v>
      </x:c>
      <x:c r="N496" s="49" t="s">
        <x:v>1888</x:v>
      </x:c>
      <x:c r="O496" s="49" t="s">
        <x:v>149</x:v>
      </x:c>
      <x:c r="P496" s="49" t="s">
        <x:v>30</x:v>
      </x:c>
      <x:c r="Q496" s="65" t="s">
        <x:v>17</x:v>
      </x:c>
      <x:c r="R496" s="50">
        <x:v>0.8</x:v>
      </x:c>
      <x:c r="S496" s="50">
        <x:f t="shared" si="32"/>
        <x:v>0</x:v>
      </x:c>
      <x:c r="T496" s="49" t="s">
        <x:v>2038</x:v>
      </x:c>
      <x:c r="U496" s="49" t="str">
        <x:f t="shared" si="34"/>
        <x:v>走</x:v>
      </x:c>
      <x:c r="V496" s="50">
        <x:f t="shared" si="35"/>
        <x:v>0.96</x:v>
      </x:c>
      <x:c r="W496" s="50">
        <x:f t="shared" si="33"/>
        <x:v>0</x:v>
      </x:c>
      <x:c r="X496" s="62">
        <x:v>0.88</x:v>
      </x:c>
      <x:c r="Y496" s="62">
        <x:v>0</x:v>
      </x:c>
      <x:c r="Z496" s="62">
        <x:v>0.82</x:v>
      </x:c>
      <x:c r="AA496" s="62">
        <x:v>0</x:v>
      </x:c>
      <x:c r="AB496" s="62">
        <x:v>0.88</x:v>
      </x:c>
      <x:c r="AC496" s="62">
        <x:v>0.8</x:v>
      </x:c>
      <x:c r="AD496" s="60">
        <x:v>2.39</x:v>
      </x:c>
      <x:c r="AE496" s="60">
        <x:v>2.93</x:v>
      </x:c>
      <x:c r="AF496" s="60">
        <x:v>2.97</x:v>
      </x:c>
      <x:c r="AG496" s="62">
        <x:v>0.0964073068689859</x:v>
      </x:c>
      <x:c r="AH496" s="62">
        <x:v>0.0464073068689859</x:v>
      </x:c>
      <x:c r="AI496" s="62">
        <x:v>0.381619165815174</x:v>
      </x:c>
      <x:c r="AJ496" s="62">
        <x:v>0.311286623309989</x:v>
      </x:c>
      <x:c r="AK496" s="62">
        <x:v>0.307094210874837</x:v>
      </x:c>
      <x:c r="AL496" s="62">
        <x:v>1.05</x:v>
      </x:c>
      <x:c r="AM496" s="62">
        <x:v>0.91</x:v>
      </x:c>
      <x:c r="AN496" s="62">
        <x:v>0.000272342371973431</x:v>
      </x:c>
      <x:c r="AO496" s="62">
        <x:v>0.806287456706246</x:v>
      </x:c>
      <x:c r="AP496" s="62">
        <x:v>-0.00628745670624575</x:v>
      </x:c>
      <x:c r="AQ496" s="62" t="s">
        <x:v>174</x:v>
      </x:c>
      <x:c r="AR496" s="49">
        <x:v>0</x:v>
      </x:c>
      <x:c r="AS496" s="62">
        <x:v>0.381321363843903</x:v>
      </x:c>
      <x:c r="AT496" s="62">
        <x:v>0.307454632641458</x:v>
      </x:c>
      <x:c r="AU496" s="60">
        <x:v>2.63</x:v>
      </x:c>
      <x:c r="AV496" s="60">
        <x:v>2.93</x:v>
      </x:c>
      <x:c r="AW496" s="60">
        <x:v>2.62</x:v>
      </x:c>
      <x:c r="AX496" s="49" t="s">
        <x:v>1890</x:v>
      </x:c>
      <x:c r="AY496" s="49" t="s">
        <x:v>101</x:v>
      </x:c>
    </x:row>
    <x:row r="497" ht="22" customHeight="1">
      <x:c r="A497" s="49" t="s">
        <x:v>2021</x:v>
      </x:c>
      <x:c r="B497" s="49" t="s">
        <x:v>2039</x:v>
      </x:c>
      <x:c r="C497" s="49" t="s">
        <x:v>2008</x:v>
      </x:c>
      <x:c r="D497" s="49" t="s">
        <x:v>90</x:v>
      </x:c>
      <x:c r="E497" s="49" t="s">
        <x:v>2009</x:v>
      </x:c>
      <x:c r="F497" s="49" t="s">
        <x:v>2040</x:v>
      </x:c>
      <x:c r="G497" s="60">
        <x:v>1.03</x:v>
      </x:c>
      <x:c r="H497" s="60">
        <x:v>-1.5</x:v>
      </x:c>
      <x:c r="I497" s="60">
        <x:v>0.86</x:v>
      </x:c>
      <x:c r="J497" s="49" t="s">
        <x:v>2041</x:v>
      </x:c>
      <x:c r="K497" s="49" t="s">
        <x:v>106</x:v>
      </x:c>
      <x:c r="L497" s="49" t="s">
        <x:v>1618</x:v>
      </x:c>
      <x:c r="M497" s="61">
        <x:v>0.584</x:v>
      </x:c>
      <x:c r="N497" s="49" t="s">
        <x:v>1888</x:v>
      </x:c>
      <x:c r="O497" s="49" t="s">
        <x:v>161</x:v>
      </x:c>
      <x:c r="P497" s="49" t="s">
        <x:v>30</x:v>
      </x:c>
      <x:c r="Q497" s="64" t="s">
        <x:v>23</x:v>
      </x:c>
      <x:c r="R497" s="50">
        <x:v>0.86</x:v>
      </x:c>
      <x:c r="S497" s="50">
        <x:f t="shared" si="32"/>
        <x:v>-1</x:v>
      </x:c>
      <x:c r="T497" s="49" t="s">
        <x:v>2042</x:v>
      </x:c>
      <x:c r="U497" s="49" t="str">
        <x:f t="shared" si="34"/>
        <x:v>红</x:v>
      </x:c>
      <x:c r="V497" s="50">
        <x:f t="shared" si="35"/>
        <x:v>1.03</x:v>
      </x:c>
      <x:c r="W497" s="50">
        <x:f t="shared" si="33"/>
        <x:v>1.03</x:v>
      </x:c>
      <x:c r="X497" s="62">
        <x:v>1.01</x:v>
      </x:c>
      <x:c r="Y497" s="62">
        <x:v>-1</x:v>
      </x:c>
      <x:c r="Z497" s="62">
        <x:v>0.81</x:v>
      </x:c>
      <x:c r="AA497" s="62">
        <x:v>-1</x:v>
      </x:c>
      <x:c r="AB497" s="62">
        <x:v>0.81</x:v>
      </x:c>
      <x:c r="AC497" s="62">
        <x:v>0.86</x:v>
      </x:c>
      <x:c r="AD497" s="60">
        <x:v>6.49</x:v>
      </x:c>
      <x:c r="AE497" s="60">
        <x:v>4.46</x:v>
      </x:c>
      <x:c r="AF497" s="60">
        <x:v>1.46</x:v>
      </x:c>
      <x:c r="AG497" s="62">
        <x:v>0.0632299584167488</x:v>
      </x:c>
      <x:c r="AH497" s="62">
        <x:v>0.0132299584167488</x:v>
      </x:c>
      <x:c r="AI497" s="62">
        <x:v>0.144919924152727</x:v>
      </x:c>
      <x:c r="AJ497" s="62">
        <x:v>0.210881234921794</x:v>
      </x:c>
      <x:c r="AK497" s="62">
        <x:v>0.644198840925479</x:v>
      </x:c>
      <x:c r="AL497" s="62">
        <x:v>0.79</x:v>
      </x:c>
      <x:c r="AM497" s="62">
        <x:v>1.94</x:v>
      </x:c>
      <x:c r="AN497" s="62">
        <x:v>0.000205808486462469</x:v>
      </x:c>
      <x:c r="AO497" s="62">
        <x:v>1.54578301491051</x:v>
      </x:c>
      <x:c r="AP497" s="62">
        <x:v>-0.685783014910509</x:v>
      </x:c>
      <x:c r="AQ497" s="62" t="s">
        <x:v>99</x:v>
      </x:c>
      <x:c r="AR497" s="49">
        <x:v>-1.5</x:v>
      </x:c>
      <x:c r="AS497" s="62">
        <x:v>0.392806454494769</x:v>
      </x:c>
      <x:c r="AT497" s="62">
        <x:v>0.607193545505231</x:v>
      </x:c>
      <x:c r="AU497" s="60">
        <x:v>8.18</x:v>
      </x:c>
      <x:c r="AV497" s="60">
        <x:v>5.33</x:v>
      </x:c>
      <x:c r="AW497" s="60">
        <x:v>1.34</x:v>
      </x:c>
      <x:c r="AX497" s="49" t="s">
        <x:v>1890</x:v>
      </x:c>
      <x:c r="AY497" s="49" t="s">
        <x:v>101</x:v>
      </x:c>
    </x:row>
    <x:row r="498" ht="22" customHeight="1">
      <x:c r="A498" s="49" t="s">
        <x:v>2021</x:v>
      </x:c>
      <x:c r="B498" s="49" t="s">
        <x:v>2039</x:v>
      </x:c>
      <x:c r="C498" s="49" t="s">
        <x:v>2008</x:v>
      </x:c>
      <x:c r="D498" s="49" t="s">
        <x:v>90</x:v>
      </x:c>
      <x:c r="E498" s="49" t="s">
        <x:v>2009</x:v>
      </x:c>
      <x:c r="F498" s="49" t="s">
        <x:v>2043</x:v>
      </x:c>
      <x:c r="G498" s="60">
        <x:v>1.07</x:v>
      </x:c>
      <x:c r="H498" s="60">
        <x:v>-0.25</x:v>
      </x:c>
      <x:c r="I498" s="60">
        <x:v>0.82</x:v>
      </x:c>
      <x:c r="J498" s="49" t="s">
        <x:v>1013</x:v>
      </x:c>
      <x:c r="K498" s="49" t="s">
        <x:v>106</x:v>
      </x:c>
      <x:c r="L498" s="49" t="s">
        <x:v>2044</x:v>
      </x:c>
      <x:c r="M498" s="61">
        <x:v>0.584</x:v>
      </x:c>
      <x:c r="N498" s="49" t="s">
        <x:v>1888</x:v>
      </x:c>
      <x:c r="O498" s="49" t="s">
        <x:v>191</x:v>
      </x:c>
      <x:c r="P498" s="49" t="s">
        <x:v>30</x:v>
      </x:c>
      <x:c r="Q498" s="63" t="s">
        <x:v>11</x:v>
      </x:c>
      <x:c r="R498" s="50">
        <x:v>0.82</x:v>
      </x:c>
      <x:c r="S498" s="50">
        <x:f t="shared" si="32"/>
        <x:v>0.82</x:v>
      </x:c>
      <x:c r="T498" s="49" t="s">
        <x:v>2045</x:v>
      </x:c>
      <x:c r="U498" s="49" t="str">
        <x:f t="shared" si="34"/>
        <x:v>黑</x:v>
      </x:c>
      <x:c r="V498" s="50">
        <x:f t="shared" si="35"/>
        <x:v>1.07</x:v>
      </x:c>
      <x:c r="W498" s="50">
        <x:f t="shared" si="33"/>
        <x:v>-1</x:v>
      </x:c>
      <x:c r="X498" s="62">
        <x:v>0.87</x:v>
      </x:c>
      <x:c r="Y498" s="62">
        <x:v>-0.25</x:v>
      </x:c>
      <x:c r="Z498" s="62">
        <x:v>0.95</x:v>
      </x:c>
      <x:c r="AA498" s="62">
        <x:v>-0.25</x:v>
      </x:c>
      <x:c r="AB498" s="62">
        <x:v>0.95</x:v>
      </x:c>
      <x:c r="AC498" s="62">
        <x:v>0.82</x:v>
      </x:c>
      <x:c r="AD498" s="60">
        <x:v>2.88</x:v>
      </x:c>
      <x:c r="AE498" s="60">
        <x:v>3.51</x:v>
      </x:c>
      <x:c r="AF498" s="60">
        <x:v>2.29</x:v>
      </x:c>
      <x:c r="AG498" s="62">
        <x:v>0.0688037298299307</x:v>
      </x:c>
      <x:c r="AH498" s="62">
        <x:v>0.0188037298299307</x:v>
      </x:c>
      <x:c r="AI498" s="62">
        <x:v>0.324869957440617</x:v>
      </x:c>
      <x:c r="AJ498" s="62">
        <x:v>0.266559965079481</x:v>
      </x:c>
      <x:c r="AK498" s="62">
        <x:v>0.408570077479902</x:v>
      </x:c>
      <x:c r="AL498" s="62">
        <x:v>1.18</x:v>
      </x:c>
      <x:c r="AM498" s="62">
        <x:v>1.36</x:v>
      </x:c>
      <x:c r="AN498" s="62">
        <x:v>0.000611147827422755</x:v>
      </x:c>
      <x:c r="AO498" s="62">
        <x:v>1.1173122987781</x:v>
      </x:c>
      <x:c r="AP498" s="62">
        <x:v>-0.297312298778102</x:v>
      </x:c>
      <x:c r="AQ498" s="62" t="s">
        <x:v>99</x:v>
      </x:c>
      <x:c r="AR498" s="49">
        <x:v>-0.25</x:v>
      </x:c>
      <x:c r="AS498" s="62">
        <x:v>0.409426525636027</x:v>
      </x:c>
      <x:c r="AT498" s="62">
        <x:v>0.457457292539121</x:v>
      </x:c>
      <x:c r="AU498" s="60">
        <x:v>3.25</x:v>
      </x:c>
      <x:c r="AV498" s="60">
        <x:v>3.58</x:v>
      </x:c>
      <x:c r="AW498" s="60">
        <x:v>2.14</x:v>
      </x:c>
      <x:c r="AX498" s="49" t="s">
        <x:v>1890</x:v>
      </x:c>
      <x:c r="AY498" s="49" t="s">
        <x:v>101</x:v>
      </x:c>
    </x:row>
    <x:row r="499" ht="22" customHeight="1">
      <x:c r="A499" s="49" t="s">
        <x:v>2021</x:v>
      </x:c>
      <x:c r="B499" s="49" t="s">
        <x:v>2046</x:v>
      </x:c>
      <x:c r="C499" s="49" t="s">
        <x:v>244</x:v>
      </x:c>
      <x:c r="D499" s="49" t="s">
        <x:v>116</x:v>
      </x:c>
      <x:c r="E499" s="49" t="s">
        <x:v>773</x:v>
      </x:c>
      <x:c r="F499" s="49" t="s">
        <x:v>2047</x:v>
      </x:c>
      <x:c r="G499" s="60">
        <x:v>0.79</x:v>
      </x:c>
      <x:c r="H499" s="60">
        <x:v>1.25</x:v>
      </x:c>
      <x:c r="I499" s="60">
        <x:v>0.97</x:v>
      </x:c>
      <x:c r="J499" s="49" t="s">
        <x:v>2048</x:v>
      </x:c>
      <x:c r="K499" s="49" t="s">
        <x:v>106</x:v>
      </x:c>
      <x:c r="L499" s="49" t="s">
        <x:v>2049</x:v>
      </x:c>
      <x:c r="M499" s="61">
        <x:v>0.592</x:v>
      </x:c>
      <x:c r="N499" s="49" t="s">
        <x:v>1888</x:v>
      </x:c>
      <x:c r="O499" s="49" t="s">
        <x:v>161</x:v>
      </x:c>
      <x:c r="P499" s="49" t="s">
        <x:v>30</x:v>
      </x:c>
      <x:c r="Q499" s="63" t="s">
        <x:v>11</x:v>
      </x:c>
      <x:c r="R499" s="50">
        <x:v>0.79</x:v>
      </x:c>
      <x:c r="S499" s="50">
        <x:f t="shared" si="32"/>
        <x:v>0.79</x:v>
      </x:c>
      <x:c r="T499" s="49" t="s">
        <x:v>2050</x:v>
      </x:c>
      <x:c r="U499" s="49" t="str">
        <x:f t="shared" si="34"/>
        <x:v>黑</x:v>
      </x:c>
      <x:c r="V499" s="50">
        <x:f t="shared" si="35"/>
        <x:v>0.97</x:v>
      </x:c>
      <x:c r="W499" s="50">
        <x:f t="shared" si="33"/>
        <x:v>-1</x:v>
      </x:c>
      <x:c r="X499" s="62">
        <x:v>0.86</x:v>
      </x:c>
      <x:c r="Y499" s="62">
        <x:v>1.25</x:v>
      </x:c>
      <x:c r="Z499" s="62">
        <x:v>0.84</x:v>
      </x:c>
      <x:c r="AA499" s="62">
        <x:v>-1.25</x:v>
      </x:c>
      <x:c r="AB499" s="62">
        <x:v>0.86</x:v>
      </x:c>
      <x:c r="AC499" s="62">
        <x:v>0.79</x:v>
      </x:c>
      <x:c r="AD499" s="60">
        <x:v>1.31</x:v>
      </x:c>
      <x:c r="AE499" s="60">
        <x:v>4.34</x:v>
      </x:c>
      <x:c r="AF499" s="60">
        <x:v>9.35</x:v>
      </x:c>
      <x:c r="AG499" s="62">
        <x:v>0.100725396827487</x:v>
      </x:c>
      <x:c r="AH499" s="62">
        <x:v>0.050725396827487</x:v>
      </x:c>
      <x:c r="AI499" s="62">
        <x:v>0.693505192871999</x:v>
      </x:c>
      <x:c r="AJ499" s="62">
        <x:v>0.209329908447539</x:v>
      </x:c>
      <x:c r="AK499" s="62">
        <x:v>0.0971648986804619</x:v>
      </x:c>
      <x:c r="AL499" s="62">
        <x:v>1.84</x:v>
      </x:c>
      <x:c r="AM499" s="62">
        <x:v>0.52</x:v>
      </x:c>
      <x:c r="AN499" s="62">
        <x:v>0.000416072317577662</x:v>
      </x:c>
      <x:c r="AO499" s="62">
        <x:v>1.04447716514724</x:v>
      </x:c>
      <x:c r="AP499" s="62">
        <x:v>-0.254477165147239</x:v>
      </x:c>
      <x:c r="AQ499" s="62" t="s">
        <x:v>99</x:v>
      </x:c>
      <x:c r="AR499" s="49">
        <x:v>-1.25</x:v>
      </x:c>
      <x:c r="AS499" s="62">
        <x:v>0.422795112870696</x:v>
      </x:c>
      <x:c r="AT499" s="62">
        <x:v>0.441599840929292</x:v>
      </x:c>
      <x:c r="AU499" s="60">
        <x:v>1.33</x:v>
      </x:c>
      <x:c r="AV499" s="60">
        <x:v>4.2</x:v>
      </x:c>
      <x:c r="AW499" s="60">
        <x:v>9.33</x:v>
      </x:c>
      <x:c r="AX499" s="49" t="s">
        <x:v>1890</x:v>
      </x:c>
      <x:c r="AY499" s="49" t="s">
        <x:v>101</x:v>
      </x:c>
    </x:row>
    <x:row r="500" ht="22" customHeight="1">
      <x:c r="A500" s="49" t="s">
        <x:v>2021</x:v>
      </x:c>
      <x:c r="B500" s="49" t="s">
        <x:v>2051</x:v>
      </x:c>
      <x:c r="C500" s="49" t="s">
        <x:v>333</x:v>
      </x:c>
      <x:c r="D500" s="49" t="s">
        <x:v>90</x:v>
      </x:c>
      <x:c r="E500" s="49" t="s">
        <x:v>1176</x:v>
      </x:c>
      <x:c r="F500" s="49" t="s">
        <x:v>2052</x:v>
      </x:c>
      <x:c r="G500" s="60">
        <x:v>1.02</x:v>
      </x:c>
      <x:c r="H500" s="60">
        <x:v>2.75</x:v>
      </x:c>
      <x:c r="I500" s="60">
        <x:v>0.86</x:v>
      </x:c>
      <x:c r="J500" s="49" t="s">
        <x:v>2053</x:v>
      </x:c>
      <x:c r="K500" s="49" t="s">
        <x:v>189</x:v>
      </x:c>
      <x:c r="L500" s="49" t="s">
        <x:v>860</x:v>
      </x:c>
      <x:c r="M500" s="61">
        <x:v>0.529</x:v>
      </x:c>
      <x:c r="N500" s="49" t="s">
        <x:v>1888</x:v>
      </x:c>
      <x:c r="O500" s="49" t="s">
        <x:v>317</x:v>
      </x:c>
      <x:c r="P500" s="49" t="s">
        <x:v>30</x:v>
      </x:c>
      <x:c r="Q500" s="63" t="s">
        <x:v>11</x:v>
      </x:c>
      <x:c r="R500" s="50">
        <x:v>1.02</x:v>
      </x:c>
      <x:c r="S500" s="50">
        <x:f t="shared" si="32"/>
        <x:v>1.02</x:v>
      </x:c>
      <x:c r="T500" s="49" t="s">
        <x:v>2054</x:v>
      </x:c>
      <x:c r="U500" s="49" t="str">
        <x:f t="shared" si="34"/>
        <x:v>黑</x:v>
      </x:c>
      <x:c r="V500" s="50">
        <x:f t="shared" si="35"/>
        <x:v>0.86</x:v>
      </x:c>
      <x:c r="W500" s="50">
        <x:f t="shared" si="33"/>
        <x:v>-1</x:v>
      </x:c>
      <x:c r="X500" s="62">
        <x:v>0.92</x:v>
      </x:c>
      <x:c r="Y500" s="62">
        <x:v>2.5</x:v>
      </x:c>
      <x:c r="Z500" s="62">
        <x:v>0.9</x:v>
      </x:c>
      <x:c r="AA500" s="62">
        <x:v>-2.5</x:v>
      </x:c>
      <x:c r="AB500" s="62">
        <x:v>0.92</x:v>
      </x:c>
      <x:c r="AC500" s="62">
        <x:v>1.02</x:v>
      </x:c>
      <x:c r="AD500" s="60">
        <x:v>1.12</x:v>
      </x:c>
      <x:c r="AE500" s="60">
        <x:v>8.31</x:v>
      </x:c>
      <x:c r="AF500" s="60">
        <x:v>15.12</x:v>
      </x:c>
      <x:c r="AG500" s="62">
        <x:v>0.0793316524363454</x:v>
      </x:c>
      <x:c r="AH500" s="62">
        <x:v>0.0293316524363454</x:v>
      </x:c>
      <x:c r="AI500" s="62">
        <x:v>0.827231500940162</x:v>
      </x:c>
      <x:c r="AJ500" s="62">
        <x:v>0.111492091582789</x:v>
      </x:c>
      <x:c r="AK500" s="62">
        <x:v>0.061276407477049</x:v>
      </x:c>
      <x:c r="AL500" s="62">
        <x:v>3.06</x:v>
      </x:c>
      <x:c r="AM500" s="62">
        <x:v>0.76</x:v>
      </x:c>
      <x:c r="AN500" s="62">
        <x:v>0.000127172857998776</x:v>
      </x:c>
      <x:c r="AO500" s="62">
        <x:v>1.6358143278776</x:v>
      </x:c>
      <x:c r="AP500" s="62">
        <x:v>-0.615814327877602</x:v>
      </x:c>
      <x:c r="AQ500" s="62" t="s">
        <x:v>99</x:v>
      </x:c>
      <x:c r="AR500" s="49">
        <x:v>-2.75</x:v>
      </x:c>
      <x:c r="AS500" s="62">
        <x:v>0.344912654231475</x:v>
      </x:c>
      <x:c r="AT500" s="62">
        <x:v>0.56421306165814</x:v>
      </x:c>
      <x:c r="AU500" s="60">
        <x:v>1.1</x:v>
      </x:c>
      <x:c r="AV500" s="60">
        <x:v>9.95</x:v>
      </x:c>
      <x:c r="AW500" s="60">
        <x:v>19.42</x:v>
      </x:c>
      <x:c r="AX500" s="49" t="s">
        <x:v>1890</x:v>
      </x:c>
      <x:c r="AY500" s="49" t="s">
        <x:v>101</x:v>
      </x:c>
    </x:row>
    <x:row r="501" ht="22" customHeight="1">
      <x:c r="A501" s="49" t="s">
        <x:v>2021</x:v>
      </x:c>
      <x:c r="B501" s="49" t="s">
        <x:v>2055</x:v>
      </x:c>
      <x:c r="C501" s="49" t="s">
        <x:v>333</x:v>
      </x:c>
      <x:c r="D501" s="49" t="s">
        <x:v>116</x:v>
      </x:c>
      <x:c r="E501" s="49" t="s">
        <x:v>764</x:v>
      </x:c>
      <x:c r="F501" s="49" t="s">
        <x:v>2056</x:v>
      </x:c>
      <x:c r="G501" s="60">
        <x:v>1.04</x:v>
      </x:c>
      <x:c r="H501" s="60">
        <x:v>0</x:v>
      </x:c>
      <x:c r="I501" s="60">
        <x:v>0.82</x:v>
      </x:c>
      <x:c r="J501" s="49" t="s">
        <x:v>771</x:v>
      </x:c>
      <x:c r="K501" s="49" t="s">
        <x:v>106</x:v>
      </x:c>
      <x:c r="L501" s="49" t="s">
        <x:v>2057</x:v>
      </x:c>
      <x:c r="M501" s="61">
        <x:v>0.584</x:v>
      </x:c>
      <x:c r="N501" s="49" t="s">
        <x:v>1888</x:v>
      </x:c>
      <x:c r="O501" s="49" t="s">
        <x:v>126</x:v>
      </x:c>
      <x:c r="P501" s="49" t="s">
        <x:v>30</x:v>
      </x:c>
      <x:c r="Q501" s="65" t="s">
        <x:v>17</x:v>
      </x:c>
      <x:c r="R501" s="50">
        <x:v>0.82</x:v>
      </x:c>
      <x:c r="S501" s="50">
        <x:f t="shared" si="32"/>
        <x:v>0</x:v>
      </x:c>
      <x:c r="T501" s="49" t="s">
        <x:v>2058</x:v>
      </x:c>
      <x:c r="U501" s="49" t="str">
        <x:f t="shared" si="34"/>
        <x:v>走</x:v>
      </x:c>
      <x:c r="V501" s="50">
        <x:f t="shared" si="35"/>
        <x:v>1.04</x:v>
      </x:c>
      <x:c r="W501" s="50">
        <x:f t="shared" si="33"/>
        <x:v>0</x:v>
      </x:c>
      <x:c r="X501" s="62">
        <x:v>0.94</x:v>
      </x:c>
      <x:c r="Y501" s="62">
        <x:v>0</x:v>
      </x:c>
      <x:c r="Z501" s="62">
        <x:v>0.82</x:v>
      </x:c>
      <x:c r="AA501" s="62">
        <x:v>0</x:v>
      </x:c>
      <x:c r="AB501" s="62">
        <x:v>0.82</x:v>
      </x:c>
      <x:c r="AC501" s="62">
        <x:v>0.82</x:v>
      </x:c>
      <x:c r="AD501" s="60">
        <x:v>2.69</x:v>
      </x:c>
      <x:c r="AE501" s="60">
        <x:v>3.1</x:v>
      </x:c>
      <x:c r="AF501" s="60">
        <x:v>2.45</x:v>
      </x:c>
      <x:c r="AG501" s="62">
        <x:v>0.102491122363324</x:v>
      </x:c>
      <x:c r="AH501" s="62">
        <x:v>0.0524911223633236</x:v>
      </x:c>
      <x:c r="AI501" s="62">
        <x:v>0.337188394858931</x:v>
      </x:c>
      <x:c r="AJ501" s="62">
        <x:v>0.292592510377589</x:v>
      </x:c>
      <x:c r="AK501" s="62">
        <x:v>0.37021909476348</x:v>
      </x:c>
      <x:c r="AL501" s="62">
        <x:v>1.06</x:v>
      </x:c>
      <x:c r="AM501" s="62">
        <x:v>1.13</x:v>
      </x:c>
      <x:c r="AN501" s="62">
        <x:v>0.00105540096467066</x:v>
      </x:c>
      <x:c r="AO501" s="62">
        <x:v>0.905039435200722</x:v>
      </x:c>
      <x:c r="AP501" s="62">
        <x:v>-0.0850394352007217</x:v>
      </x:c>
      <x:c r="AQ501" s="62" t="s">
        <x:v>150</x:v>
      </x:c>
      <x:c r="AR501" s="49">
        <x:v>0</x:v>
      </x:c>
      <x:c r="AS501" s="62">
        <x:v>0.371711283224816</x:v>
      </x:c>
      <x:c r="AT501" s="62">
        <x:v>0.336413369827523</x:v>
      </x:c>
      <x:c r="AU501" s="60">
        <x:v>2.78</x:v>
      </x:c>
      <x:c r="AV501" s="60">
        <x:v>3.15</x:v>
      </x:c>
      <x:c r="AW501" s="60">
        <x:v>2.4</x:v>
      </x:c>
      <x:c r="AX501" s="49" t="s">
        <x:v>1890</x:v>
      </x:c>
      <x:c r="AY501" s="49" t="s">
        <x:v>101</x:v>
      </x:c>
    </x:row>
    <x:row r="502" ht="22" customHeight="1">
      <x:c r="A502" s="49" t="s">
        <x:v>2021</x:v>
      </x:c>
      <x:c r="B502" s="49" t="s">
        <x:v>2059</x:v>
      </x:c>
      <x:c r="C502" s="49" t="s">
        <x:v>333</x:v>
      </x:c>
      <x:c r="D502" s="49" t="s">
        <x:v>116</x:v>
      </x:c>
      <x:c r="E502" s="49" t="s">
        <x:v>927</x:v>
      </x:c>
      <x:c r="F502" s="49" t="s">
        <x:v>2060</x:v>
      </x:c>
      <x:c r="G502" s="60">
        <x:v>0.78</x:v>
      </x:c>
      <x:c r="H502" s="60">
        <x:v>0.25</x:v>
      </x:c>
      <x:c r="I502" s="60">
        <x:v>0.98</x:v>
      </x:c>
      <x:c r="J502" s="49" t="s">
        <x:v>2061</x:v>
      </x:c>
      <x:c r="K502" s="49" t="s">
        <x:v>106</x:v>
      </x:c>
      <x:c r="L502" s="49" t="s">
        <x:v>2062</x:v>
      </x:c>
      <x:c r="M502" s="61">
        <x:v>0.584</x:v>
      </x:c>
      <x:c r="N502" s="49" t="s">
        <x:v>1888</x:v>
      </x:c>
      <x:c r="O502" s="49" t="s">
        <x:v>149</x:v>
      </x:c>
      <x:c r="P502" s="49" t="s">
        <x:v>30</x:v>
      </x:c>
      <x:c r="Q502" s="64" t="s">
        <x:v>20</x:v>
      </x:c>
      <x:c r="R502" s="50">
        <x:v>0.78</x:v>
      </x:c>
      <x:c r="S502" s="50">
        <x:f t="shared" si="32"/>
        <x:v>-0.5</x:v>
      </x:c>
      <x:c r="T502" s="49" t="s">
        <x:v>2063</x:v>
      </x:c>
      <x:c r="U502" s="49" t="str">
        <x:f t="shared" si="34"/>
        <x:v>半红</x:v>
      </x:c>
      <x:c r="V502" s="50">
        <x:f t="shared" si="35"/>
        <x:v>0.98</x:v>
      </x:c>
      <x:c r="W502" s="50">
        <x:f t="shared" si="33"/>
        <x:v>0.49</x:v>
      </x:c>
      <x:c r="X502" s="62">
        <x:v>0.74</x:v>
      </x:c>
      <x:c r="Y502" s="62">
        <x:v>0.25</x:v>
      </x:c>
      <x:c r="Z502" s="62">
        <x:v>0.96</x:v>
      </x:c>
      <x:c r="AA502" s="62">
        <x:v>-0.25</x:v>
      </x:c>
      <x:c r="AB502" s="62">
        <x:v>0.74</x:v>
      </x:c>
      <x:c r="AC502" s="62">
        <x:v>0.78</x:v>
      </x:c>
      <x:c r="AD502" s="60">
        <x:v>2.35</x:v>
      </x:c>
      <x:c r="AE502" s="60">
        <x:v>2.99</x:v>
      </x:c>
      <x:c r="AF502" s="60">
        <x:v>2.95</x:v>
      </x:c>
      <x:c r="AG502" s="62">
        <x:v>0.0989631262761916</x:v>
      </x:c>
      <x:c r="AH502" s="62">
        <x:v>0.0489631262761916</x:v>
      </x:c>
      <x:c r="AI502" s="62">
        <x:v>0.387212186395663</x:v>
      </x:c>
      <x:c r="AJ502" s="62">
        <x:v>0.304330648170504</x:v>
      </x:c>
      <x:c r="AK502" s="62">
        <x:v>0.308457165433833</x:v>
      </x:c>
      <x:c r="AL502" s="62">
        <x:v>1.09</x:v>
      </x:c>
      <x:c r="AM502" s="62">
        <x:v>0.94</x:v>
      </x:c>
      <x:c r="AN502" s="62">
        <x:v>0.00034704300341202</x:v>
      </x:c>
      <x:c r="AO502" s="62">
        <x:v>1.19207012327082</x:v>
      </x:c>
      <x:c r="AP502" s="62">
        <x:v>-0.412070123270815</x:v>
      </x:c>
      <x:c r="AQ502" s="62" t="s">
        <x:v>99</x:v>
      </x:c>
      <x:c r="AR502" s="49">
        <x:v>-0.25</x:v>
      </x:c>
      <x:c r="AS502" s="62">
        <x:v>0.386721869706651</x:v>
      </x:c>
      <x:c r="AT502" s="62">
        <x:v>0.460999586892728</x:v>
      </x:c>
      <x:c r="AU502" s="60">
        <x:v>2.09</x:v>
      </x:c>
      <x:c r="AV502" s="60">
        <x:v>3.04</x:v>
      </x:c>
      <x:c r="AW502" s="60">
        <x:v>3.42</x:v>
      </x:c>
      <x:c r="AX502" s="49" t="s">
        <x:v>1890</x:v>
      </x:c>
      <x:c r="AY502" s="49" t="s">
        <x:v>101</x:v>
      </x:c>
    </x:row>
    <x:row r="503" ht="22" customHeight="1">
      <x:c r="A503" s="49" t="s">
        <x:v>2021</x:v>
      </x:c>
      <x:c r="B503" s="49" t="s">
        <x:v>2059</x:v>
      </x:c>
      <x:c r="C503" s="49" t="s">
        <x:v>2008</x:v>
      </x:c>
      <x:c r="D503" s="49" t="s">
        <x:v>90</x:v>
      </x:c>
      <x:c r="E503" s="49" t="s">
        <x:v>2009</x:v>
      </x:c>
      <x:c r="F503" s="49" t="s">
        <x:v>2064</x:v>
      </x:c>
      <x:c r="G503" s="60">
        <x:v>0.8</x:v>
      </x:c>
      <x:c r="H503" s="60">
        <x:v>0.75</x:v>
      </x:c>
      <x:c r="I503" s="60">
        <x:v>1.09</x:v>
      </x:c>
      <x:c r="J503" s="49" t="s">
        <x:v>2065</x:v>
      </x:c>
      <x:c r="K503" s="49" t="s">
        <x:v>132</x:v>
      </x:c>
      <x:c r="L503" s="49" t="s">
        <x:v>2066</x:v>
      </x:c>
      <x:c r="M503" s="61">
        <x:v>0.557</x:v>
      </x:c>
      <x:c r="N503" s="49" t="s">
        <x:v>1888</x:v>
      </x:c>
      <x:c r="O503" s="49" t="s">
        <x:v>169</x:v>
      </x:c>
      <x:c r="P503" s="49" t="s">
        <x:v>30</x:v>
      </x:c>
      <x:c r="Q503" s="63" t="s">
        <x:v>11</x:v>
      </x:c>
      <x:c r="R503" s="50">
        <x:v>1.09</x:v>
      </x:c>
      <x:c r="S503" s="50">
        <x:f t="shared" si="32"/>
        <x:v>1.09</x:v>
      </x:c>
      <x:c r="T503" s="49" t="s">
        <x:v>2067</x:v>
      </x:c>
      <x:c r="U503" s="49" t="str">
        <x:f t="shared" si="34"/>
        <x:v>黑</x:v>
      </x:c>
      <x:c r="V503" s="50">
        <x:f t="shared" si="35"/>
        <x:v>0.8</x:v>
      </x:c>
      <x:c r="W503" s="50">
        <x:f t="shared" si="33"/>
        <x:v>-1</x:v>
      </x:c>
      <x:c r="X503" s="62">
        <x:v>0.84</x:v>
      </x:c>
      <x:c r="Y503" s="62">
        <x:v>1</x:v>
      </x:c>
      <x:c r="Z503" s="62">
        <x:v>0.98</x:v>
      </x:c>
      <x:c r="AA503" s="62">
        <x:v>1</x:v>
      </x:c>
      <x:c r="AB503" s="62">
        <x:v>0.98</x:v>
      </x:c>
      <x:c r="AC503" s="62">
        <x:v>1.09</x:v>
      </x:c>
      <x:c r="AD503" s="60">
        <x:v>1.55</x:v>
      </x:c>
      <x:c r="AE503" s="60">
        <x:v>4.27</x:v>
      </x:c>
      <x:c r="AF503" s="60">
        <x:v>5.4</x:v>
      </x:c>
      <x:c r="AG503" s="62">
        <x:v>0.0645385129784919</x:v>
      </x:c>
      <x:c r="AH503" s="62">
        <x:v>0.0145385129784919</x:v>
      </x:c>
      <x:c r="AI503" s="62">
        <x:v>0.606047862484066</x:v>
      </x:c>
      <x:c r="AJ503" s="62">
        <x:v>0.219993954765879</x:v>
      </x:c>
      <x:c r="AK503" s="62">
        <x:v>0.173958182750056</x:v>
      </x:c>
      <x:c r="AL503" s="62">
        <x:v>1.89</x:v>
      </x:c>
      <x:c r="AM503" s="62">
        <x:v>0.9</x:v>
      </x:c>
      <x:c r="AN503" s="62">
        <x:v>0.00022554165799144</x:v>
      </x:c>
      <x:c r="AO503" s="62">
        <x:v>1.22591322164994</x:v>
      </x:c>
      <x:c r="AP503" s="62">
        <x:v>-0.135913221649941</x:v>
      </x:c>
      <x:c r="AQ503" s="62" t="s">
        <x:v>289</x:v>
      </x:c>
      <x:c r="AR503" s="49">
        <x:v>0.75</x:v>
      </x:c>
      <x:c r="AS503" s="62">
        <x:v>0.393741169347963</x:v>
      </x:c>
      <x:c r="AT503" s="62">
        <x:v>0.482692505411576</x:v>
      </x:c>
      <x:c r="AU503" s="60">
        <x:v>1.6</x:v>
      </x:c>
      <x:c r="AV503" s="60">
        <x:v>4.21</x:v>
      </x:c>
      <x:c r="AW503" s="60">
        <x:v>5.12</x:v>
      </x:c>
      <x:c r="AX503" s="49" t="s">
        <x:v>1890</x:v>
      </x:c>
      <x:c r="AY503" s="49" t="s">
        <x:v>101</x:v>
      </x:c>
    </x:row>
    <x:row r="504" ht="22" customHeight="1">
      <x:c r="A504" s="49" t="s">
        <x:v>2021</x:v>
      </x:c>
      <x:c r="B504" s="49" t="s">
        <x:v>2059</x:v>
      </x:c>
      <x:c r="C504" s="49" t="s">
        <x:v>2008</x:v>
      </x:c>
      <x:c r="D504" s="49" t="s">
        <x:v>90</x:v>
      </x:c>
      <x:c r="E504" s="49" t="s">
        <x:v>2009</x:v>
      </x:c>
      <x:c r="F504" s="49" t="s">
        <x:v>2068</x:v>
      </x:c>
      <x:c r="G504" s="60">
        <x:v>1.04</x:v>
      </x:c>
      <x:c r="H504" s="60">
        <x:v>2.25</x:v>
      </x:c>
      <x:c r="I504" s="60">
        <x:v>0.85</x:v>
      </x:c>
      <x:c r="J504" s="49" t="s">
        <x:v>2069</x:v>
      </x:c>
      <x:c r="K504" s="49" t="s">
        <x:v>189</x:v>
      </x:c>
      <x:c r="L504" s="49" t="s">
        <x:v>1091</x:v>
      </x:c>
      <x:c r="M504" s="61">
        <x:v>0.527</x:v>
      </x:c>
      <x:c r="N504" s="49" t="s">
        <x:v>1888</x:v>
      </x:c>
      <x:c r="O504" s="49" t="s">
        <x:v>317</x:v>
      </x:c>
      <x:c r="P504" s="49" t="s">
        <x:v>30</x:v>
      </x:c>
      <x:c r="Q504" s="63" t="s">
        <x:v>11</x:v>
      </x:c>
      <x:c r="R504" s="50">
        <x:v>1.04</x:v>
      </x:c>
      <x:c r="S504" s="50">
        <x:f t="shared" si="32"/>
        <x:v>1.04</x:v>
      </x:c>
      <x:c r="T504" s="49" t="s">
        <x:v>2070</x:v>
      </x:c>
      <x:c r="U504" s="49" t="str">
        <x:f t="shared" si="34"/>
        <x:v>黑</x:v>
      </x:c>
      <x:c r="V504" s="50">
        <x:f t="shared" si="35"/>
        <x:v>0.85</x:v>
      </x:c>
      <x:c r="W504" s="50">
        <x:f t="shared" si="33"/>
        <x:v>-1</x:v>
      </x:c>
      <x:c r="X504" s="62">
        <x:v>0.85</x:v>
      </x:c>
      <x:c r="Y504" s="62">
        <x:v>1.5</x:v>
      </x:c>
      <x:c r="Z504" s="62">
        <x:v>0.97</x:v>
      </x:c>
      <x:c r="AA504" s="62">
        <x:v>-1.5</x:v>
      </x:c>
      <x:c r="AB504" s="62">
        <x:v>0.85</x:v>
      </x:c>
      <x:c r="AC504" s="62">
        <x:v>1.04</x:v>
      </x:c>
      <x:c r="AD504" s="60">
        <x:v>1.29</x:v>
      </x:c>
      <x:c r="AE504" s="60">
        <x:v>5.51</x:v>
      </x:c>
      <x:c r="AF504" s="60">
        <x:v>9.38</x:v>
      </x:c>
      <x:c r="AG504" s="62">
        <x:v>0.0632918098187454</x:v>
      </x:c>
      <x:c r="AH504" s="62">
        <x:v>0.0132918098187454</x:v>
      </x:c>
      <x:c r="AI504" s="62">
        <x:v>0.729050850661359</x:v>
      </x:c>
      <x:c r="AJ504" s="62">
        <x:v>0.170685226379883</x:v>
      </x:c>
      <x:c r="AK504" s="62">
        <x:v>0.100263922958758</x:v>
      </x:c>
      <x:c r="AL504" s="62">
        <x:v>2.28</x:v>
      </x:c>
      <x:c r="AM504" s="62">
        <x:v>0.71</x:v>
      </x:c>
      <x:c r="AN504" s="62">
        <x:v>0.000382636094693816</x:v>
      </x:c>
      <x:c r="AO504" s="62">
        <x:v>2.23439008332756</x:v>
      </x:c>
      <x:c r="AP504" s="62">
        <x:v>-1.19439008332756</x:v>
      </x:c>
      <x:c r="AQ504" s="62" t="s">
        <x:v>99</x:v>
      </x:c>
      <x:c r="AR504" s="49">
        <x:v>-2.25</x:v>
      </x:c>
      <x:c r="AS504" s="62">
        <x:v>0.275607207748911</x:v>
      </x:c>
      <x:c r="AT504" s="62">
        <x:v>0.615814011887764</x:v>
      </x:c>
      <x:c r="AU504" s="60">
        <x:v>1.17</x:v>
      </x:c>
      <x:c r="AV504" s="60">
        <x:v>7.5</x:v>
      </x:c>
      <x:c r="AW504" s="60">
        <x:v>14.82</x:v>
      </x:c>
      <x:c r="AX504" s="49" t="s">
        <x:v>1890</x:v>
      </x:c>
      <x:c r="AY504" s="49" t="s">
        <x:v>101</x:v>
      </x:c>
    </x:row>
    <x:row r="505" ht="22" customHeight="1">
      <x:c r="A505" s="49" t="s">
        <x:v>2021</x:v>
      </x:c>
      <x:c r="B505" s="49" t="s">
        <x:v>2059</x:v>
      </x:c>
      <x:c r="C505" s="49" t="s">
        <x:v>2008</x:v>
      </x:c>
      <x:c r="D505" s="49" t="s">
        <x:v>90</x:v>
      </x:c>
      <x:c r="E505" s="49" t="s">
        <x:v>2009</x:v>
      </x:c>
      <x:c r="F505" s="49" t="s">
        <x:v>2071</x:v>
      </x:c>
      <x:c r="G505" s="60">
        <x:v>0.81</x:v>
      </x:c>
      <x:c r="H505" s="60">
        <x:v>0</x:v>
      </x:c>
      <x:c r="I505" s="60">
        <x:v>1.08</x:v>
      </x:c>
      <x:c r="J505" s="49" t="s">
        <x:v>2072</x:v>
      </x:c>
      <x:c r="K505" s="49" t="s">
        <x:v>106</x:v>
      </x:c>
      <x:c r="L505" s="49" t="s">
        <x:v>2073</x:v>
      </x:c>
      <x:c r="M505" s="61">
        <x:v>0.584</x:v>
      </x:c>
      <x:c r="N505" s="49" t="s">
        <x:v>1888</x:v>
      </x:c>
      <x:c r="O505" s="49" t="s">
        <x:v>653</x:v>
      </x:c>
      <x:c r="P505" s="49" t="s">
        <x:v>30</x:v>
      </x:c>
      <x:c r="Q505" s="64" t="s">
        <x:v>23</x:v>
      </x:c>
      <x:c r="R505" s="50">
        <x:v>0.81</x:v>
      </x:c>
      <x:c r="S505" s="50">
        <x:f t="shared" si="32"/>
        <x:v>-1</x:v>
      </x:c>
      <x:c r="T505" s="49" t="s">
        <x:v>2074</x:v>
      </x:c>
      <x:c r="U505" s="49" t="str">
        <x:f t="shared" si="34"/>
        <x:v>红</x:v>
      </x:c>
      <x:c r="V505" s="50">
        <x:f t="shared" si="35"/>
        <x:v>1.08</x:v>
      </x:c>
      <x:c r="W505" s="50">
        <x:f t="shared" si="33"/>
        <x:v>1.08</x:v>
      </x:c>
      <x:c r="X505" s="62">
        <x:v>0.81</x:v>
      </x:c>
      <x:c r="Y505" s="62">
        <x:v>0</x:v>
      </x:c>
      <x:c r="Z505" s="62">
        <x:v>1.01</x:v>
      </x:c>
      <x:c r="AA505" s="62">
        <x:v>0</x:v>
      </x:c>
      <x:c r="AB505" s="62">
        <x:v>0.81</x:v>
      </x:c>
      <x:c r="AC505" s="62">
        <x:v>0.81</x:v>
      </x:c>
      <x:c r="AD505" s="60">
        <x:v>2.49</x:v>
      </x:c>
      <x:c r="AE505" s="60">
        <x:v>3.39</x:v>
      </x:c>
      <x:c r="AF505" s="60">
        <x:v>2.69</x:v>
      </x:c>
      <x:c r="AG505" s="62">
        <x:v>0.0683388883361851</x:v>
      </x:c>
      <x:c r="AH505" s="62">
        <x:v>0.0183388883361851</x:v>
      </x:c>
      <x:c r="AI505" s="62">
        <x:v>0.375916696553345</x:v>
      </x:c>
      <x:c r="AJ505" s="62">
        <x:v>0.276115803663076</x:v>
      </x:c>
      <x:c r="AK505" s="62">
        <x:v>0.347967499783579</x:v>
      </x:c>
      <x:c r="AL505" s="62">
        <x:v>1.23</x:v>
      </x:c>
      <x:c r="AM505" s="62">
        <x:v>1.17</x:v>
      </x:c>
      <x:c r="AN505" s="62">
        <x:v>0.000531629013228742</x:v>
      </x:c>
      <x:c r="AO505" s="62">
        <x:v>0.922667658706741</x:v>
      </x:c>
      <x:c r="AP505" s="62">
        <x:v>-0.112667658706741</x:v>
      </x:c>
      <x:c r="AQ505" s="62" t="s">
        <x:v>150</x:v>
      </x:c>
      <x:c r="AR505" s="49">
        <x:v>0</x:v>
      </x:c>
      <x:c r="AS505" s="62">
        <x:v>0.376317771411516</x:v>
      </x:c>
      <x:c r="AT505" s="62">
        <x:v>0.347216237078002</x:v>
      </x:c>
      <x:c r="AU505" s="60">
        <x:v>2.47</x:v>
      </x:c>
      <x:c r="AV505" s="60">
        <x:v>3.53</x:v>
      </x:c>
      <x:c r="AW505" s="60">
        <x:v>2.72</x:v>
      </x:c>
      <x:c r="AX505" s="49" t="s">
        <x:v>1890</x:v>
      </x:c>
      <x:c r="AY505" s="49" t="s">
        <x:v>101</x:v>
      </x:c>
    </x:row>
    <x:row r="506" ht="22" customHeight="1">
      <x:c r="A506" s="49" t="s">
        <x:v>2021</x:v>
      </x:c>
      <x:c r="B506" s="49" t="s">
        <x:v>2059</x:v>
      </x:c>
      <x:c r="C506" s="49" t="s">
        <x:v>2008</x:v>
      </x:c>
      <x:c r="D506" s="49" t="s">
        <x:v>90</x:v>
      </x:c>
      <x:c r="E506" s="49" t="s">
        <x:v>2009</x:v>
      </x:c>
      <x:c r="F506" s="49" t="s">
        <x:v>2075</x:v>
      </x:c>
      <x:c r="G506" s="60">
        <x:v>0.89</x:v>
      </x:c>
      <x:c r="H506" s="60">
        <x:v>-0.25</x:v>
      </x:c>
      <x:c r="I506" s="60">
        <x:v>1</x:v>
      </x:c>
      <x:c r="J506" s="49" t="s">
        <x:v>2076</x:v>
      </x:c>
      <x:c r="K506" s="49" t="s">
        <x:v>189</x:v>
      </x:c>
      <x:c r="L506" s="49" t="s">
        <x:v>1179</x:v>
      </x:c>
      <x:c r="M506" s="61">
        <x:v>0.527</x:v>
      </x:c>
      <x:c r="N506" s="49" t="s">
        <x:v>1888</x:v>
      </x:c>
      <x:c r="O506" s="49" t="s">
        <x:v>169</x:v>
      </x:c>
      <x:c r="P506" s="49" t="s">
        <x:v>30</x:v>
      </x:c>
      <x:c r="Q506" s="63" t="s">
        <x:v>11</x:v>
      </x:c>
      <x:c r="R506" s="50">
        <x:v>1</x:v>
      </x:c>
      <x:c r="S506" s="50">
        <x:f t="shared" si="32"/>
        <x:v>1</x:v>
      </x:c>
      <x:c r="T506" s="49" t="s">
        <x:v>2077</x:v>
      </x:c>
      <x:c r="U506" s="49" t="str">
        <x:f t="shared" si="34"/>
        <x:v>黑</x:v>
      </x:c>
      <x:c r="V506" s="50">
        <x:f t="shared" si="35"/>
        <x:v>0.89</x:v>
      </x:c>
      <x:c r="W506" s="50">
        <x:f t="shared" si="33"/>
        <x:v>-1</x:v>
      </x:c>
      <x:c r="X506" s="62">
        <x:v>0.97</x:v>
      </x:c>
      <x:c r="Y506" s="62">
        <x:v>0</x:v>
      </x:c>
      <x:c r="Z506" s="62">
        <x:v>0.85</x:v>
      </x:c>
      <x:c r="AA506" s="62">
        <x:v>0</x:v>
      </x:c>
      <x:c r="AB506" s="62">
        <x:v>0.85</x:v>
      </x:c>
      <x:c r="AC506" s="62">
        <x:v>1</x:v>
      </x:c>
      <x:c r="AD506" s="60">
        <x:v>2.62</x:v>
      </x:c>
      <x:c r="AE506" s="60">
        <x:v>3.46</x:v>
      </x:c>
      <x:c r="AF506" s="60">
        <x:v>2.54</x:v>
      </x:c>
      <x:c r="AG506" s="62">
        <x:v>0.0643975177550142</x:v>
      </x:c>
      <x:c r="AH506" s="62">
        <x:v>0.0143975177550142</x:v>
      </x:c>
      <x:c r="AI506" s="62">
        <x:v>0.358587259878246</x:v>
      </x:c>
      <x:c r="AJ506" s="62">
        <x:v>0.271531393318209</x:v>
      </x:c>
      <x:c r="AK506" s="62">
        <x:v>0.369881346803545</x:v>
      </x:c>
      <x:c r="AL506" s="62">
        <x:v>1.23</x:v>
      </x:c>
      <x:c r="AM506" s="62">
        <x:v>1.25</x:v>
      </x:c>
      <x:c r="AN506" s="62">
        <x:v>0.000723101511053686</x:v>
      </x:c>
      <x:c r="AO506" s="62">
        <x:v>1.34158335938419</x:v>
      </x:c>
      <x:c r="AP506" s="62">
        <x:v>-0.341583359384187</x:v>
      </x:c>
      <x:c r="AQ506" s="62" t="s">
        <x:v>99</x:v>
      </x:c>
      <x:c r="AR506" s="49">
        <x:v>-0.25</x:v>
      </x:c>
      <x:c r="AS506" s="62">
        <x:v>0.369128881009527</x:v>
      </x:c>
      <x:c r="AT506" s="62">
        <x:v>0.495217164230487</x:v>
      </x:c>
      <x:c r="AU506" s="60">
        <x:v>2.97</x:v>
      </x:c>
      <x:c r="AV506" s="60">
        <x:v>3.55</x:v>
      </x:c>
      <x:c r="AW506" s="60">
        <x:v>2.29</x:v>
      </x:c>
      <x:c r="AX506" s="49" t="s">
        <x:v>1890</x:v>
      </x:c>
      <x:c r="AY506" s="49" t="s">
        <x:v>101</x:v>
      </x:c>
    </x:row>
    <x:row r="507" ht="22" customHeight="1">
      <x:c r="A507" s="49" t="s">
        <x:v>2021</x:v>
      </x:c>
      <x:c r="B507" s="49" t="s">
        <x:v>2078</x:v>
      </x:c>
      <x:c r="C507" s="49" t="s">
        <x:v>244</x:v>
      </x:c>
      <x:c r="D507" s="49" t="s">
        <x:v>90</x:v>
      </x:c>
      <x:c r="E507" s="49" t="s">
        <x:v>1446</x:v>
      </x:c>
      <x:c r="F507" s="49" t="s">
        <x:v>2079</x:v>
      </x:c>
      <x:c r="G507" s="60">
        <x:v>0.81</x:v>
      </x:c>
      <x:c r="H507" s="60">
        <x:v>0.5</x:v>
      </x:c>
      <x:c r="I507" s="60">
        <x:v>0.95</x:v>
      </x:c>
      <x:c r="J507" s="49" t="s">
        <x:v>327</x:v>
      </x:c>
      <x:c r="K507" s="49" t="s">
        <x:v>106</x:v>
      </x:c>
      <x:c r="L507" s="49" t="s">
        <x:v>2080</x:v>
      </x:c>
      <x:c r="M507" s="61">
        <x:v>0.592</x:v>
      </x:c>
      <x:c r="N507" s="49" t="s">
        <x:v>1888</x:v>
      </x:c>
      <x:c r="O507" s="49" t="s">
        <x:v>197</x:v>
      </x:c>
      <x:c r="P507" s="49" t="s">
        <x:v>30</x:v>
      </x:c>
      <x:c r="Q507" s="63" t="s">
        <x:v>11</x:v>
      </x:c>
      <x:c r="R507" s="50">
        <x:v>0.81</x:v>
      </x:c>
      <x:c r="S507" s="50">
        <x:f t="shared" si="32"/>
        <x:v>0.81</x:v>
      </x:c>
      <x:c r="T507" s="49" t="s">
        <x:v>2081</x:v>
      </x:c>
      <x:c r="U507" s="49" t="str">
        <x:f t="shared" si="34"/>
        <x:v>黑</x:v>
      </x:c>
      <x:c r="V507" s="50">
        <x:f t="shared" si="35"/>
        <x:v>0.95</x:v>
      </x:c>
      <x:c r="W507" s="50">
        <x:f t="shared" si="33"/>
        <x:v>-1</x:v>
      </x:c>
      <x:c r="X507" s="62">
        <x:v>0.82</x:v>
      </x:c>
      <x:c r="Y507" s="62">
        <x:v>0.5</x:v>
      </x:c>
      <x:c r="Z507" s="62">
        <x:v>0.88</x:v>
      </x:c>
      <x:c r="AA507" s="62">
        <x:v>-0.5</x:v>
      </x:c>
      <x:c r="AB507" s="62">
        <x:v>0.82</x:v>
      </x:c>
      <x:c r="AC507" s="62">
        <x:v>0.81</x:v>
      </x:c>
      <x:c r="AD507" s="60">
        <x:v>1.83</x:v>
      </x:c>
      <x:c r="AE507" s="60">
        <x:v>3.22</x:v>
      </x:c>
      <x:c r="AF507" s="60">
        <x:v>4.24</x:v>
      </x:c>
      <x:c r="AG507" s="62">
        <x:v>0.0928561502466476</x:v>
      </x:c>
      <x:c r="AH507" s="62">
        <x:v>0.0428561502466476</x:v>
      </x:c>
      <x:c r="AI507" s="62">
        <x:v>0.500018311932788</x:v>
      </x:c>
      <x:c r="AJ507" s="62">
        <x:v>0.284171897775466</x:v>
      </x:c>
      <x:c r="AK507" s="62">
        <x:v>0.215809790291746</x:v>
      </x:c>
      <x:c r="AL507" s="62">
        <x:v>1.33</x:v>
      </x:c>
      <x:c r="AM507" s="62">
        <x:v>0.77</x:v>
      </x:c>
      <x:c r="AN507" s="62">
        <x:v>0.00047278927372777</x:v>
      </x:c>
      <x:c r="AO507" s="62">
        <x:v>1.00138575938072</x:v>
      </x:c>
      <x:c r="AP507" s="62">
        <x:v>-0.191385759380724</x:v>
      </x:c>
      <x:c r="AQ507" s="62" t="s">
        <x:v>99</x:v>
      </x:c>
      <x:c r="AR507" s="49">
        <x:v>-0.5</x:v>
      </x:c>
      <x:c r="AS507" s="62">
        <x:v>0.499653800029747</x:v>
      </x:c>
      <x:c r="AT507" s="62">
        <x:v>0.500346199970253</x:v>
      </x:c>
      <x:c r="AU507" s="60">
        <x:v>1.82</x:v>
      </x:c>
      <x:c r="AV507" s="60">
        <x:v>3.08</x:v>
      </x:c>
      <x:c r="AW507" s="60">
        <x:v>4.39</x:v>
      </x:c>
      <x:c r="AX507" s="49" t="s">
        <x:v>1890</x:v>
      </x:c>
      <x:c r="AY507" s="49" t="s">
        <x:v>101</x:v>
      </x:c>
    </x:row>
    <x:row r="508" ht="22" customHeight="1">
      <x:c r="A508" s="49" t="s">
        <x:v>2021</x:v>
      </x:c>
      <x:c r="B508" s="49" t="s">
        <x:v>2082</x:v>
      </x:c>
      <x:c r="C508" s="49" t="s">
        <x:v>244</x:v>
      </x:c>
      <x:c r="D508" s="49" t="s">
        <x:v>90</x:v>
      </x:c>
      <x:c r="E508" s="49" t="s">
        <x:v>2083</x:v>
      </x:c>
      <x:c r="F508" s="49" t="s">
        <x:v>2084</x:v>
      </x:c>
      <x:c r="G508" s="60">
        <x:v>0.81</x:v>
      </x:c>
      <x:c r="H508" s="60">
        <x:v>0.25</x:v>
      </x:c>
      <x:c r="I508" s="60">
        <x:v>1.01</x:v>
      </x:c>
      <x:c r="J508" s="49" t="s">
        <x:v>766</x:v>
      </x:c>
      <x:c r="K508" s="49" t="s">
        <x:v>106</x:v>
      </x:c>
      <x:c r="L508" s="49" t="s">
        <x:v>2085</x:v>
      </x:c>
      <x:c r="M508" s="61">
        <x:v>0.592</x:v>
      </x:c>
      <x:c r="N508" s="49" t="s">
        <x:v>1888</x:v>
      </x:c>
      <x:c r="O508" s="49" t="s">
        <x:v>231</x:v>
      </x:c>
      <x:c r="P508" s="49" t="s">
        <x:v>30</x:v>
      </x:c>
      <x:c r="Q508" s="49" t="s">
        <x:v>11</x:v>
      </x:c>
      <x:c r="R508" s="50">
        <x:v>0.81</x:v>
      </x:c>
      <x:c r="S508" s="50">
        <x:f t="shared" si="32"/>
        <x:v>0.81</x:v>
      </x:c>
      <x:c r="T508" s="49" t="s">
        <x:v>2086</x:v>
      </x:c>
      <x:c r="U508" s="49" t="str">
        <x:f t="shared" si="34"/>
        <x:v>黑</x:v>
      </x:c>
      <x:c r="V508" s="50">
        <x:f t="shared" si="35"/>
        <x:v>1.01</x:v>
      </x:c>
      <x:c r="W508" s="50">
        <x:f t="shared" si="33"/>
        <x:v>-1</x:v>
      </x:c>
      <x:c r="X508" s="62">
        <x:v>0.97</x:v>
      </x:c>
      <x:c r="Y508" s="62">
        <x:v>0.25</x:v>
      </x:c>
      <x:c r="Z508" s="62">
        <x:v>0.85</x:v>
      </x:c>
      <x:c r="AA508" s="62">
        <x:v>-0.25</x:v>
      </x:c>
      <x:c r="AB508" s="62">
        <x:v>0.97</x:v>
      </x:c>
      <x:c r="AC508" s="62">
        <x:v>0.81</x:v>
      </x:c>
      <x:c r="AD508" s="60">
        <x:v>2.21</x:v>
      </x:c>
      <x:c r="AE508" s="60">
        <x:v>3.57</x:v>
      </x:c>
      <x:c r="AF508" s="60">
        <x:v>2.9</x:v>
      </x:c>
      <x:c r="AG508" s="62">
        <x:v>0.0774283188076292</x:v>
      </x:c>
      <x:c r="AH508" s="62">
        <x:v>0.0274283188076292</x:v>
      </x:c>
      <x:c r="AI508" s="62">
        <x:v>0.419971036480243</x:v>
      </x:c>
      <x:c r="AJ508" s="62">
        <x:v>0.259982070202055</x:v>
      </x:c>
      <x:c r="AK508" s="62">
        <x:v>0.320046893317702</x:v>
      </x:c>
      <x:c r="AL508" s="62">
        <x:v>1.43</x:v>
      </x:c>
      <x:c r="AM508" s="62">
        <x:v>1.21</x:v>
      </x:c>
      <x:c r="AN508" s="62">
        <x:v>0.000944618310231787</x:v>
      </x:c>
      <x:c r="AO508" s="62">
        <x:v>1.06567665053545</x:v>
      </x:c>
      <x:c r="AP508" s="62">
        <x:v>-0.25567665053545</x:v>
      </x:c>
      <x:c r="AQ508" s="62" t="s">
        <x:v>99</x:v>
      </x:c>
      <x:c r="AR508" s="49">
        <x:v>-0.25</x:v>
      </x:c>
      <x:c r="AS508" s="62">
        <x:v>0.421239549218639</x:v>
      </x:c>
      <x:c r="AT508" s="62">
        <x:v>0.448905151884382</x:v>
      </x:c>
      <x:c r="AU508" s="60">
        <x:v>2.16</x:v>
      </x:c>
      <x:c r="AV508" s="60">
        <x:v>3.57</x:v>
      </x:c>
      <x:c r="AW508" s="60">
        <x:v>2.97</x:v>
      </x:c>
      <x:c r="AX508" s="49" t="s">
        <x:v>1890</x:v>
      </x:c>
      <x:c r="AY508" s="49" t="s">
        <x:v>101</x:v>
      </x:c>
    </x:row>
    <x:row r="509" ht="22" customHeight="1">
      <x:c r="A509" s="49" t="s">
        <x:v>2087</x:v>
      </x:c>
      <x:c r="B509" s="49" t="s">
        <x:v>2088</x:v>
      </x:c>
      <x:c r="C509" s="49" t="s">
        <x:v>244</x:v>
      </x:c>
      <x:c r="D509" s="49" t="s">
        <x:v>116</x:v>
      </x:c>
      <x:c r="E509" s="49" t="s">
        <x:v>674</x:v>
      </x:c>
      <x:c r="F509" s="49" t="s">
        <x:v>2089</x:v>
      </x:c>
      <x:c r="G509" s="60">
        <x:v>0.81</x:v>
      </x:c>
      <x:c r="H509" s="60">
        <x:v>0.5</x:v>
      </x:c>
      <x:c r="I509" s="60">
        <x:v>1.01</x:v>
      </x:c>
      <x:c r="J509" s="49" t="s">
        <x:v>2090</x:v>
      </x:c>
      <x:c r="K509" s="49" t="s">
        <x:v>106</x:v>
      </x:c>
      <x:c r="L509" s="49" t="s">
        <x:v>2091</x:v>
      </x:c>
      <x:c r="M509" s="61">
        <x:v>0.592</x:v>
      </x:c>
      <x:c r="N509" s="49" t="s">
        <x:v>1888</x:v>
      </x:c>
      <x:c r="O509" s="49" t="s">
        <x:v>191</x:v>
      </x:c>
      <x:c r="P509" s="49" t="s">
        <x:v>30</x:v>
      </x:c>
      <x:c r="Q509" s="64" t="s">
        <x:v>23</x:v>
      </x:c>
      <x:c r="R509" s="50">
        <x:v>0.81</x:v>
      </x:c>
      <x:c r="S509" s="50">
        <x:f t="shared" si="32"/>
        <x:v>-1</x:v>
      </x:c>
      <x:c r="T509" s="49" t="s">
        <x:v>2092</x:v>
      </x:c>
      <x:c r="U509" s="49" t="str">
        <x:f t="shared" si="34"/>
        <x:v>红</x:v>
      </x:c>
      <x:c r="V509" s="50">
        <x:f t="shared" si="35"/>
        <x:v>1.01</x:v>
      </x:c>
      <x:c r="W509" s="50">
        <x:f t="shared" si="33"/>
        <x:v>1.01</x:v>
      </x:c>
      <x:c r="X509" s="62">
        <x:v>0.9</x:v>
      </x:c>
      <x:c r="Y509" s="62">
        <x:v>0.5</x:v>
      </x:c>
      <x:c r="Z509" s="62">
        <x:v>0.8</x:v>
      </x:c>
      <x:c r="AA509" s="62">
        <x:v>-0.5</x:v>
      </x:c>
      <x:c r="AB509" s="62">
        <x:v>0.9</x:v>
      </x:c>
      <x:c r="AC509" s="62">
        <x:v>0.81</x:v>
      </x:c>
      <x:c r="AD509" s="60">
        <x:v>2.12</x:v>
      </x:c>
      <x:c r="AE509" s="60">
        <x:v>3.15</x:v>
      </x:c>
      <x:c r="AF509" s="60">
        <x:v>3.16</x:v>
      </x:c>
      <x:c r="AG509" s="62">
        <x:v>0.105614126870396</x:v>
      </x:c>
      <x:c r="AH509" s="62">
        <x:v>0.0556141268703961</x:v>
      </x:c>
      <x:c r="AI509" s="62">
        <x:v>0.426639006994925</x:v>
      </x:c>
      <x:c r="AJ509" s="62">
        <x:v>0.287134823755315</x:v>
      </x:c>
      <x:c r="AK509" s="62">
        <x:v>0.28622616924976</x:v>
      </x:c>
      <x:c r="AL509" s="62">
        <x:v>1.24</x:v>
      </x:c>
      <x:c r="AM509" s="62">
        <x:v>0.96</x:v>
      </x:c>
      <x:c r="AN509" s="62">
        <x:v>0.000296526189810833</x:v>
      </x:c>
      <x:c r="AO509" s="62">
        <x:v>1.34498442710109</x:v>
      </x:c>
      <x:c r="AP509" s="62">
        <x:v>-0.534984427101087</x:v>
      </x:c>
      <x:c r="AQ509" s="62" t="s">
        <x:v>99</x:v>
      </x:c>
      <x:c r="AR509" s="49">
        <x:v>-0.5</x:v>
      </x:c>
      <x:c r="AS509" s="62">
        <x:v>0.42644206436638</x:v>
      </x:c>
      <x:c r="AT509" s="62">
        <x:v>0.57355793563362</x:v>
      </x:c>
      <x:c r="AU509" s="60">
        <x:v>1.94</x:v>
      </x:c>
      <x:c r="AV509" s="60">
        <x:v>3.31</x:v>
      </x:c>
      <x:c r="AW509" s="60">
        <x:v>3.54</x:v>
      </x:c>
      <x:c r="AX509" s="49" t="s">
        <x:v>1890</x:v>
      </x:c>
      <x:c r="AY509" s="49" t="s">
        <x:v>2093</x:v>
      </x:c>
    </x:row>
    <x:row r="510" ht="22" customHeight="1">
      <x:c r="A510" s="49" t="s">
        <x:v>2087</x:v>
      </x:c>
      <x:c r="B510" s="49" t="s">
        <x:v>2094</x:v>
      </x:c>
      <x:c r="C510" s="49" t="s">
        <x:v>244</x:v>
      </x:c>
      <x:c r="D510" s="49" t="s">
        <x:v>116</x:v>
      </x:c>
      <x:c r="E510" s="49" t="s">
        <x:v>678</x:v>
      </x:c>
      <x:c r="F510" s="49" t="s">
        <x:v>2095</x:v>
      </x:c>
      <x:c r="G510" s="60">
        <x:v>0.85</x:v>
      </x:c>
      <x:c r="H510" s="60">
        <x:v>0.5</x:v>
      </x:c>
      <x:c r="I510" s="60">
        <x:v>1.01</x:v>
      </x:c>
      <x:c r="J510" s="49" t="s">
        <x:v>2096</x:v>
      </x:c>
      <x:c r="K510" s="49" t="s">
        <x:v>132</x:v>
      </x:c>
      <x:c r="L510" s="49" t="s">
        <x:v>681</x:v>
      </x:c>
      <x:c r="M510" s="61">
        <x:v>0.551</x:v>
      </x:c>
      <x:c r="N510" s="49" t="s">
        <x:v>1888</x:v>
      </x:c>
      <x:c r="O510" s="49" t="s">
        <x:v>410</x:v>
      </x:c>
      <x:c r="P510" s="49" t="s">
        <x:v>30</x:v>
      </x:c>
      <x:c r="Q510" s="64" t="s">
        <x:v>23</x:v>
      </x:c>
      <x:c r="R510" s="50">
        <x:v>1.01</x:v>
      </x:c>
      <x:c r="S510" s="50">
        <x:f t="shared" si="32"/>
        <x:v>-1</x:v>
      </x:c>
      <x:c r="T510" s="49" t="s">
        <x:v>2097</x:v>
      </x:c>
      <x:c r="U510" s="49" t="str">
        <x:f t="shared" si="34"/>
        <x:v>红</x:v>
      </x:c>
      <x:c r="V510" s="50">
        <x:f t="shared" si="35"/>
        <x:v>0.85</x:v>
      </x:c>
      <x:c r="W510" s="50">
        <x:f t="shared" si="33"/>
        <x:v>0.85</x:v>
      </x:c>
      <x:c r="X510" s="62">
        <x:v>0.9</x:v>
      </x:c>
      <x:c r="Y510" s="62">
        <x:v>0.75</x:v>
      </x:c>
      <x:c r="Z510" s="62">
        <x:v>0.8</x:v>
      </x:c>
      <x:c r="AA510" s="62">
        <x:v>0.75</x:v>
      </x:c>
      <x:c r="AB510" s="62">
        <x:v>0.8</x:v>
      </x:c>
      <x:c r="AC510" s="62">
        <x:v>1.01</x:v>
      </x:c>
      <x:c r="AD510" s="60">
        <x:v>1.71</x:v>
      </x:c>
      <x:c r="AE510" s="60">
        <x:v>4.05</x:v>
      </x:c>
      <x:c r="AF510" s="60">
        <x:v>4.03</x:v>
      </x:c>
      <x:c r="AG510" s="62">
        <x:v>0.0798478597007175</x:v>
      </x:c>
      <x:c r="AH510" s="62">
        <x:v>0.0298478597007175</x:v>
      </x:c>
      <x:c r="AI510" s="62">
        <x:v>0.541553438647834</x:v>
      </x:c>
      <x:c r="AJ510" s="62">
        <x:v>0.228655896317974</x:v>
      </x:c>
      <x:c r="AK510" s="62">
        <x:v>0.229790665034192</x:v>
      </x:c>
      <x:c r="AL510" s="62">
        <x:v>1.84</x:v>
      </x:c>
      <x:c r="AM510" s="62">
        <x:v>1.12</x:v>
      </x:c>
      <x:c r="AN510" s="62">
        <x:v>0.000502143041461078</x:v>
      </x:c>
      <x:c r="AO510" s="62">
        <x:v>1.18385495497993</x:v>
      </x:c>
      <x:c r="AP510" s="62">
        <x:v>-0.173854954979926</x:v>
      </x:c>
      <x:c r="AQ510" s="62" t="s">
        <x:v>289</x:v>
      </x:c>
      <x:c r="AR510" s="49">
        <x:v>0.5</x:v>
      </x:c>
      <x:c r="AS510" s="62">
        <x:v>0.45790586857413</x:v>
      </x:c>
      <x:c r="AT510" s="62">
        <x:v>0.54209413142587</x:v>
      </x:c>
      <x:c r="AU510" s="60">
        <x:v>1.78</x:v>
      </x:c>
      <x:c r="AV510" s="60">
        <x:v>4.17</x:v>
      </x:c>
      <x:c r="AW510" s="60">
        <x:v>3.61</x:v>
      </x:c>
      <x:c r="AX510" s="49" t="s">
        <x:v>1890</x:v>
      </x:c>
      <x:c r="AY510" s="49" t="s">
        <x:v>2093</x:v>
      </x:c>
    </x:row>
    <x:row r="511" ht="22" customHeight="1">
      <x:c r="A511" s="49" t="s">
        <x:v>2087</x:v>
      </x:c>
      <x:c r="B511" s="49" t="s">
        <x:v>2098</x:v>
      </x:c>
      <x:c r="C511" s="49" t="s">
        <x:v>89</x:v>
      </x:c>
      <x:c r="D511" s="49" t="s">
        <x:v>116</x:v>
      </x:c>
      <x:c r="E511" s="49" t="s">
        <x:v>812</x:v>
      </x:c>
      <x:c r="F511" s="49" t="s">
        <x:v>2099</x:v>
      </x:c>
      <x:c r="G511" s="60">
        <x:v>0.81</x:v>
      </x:c>
      <x:c r="H511" s="60">
        <x:v>0.25</x:v>
      </x:c>
      <x:c r="I511" s="60">
        <x:v>1.05</x:v>
      </x:c>
      <x:c r="J511" s="49" t="s">
        <x:v>2100</x:v>
      </x:c>
      <x:c r="K511" s="49" t="s">
        <x:v>106</x:v>
      </x:c>
      <x:c r="L511" s="49" t="s">
        <x:v>2101</x:v>
      </x:c>
      <x:c r="M511" s="61">
        <x:v>0.576</x:v>
      </x:c>
      <x:c r="N511" s="49" t="s">
        <x:v>1888</x:v>
      </x:c>
      <x:c r="O511" s="49" t="s">
        <x:v>231</x:v>
      </x:c>
      <x:c r="P511" s="49" t="s">
        <x:v>30</x:v>
      </x:c>
      <x:c r="Q511" s="63" t="s">
        <x:v>11</x:v>
      </x:c>
      <x:c r="R511" s="50">
        <x:v>0.81</x:v>
      </x:c>
      <x:c r="S511" s="50">
        <x:f t="shared" si="32"/>
        <x:v>0.81</x:v>
      </x:c>
      <x:c r="T511" s="49" t="s">
        <x:v>2102</x:v>
      </x:c>
      <x:c r="U511" s="49" t="str">
        <x:f t="shared" si="34"/>
        <x:v>黑</x:v>
      </x:c>
      <x:c r="V511" s="50">
        <x:f t="shared" si="35"/>
        <x:v>1.05</x:v>
      </x:c>
      <x:c r="W511" s="50">
        <x:f t="shared" si="33"/>
        <x:v>-1</x:v>
      </x:c>
      <x:c r="X511" s="62">
        <x:v>1</x:v>
      </x:c>
      <x:c r="Y511" s="62">
        <x:v>0.25</x:v>
      </x:c>
      <x:c r="Z511" s="62">
        <x:v>0.82</x:v>
      </x:c>
      <x:c r="AA511" s="62">
        <x:v>-0.25</x:v>
      </x:c>
      <x:c r="AB511" s="62">
        <x:v>1</x:v>
      </x:c>
      <x:c r="AC511" s="62">
        <x:v>0.81</x:v>
      </x:c>
      <x:c r="AD511" s="60">
        <x:v>2.59</x:v>
      </x:c>
      <x:c r="AE511" s="60">
        <x:v>3.13</x:v>
      </x:c>
      <x:c r="AF511" s="60">
        <x:v>2.63</x:v>
      </x:c>
      <x:c r="AG511" s="62">
        <x:v>0.0858173408738891</x:v>
      </x:c>
      <x:c r="AH511" s="62">
        <x:v>0.0358173408738891</x:v>
      </x:c>
      <x:c r="AI511" s="62">
        <x:v>0.355585024816093</x:v>
      </x:c>
      <x:c r="AJ511" s="62">
        <x:v>0.294238087627374</x:v>
      </x:c>
      <x:c r="AK511" s="62">
        <x:v>0.350176887556533</x:v>
      </x:c>
      <x:c r="AL511" s="62">
        <x:v>1.09</x:v>
      </x:c>
      <x:c r="AM511" s="62">
        <x:v>1.08</x:v>
      </x:c>
      <x:c r="AN511" s="62">
        <x:v>0.000394078426030134</x:v>
      </x:c>
      <x:c r="AO511" s="62">
        <x:v>1.39866867992582</x:v>
      </x:c>
      <x:c r="AP511" s="62">
        <x:v>-0.588668679925823</x:v>
      </x:c>
      <x:c r="AQ511" s="62" t="s">
        <x:v>99</x:v>
      </x:c>
      <x:c r="AR511" s="49">
        <x:v>-0.25</x:v>
      </x:c>
      <x:c r="AS511" s="62">
        <x:v>0.355672802355612</x:v>
      </x:c>
      <x:c r="AT511" s="62">
        <x:v>0.497468408956243</x:v>
      </x:c>
      <x:c r="AU511" s="60">
        <x:v>2.07</x:v>
      </x:c>
      <x:c r="AV511" s="60">
        <x:v>3.18</x:v>
      </x:c>
      <x:c r="AW511" s="60">
        <x:v>3.46</x:v>
      </x:c>
      <x:c r="AX511" s="49" t="s">
        <x:v>1890</x:v>
      </x:c>
      <x:c r="AY511" s="49" t="s">
        <x:v>2093</x:v>
      </x:c>
    </x:row>
    <x:row r="512" ht="22" customHeight="1">
      <x:c r="A512" s="49" t="s">
        <x:v>2087</x:v>
      </x:c>
      <x:c r="B512" s="49" t="s">
        <x:v>2103</x:v>
      </x:c>
      <x:c r="C512" s="49" t="s">
        <x:v>333</x:v>
      </x:c>
      <x:c r="D512" s="49" t="s">
        <x:v>116</x:v>
      </x:c>
      <x:c r="E512" s="49" t="s">
        <x:v>568</x:v>
      </x:c>
      <x:c r="F512" s="49" t="s">
        <x:v>2104</x:v>
      </x:c>
      <x:c r="G512" s="60">
        <x:v>0.82</x:v>
      </x:c>
      <x:c r="H512" s="60">
        <x:v>1</x:v>
      </x:c>
      <x:c r="I512" s="60">
        <x:v>1.07</x:v>
      </x:c>
      <x:c r="J512" s="49" t="s">
        <x:v>2105</x:v>
      </x:c>
      <x:c r="K512" s="49" t="s">
        <x:v>106</x:v>
      </x:c>
      <x:c r="L512" s="49" t="s">
        <x:v>684</x:v>
      </x:c>
      <x:c r="M512" s="61">
        <x:v>0.584</x:v>
      </x:c>
      <x:c r="N512" s="49" t="s">
        <x:v>1888</x:v>
      </x:c>
      <x:c r="O512" s="49" t="s">
        <x:v>1241</x:v>
      </x:c>
      <x:c r="P512" s="49" t="s">
        <x:v>30</x:v>
      </x:c>
      <x:c r="Q512" s="63" t="s">
        <x:v>11</x:v>
      </x:c>
      <x:c r="R512" s="50">
        <x:v>0.82</x:v>
      </x:c>
      <x:c r="S512" s="50">
        <x:f t="shared" si="32"/>
        <x:v>0.82</x:v>
      </x:c>
      <x:c r="T512" s="49" t="s">
        <x:v>2106</x:v>
      </x:c>
      <x:c r="U512" s="49" t="str">
        <x:f t="shared" si="34"/>
        <x:v>黑</x:v>
      </x:c>
      <x:c r="V512" s="50">
        <x:f t="shared" si="35"/>
        <x:v>1.07</x:v>
      </x:c>
      <x:c r="W512" s="50">
        <x:f t="shared" si="33"/>
        <x:v>-1</x:v>
      </x:c>
      <x:c r="X512" s="62">
        <x:v>1.04</x:v>
      </x:c>
      <x:c r="Y512" s="62">
        <x:v>1</x:v>
      </x:c>
      <x:c r="Z512" s="62">
        <x:v>0.84</x:v>
      </x:c>
      <x:c r="AA512" s="62">
        <x:v>-1</x:v>
      </x:c>
      <x:c r="AB512" s="62">
        <x:v>1.04</x:v>
      </x:c>
      <x:c r="AC512" s="62">
        <x:v>0.82</x:v>
      </x:c>
      <x:c r="AD512" s="60">
        <x:v>1.56</x:v>
      </x:c>
      <x:c r="AE512" s="60">
        <x:v>4.26</x:v>
      </x:c>
      <x:c r="AF512" s="60">
        <x:v>4.83</x:v>
      </x:c>
      <x:c r="AG512" s="62">
        <x:v>0.0828067625373197</x:v>
      </x:c>
      <x:c r="AH512" s="62">
        <x:v>0.0328067625373197</x:v>
      </x:c>
      <x:c r="AI512" s="62">
        <x:v>0.592003728831115</x:v>
      </x:c>
      <x:c r="AJ512" s="62">
        <x:v>0.216790097881817</x:v>
      </x:c>
      <x:c r="AK512" s="62">
        <x:v>0.191206173287068</x:v>
      </x:c>
      <x:c r="AL512" s="62">
        <x:v>1.95</x:v>
      </x:c>
      <x:c r="AM512" s="62">
        <x:v>1.01</x:v>
      </x:c>
      <x:c r="AN512" s="62">
        <x:v>0.000434635902660453</x:v>
      </x:c>
      <x:c r="AO512" s="62">
        <x:v>1.15256420762202</x:v>
      </x:c>
      <x:c r="AP512" s="62">
        <x:v>-0.332564207622023</x:v>
      </x:c>
      <x:c r="AQ512" s="62" t="s">
        <x:v>99</x:v>
      </x:c>
      <x:c r="AR512" s="49">
        <x:v>-1</x:v>
      </x:c>
      <x:c r="AS512" s="62">
        <x:v>0.353466483981743</x:v>
      </x:c>
      <x:c r="AT512" s="62">
        <x:v>0.40739281803136</x:v>
      </x:c>
      <x:c r="AU512" s="60">
        <x:v>1.55</x:v>
      </x:c>
      <x:c r="AV512" s="60">
        <x:v>4.48</x:v>
      </x:c>
      <x:c r="AW512" s="60">
        <x:v>5.01</x:v>
      </x:c>
      <x:c r="AX512" s="49" t="s">
        <x:v>1890</x:v>
      </x:c>
      <x:c r="AY512" s="49" t="s">
        <x:v>2093</x:v>
      </x:c>
    </x:row>
    <x:row r="513" ht="22" customHeight="1">
      <x:c r="A513" s="49" t="s">
        <x:v>2087</x:v>
      </x:c>
      <x:c r="B513" s="49" t="s">
        <x:v>2103</x:v>
      </x:c>
      <x:c r="C513" s="49" t="s">
        <x:v>333</x:v>
      </x:c>
      <x:c r="D513" s="49" t="s">
        <x:v>116</x:v>
      </x:c>
      <x:c r="E513" s="49" t="s">
        <x:v>568</x:v>
      </x:c>
      <x:c r="F513" s="49" t="s">
        <x:v>2107</x:v>
      </x:c>
      <x:c r="G513" s="60">
        <x:v>0.87</x:v>
      </x:c>
      <x:c r="H513" s="60">
        <x:v>-0.25</x:v>
      </x:c>
      <x:c r="I513" s="60">
        <x:v>1.02</x:v>
      </x:c>
      <x:c r="J513" s="49" t="s">
        <x:v>2108</x:v>
      </x:c>
      <x:c r="K513" s="49" t="s">
        <x:v>189</x:v>
      </x:c>
      <x:c r="L513" s="49" t="s">
        <x:v>2109</x:v>
      </x:c>
      <x:c r="M513" s="61">
        <x:v>0.529</x:v>
      </x:c>
      <x:c r="N513" s="49" t="s">
        <x:v>1888</x:v>
      </x:c>
      <x:c r="O513" s="49" t="s">
        <x:v>126</x:v>
      </x:c>
      <x:c r="P513" s="49" t="s">
        <x:v>30</x:v>
      </x:c>
      <x:c r="Q513" s="64" t="s">
        <x:v>20</x:v>
      </x:c>
      <x:c r="R513" s="50">
        <x:v>1.02</x:v>
      </x:c>
      <x:c r="S513" s="50">
        <x:f t="shared" si="32"/>
        <x:v>-0.5</x:v>
      </x:c>
      <x:c r="T513" s="49" t="s">
        <x:v>2110</x:v>
      </x:c>
      <x:c r="U513" s="49" t="str">
        <x:f t="shared" si="34"/>
        <x:v>半红</x:v>
      </x:c>
      <x:c r="V513" s="50">
        <x:f t="shared" si="35"/>
        <x:v>0.87</x:v>
      </x:c>
      <x:c r="W513" s="50">
        <x:f t="shared" si="33"/>
        <x:v>0.435</x:v>
      </x:c>
      <x:c r="X513" s="62">
        <x:v>0.99</x:v>
      </x:c>
      <x:c r="Y513" s="62">
        <x:v>0</x:v>
      </x:c>
      <x:c r="Z513" s="62">
        <x:v>0.89</x:v>
      </x:c>
      <x:c r="AA513" s="62">
        <x:v>0</x:v>
      </x:c>
      <x:c r="AB513" s="62">
        <x:v>0.89</x:v>
      </x:c>
      <x:c r="AC513" s="62">
        <x:v>1.02</x:v>
      </x:c>
      <x:c r="AD513" s="60">
        <x:v>2.51</x:v>
      </x:c>
      <x:c r="AE513" s="60">
        <x:v>3.67</x:v>
      </x:c>
      <x:c r="AF513" s="60">
        <x:v>2.43</x:v>
      </x:c>
      <x:c r="AG513" s="62">
        <x:v>0.0824085722795456</x:v>
      </x:c>
      <x:c r="AH513" s="62">
        <x:v>0.0324085722795456</x:v>
      </x:c>
      <x:c r="AI513" s="62">
        <x:v>0.368073927632475</x:v>
      </x:c>
      <x:c r="AJ513" s="62">
        <x:v>0.25173448456608</x:v>
      </x:c>
      <x:c r="AK513" s="62">
        <x:v>0.380191587801445</x:v>
      </x:c>
      <x:c r="AL513" s="62">
        <x:v>1.4</x:v>
      </x:c>
      <x:c r="AM513" s="62">
        <x:v>1.43</x:v>
      </x:c>
      <x:c r="AN513" s="62">
        <x:v>0.000683521202931463</x:v>
      </x:c>
      <x:c r="AO513" s="62">
        <x:v>1.29402875920059</x:v>
      </x:c>
      <x:c r="AP513" s="62">
        <x:v>-0.27402875920059</x:v>
      </x:c>
      <x:c r="AQ513" s="62" t="s">
        <x:v>99</x:v>
      </x:c>
      <x:c r="AR513" s="49">
        <x:v>-0.25</x:v>
      </x:c>
      <x:c r="AS513" s="62">
        <x:v>0.381157792654917</x:v>
      </x:c>
      <x:c r="AT513" s="62">
        <x:v>0.493229145488878</x:v>
      </x:c>
      <x:c r="AU513" s="60">
        <x:v>2.86</x:v>
      </x:c>
      <x:c r="AV513" s="60">
        <x:v>3.71</x:v>
      </x:c>
      <x:c r="AW513" s="60">
        <x:v>2.22</x:v>
      </x:c>
      <x:c r="AX513" s="49" t="s">
        <x:v>1890</x:v>
      </x:c>
      <x:c r="AY513" s="49" t="s">
        <x:v>2093</x:v>
      </x:c>
    </x:row>
    <x:row r="514" ht="22" customHeight="1">
      <x:c r="A514" s="49" t="s">
        <x:v>2087</x:v>
      </x:c>
      <x:c r="B514" s="49" t="s">
        <x:v>2111</x:v>
      </x:c>
      <x:c r="C514" s="49" t="s">
        <x:v>89</x:v>
      </x:c>
      <x:c r="D514" s="49" t="s">
        <x:v>116</x:v>
      </x:c>
      <x:c r="E514" s="49" t="s">
        <x:v>923</x:v>
      </x:c>
      <x:c r="F514" s="49" t="s">
        <x:v>2112</x:v>
      </x:c>
      <x:c r="G514" s="60">
        <x:v>0.95</x:v>
      </x:c>
      <x:c r="H514" s="60">
        <x:v>0.5</x:v>
      </x:c>
      <x:c r="I514" s="60">
        <x:v>0.91</x:v>
      </x:c>
      <x:c r="J514" s="49" t="s">
        <x:v>2113</x:v>
      </x:c>
      <x:c r="K514" s="49" t="s">
        <x:v>132</x:v>
      </x:c>
      <x:c r="L514" s="49" t="s">
        <x:v>1792</x:v>
      </x:c>
      <x:c r="M514" s="61">
        <x:v>0.555</x:v>
      </x:c>
      <x:c r="N514" s="49" t="s">
        <x:v>1888</x:v>
      </x:c>
      <x:c r="O514" s="49" t="s">
        <x:v>708</x:v>
      </x:c>
      <x:c r="P514" s="49" t="s">
        <x:v>30</x:v>
      </x:c>
      <x:c r="Q514" s="63" t="s">
        <x:v>11</x:v>
      </x:c>
      <x:c r="R514" s="50">
        <x:v>0.91</x:v>
      </x:c>
      <x:c r="S514" s="50">
        <x:f t="shared" si="32"/>
        <x:v>0.91</x:v>
      </x:c>
      <x:c r="T514" s="49" t="s">
        <x:v>2114</x:v>
      </x:c>
      <x:c r="U514" s="49" t="str">
        <x:f t="shared" si="34"/>
        <x:v>黑</x:v>
      </x:c>
      <x:c r="V514" s="50">
        <x:f t="shared" si="35"/>
        <x:v>0.95</x:v>
      </x:c>
      <x:c r="W514" s="50">
        <x:f t="shared" si="33"/>
        <x:v>-1</x:v>
      </x:c>
      <x:c r="X514" s="62">
        <x:v>0.93</x:v>
      </x:c>
      <x:c r="Y514" s="62">
        <x:v>0.75</x:v>
      </x:c>
      <x:c r="Z514" s="62">
        <x:v>0.95</x:v>
      </x:c>
      <x:c r="AA514" s="62">
        <x:v>0.75</x:v>
      </x:c>
      <x:c r="AB514" s="62">
        <x:v>0.95</x:v>
      </x:c>
      <x:c r="AC514" s="62">
        <x:v>0.91</x:v>
      </x:c>
      <x:c r="AD514" s="60">
        <x:v>1.69</x:v>
      </x:c>
      <x:c r="AE514" s="60">
        <x:v>4.01</x:v>
      </x:c>
      <x:c r="AF514" s="60">
        <x:v>4.14</x:v>
      </x:c>
      <x:c r="AG514" s="62">
        <x:v>0.0826384286546591</x:v>
      </x:c>
      <x:c r="AH514" s="62">
        <x:v>0.0326384286546591</x:v>
      </x:c>
      <x:c r="AI514" s="62">
        <x:v>0.546549947489539</x:v>
      </x:c>
      <x:c r="AJ514" s="62">
        <x:v>0.230341499066664</x:v>
      </x:c>
      <x:c r="AK514" s="62">
        <x:v>0.223108553443797</x:v>
      </x:c>
      <x:c r="AL514" s="62">
        <x:v>1.81</x:v>
      </x:c>
      <x:c r="AM514" s="62">
        <x:v>1.07</x:v>
      </x:c>
      <x:c r="AN514" s="62">
        <x:v>0.000350472709913528</x:v>
      </x:c>
      <x:c r="AO514" s="62">
        <x:v>1.20750013814496</x:v>
      </x:c>
      <x:c r="AP514" s="62">
        <x:v>-0.297500138144959</x:v>
      </x:c>
      <x:c r="AQ514" s="62" t="s">
        <x:v>289</x:v>
      </x:c>
      <x:c r="AR514" s="49">
        <x:v>0.5</x:v>
      </x:c>
      <x:c r="AS514" s="62">
        <x:v>0.453001104154102</x:v>
      </x:c>
      <x:c r="AT514" s="62">
        <x:v>0.546998895845897</x:v>
      </x:c>
      <x:c r="AU514" s="60">
        <x:v>1.86</x:v>
      </x:c>
      <x:c r="AV514" s="60">
        <x:v>3.91</x:v>
      </x:c>
      <x:c r="AW514" s="60">
        <x:v>3.58</x:v>
      </x:c>
      <x:c r="AX514" s="49" t="s">
        <x:v>1890</x:v>
      </x:c>
      <x:c r="AY514" s="49" t="s">
        <x:v>2093</x:v>
      </x:c>
    </x:row>
    <x:row r="515" ht="22" customHeight="1">
      <x:c r="A515" s="49" t="s">
        <x:v>2087</x:v>
      </x:c>
      <x:c r="B515" s="49" t="s">
        <x:v>2111</x:v>
      </x:c>
      <x:c r="C515" s="49" t="s">
        <x:v>333</x:v>
      </x:c>
      <x:c r="D515" s="49" t="s">
        <x:v>116</x:v>
      </x:c>
      <x:c r="E515" s="49" t="s">
        <x:v>730</x:v>
      </x:c>
      <x:c r="F515" s="49" t="s">
        <x:v>2115</x:v>
      </x:c>
      <x:c r="G515" s="60">
        <x:v>0.79</x:v>
      </x:c>
      <x:c r="H515" s="60">
        <x:v>0.25</x:v>
      </x:c>
      <x:c r="I515" s="60">
        <x:v>0.97</x:v>
      </x:c>
      <x:c r="J515" s="49" t="s">
        <x:v>2116</x:v>
      </x:c>
      <x:c r="K515" s="49" t="s">
        <x:v>106</x:v>
      </x:c>
      <x:c r="L515" s="49" t="s">
        <x:v>2117</x:v>
      </x:c>
      <x:c r="M515" s="61">
        <x:v>0.584</x:v>
      </x:c>
      <x:c r="N515" s="49" t="s">
        <x:v>1888</x:v>
      </x:c>
      <x:c r="O515" s="49" t="s">
        <x:v>231</x:v>
      </x:c>
      <x:c r="P515" s="49" t="s">
        <x:v>30</x:v>
      </x:c>
      <x:c r="Q515" s="63" t="s">
        <x:v>11</x:v>
      </x:c>
      <x:c r="R515" s="50">
        <x:v>0.79</x:v>
      </x:c>
      <x:c r="S515" s="50">
        <x:f t="shared" si="32"/>
        <x:v>0.79</x:v>
      </x:c>
      <x:c r="T515" s="49" t="s">
        <x:v>2118</x:v>
      </x:c>
      <x:c r="U515" s="49" t="str">
        <x:f t="shared" si="34"/>
        <x:v>黑</x:v>
      </x:c>
      <x:c r="V515" s="50">
        <x:f t="shared" si="35"/>
        <x:v>0.97</x:v>
      </x:c>
      <x:c r="W515" s="50">
        <x:f t="shared" si="33"/>
        <x:v>-1</x:v>
      </x:c>
      <x:c r="X515" s="62">
        <x:v>0.79</x:v>
      </x:c>
      <x:c r="Y515" s="62">
        <x:v>0.25</x:v>
      </x:c>
      <x:c r="Z515" s="62">
        <x:v>0.97</x:v>
      </x:c>
      <x:c r="AA515" s="62">
        <x:v>-0.25</x:v>
      </x:c>
      <x:c r="AB515" s="62">
        <x:v>0.79</x:v>
      </x:c>
      <x:c r="AC515" s="62">
        <x:v>0.79</x:v>
      </x:c>
      <x:c r="AD515" s="60">
        <x:v>1.86</x:v>
      </x:c>
      <x:c r="AE515" s="60">
        <x:v>3.69</x:v>
      </x:c>
      <x:c r="AF515" s="60">
        <x:v>3.43</x:v>
      </x:c>
      <x:c r="AG515" s="62">
        <x:v>0.100182308133624</x:v>
      </x:c>
      <x:c r="AH515" s="62">
        <x:v>0.0501823081336239</x:v>
      </x:c>
      <x:c r="AI515" s="62">
        <x:v>0.488677562461631</x:v>
      </x:c>
      <x:c r="AJ515" s="62">
        <x:v>0.246325275387164</x:v>
      </x:c>
      <x:c r="AK515" s="62">
        <x:v>0.264997162151205</x:v>
      </x:c>
      <x:c r="AL515" s="62">
        <x:v>1.62</x:v>
      </x:c>
      <x:c r="AM515" s="62">
        <x:v>1.13</x:v>
      </x:c>
      <x:c r="AN515" s="62">
        <x:v>0.000818611916268794</x:v>
      </x:c>
      <x:c r="AO515" s="62">
        <x:v>0.798086380536393</x:v>
      </x:c>
      <x:c r="AP515" s="62">
        <x:v>-0.00808638053639266</x:v>
      </x:c>
      <x:c r="AQ515" s="62" t="s">
        <x:v>174</x:v>
      </x:c>
      <x:c r="AR515" s="49">
        <x:v>-0.25</x:v>
      </x:c>
      <x:c r="AS515" s="62">
        <x:v>0.487532955226903</x:v>
      </x:c>
      <x:c r="AT515" s="62">
        <x:v>0.38909341162925</x:v>
      </x:c>
      <x:c r="AU515" s="60">
        <x:v>1.98</x:v>
      </x:c>
      <x:c r="AV515" s="60">
        <x:v>3.64</x:v>
      </x:c>
      <x:c r="AW515" s="60">
        <x:v>3.21</x:v>
      </x:c>
      <x:c r="AX515" s="49" t="s">
        <x:v>1890</x:v>
      </x:c>
      <x:c r="AY515" s="49" t="s">
        <x:v>2093</x:v>
      </x:c>
    </x:row>
    <x:row r="516" ht="22" customHeight="1">
      <x:c r="A516" s="49" t="s">
        <x:v>2087</x:v>
      </x:c>
      <x:c r="B516" s="49" t="s">
        <x:v>2119</x:v>
      </x:c>
      <x:c r="C516" s="49" t="s">
        <x:v>333</x:v>
      </x:c>
      <x:c r="D516" s="49" t="s">
        <x:v>116</x:v>
      </x:c>
      <x:c r="E516" s="49" t="s">
        <x:v>747</x:v>
      </x:c>
      <x:c r="F516" s="49" t="s">
        <x:v>2120</x:v>
      </x:c>
      <x:c r="G516" s="60">
        <x:v>1.03</x:v>
      </x:c>
      <x:c r="H516" s="60">
        <x:v>0.25</x:v>
      </x:c>
      <x:c r="I516" s="60">
        <x:v>0.85</x:v>
      </x:c>
      <x:c r="J516" s="49" t="s">
        <x:v>1208</x:v>
      </x:c>
      <x:c r="K516" s="49" t="s">
        <x:v>189</x:v>
      </x:c>
      <x:c r="L516" s="49" t="s">
        <x:v>2121</x:v>
      </x:c>
      <x:c r="M516" s="61">
        <x:v>0.529</x:v>
      </x:c>
      <x:c r="N516" s="49" t="s">
        <x:v>1888</x:v>
      </x:c>
      <x:c r="O516" s="49" t="s">
        <x:v>126</x:v>
      </x:c>
      <x:c r="P516" s="49" t="s">
        <x:v>30</x:v>
      </x:c>
      <x:c r="Q516" s="64" t="s">
        <x:v>20</x:v>
      </x:c>
      <x:c r="R516" s="50">
        <x:v>1.03</x:v>
      </x:c>
      <x:c r="S516" s="50" t="n">
        <x:f t="shared" ref="S516:S579" si="36">IF(OR(Q516="",Q516="待结算"),"",IF(Q516="红",R516,IF(Q516="半红",R516*0.5,IF(Q516="走",0,IF(Q516="半黑",-0.5,-1)))))</x:f>
        <x:v>-0.5</x:v>
      </x:c>
      <x:c r="T516" s="49" t="s">
        <x:v>2122</x:v>
      </x:c>
      <x:c r="U516" s="49" t="str">
        <x:f t="shared" si="34"/>
        <x:v>半红</x:v>
      </x:c>
      <x:c r="V516" s="50">
        <x:f t="shared" si="35"/>
        <x:v>0.85</x:v>
      </x:c>
      <x:c r="W516" s="50" t="n">
        <x:f t="shared" ref="W516:W579" si="37">IF(OR(U516="",U516="待结算"),"",IF(U516="红",V516,IF(U516="半红",V516*0.5,IF(U516="走",0,IF(U516="半黑",-0.5,-1)))))</x:f>
        <x:v>0.425</x:v>
      </x:c>
      <x:c r="X516" s="62">
        <x:v>0.77</x:v>
      </x:c>
      <x:c r="Y516" s="62">
        <x:v>0</x:v>
      </x:c>
      <x:c r="Z516" s="62">
        <x:v>1.05</x:v>
      </x:c>
      <x:c r="AA516" s="62">
        <x:v>0</x:v>
      </x:c>
      <x:c r="AB516" s="62">
        <x:v>0.77</x:v>
      </x:c>
      <x:c r="AC516" s="62">
        <x:v>1.03</x:v>
      </x:c>
      <x:c r="AD516" s="60">
        <x:v>2.4</x:v>
      </x:c>
      <x:c r="AE516" s="60">
        <x:v>3.09</x:v>
      </x:c>
      <x:c r="AF516" s="60">
        <x:v>2.91</x:v>
      </x:c>
      <x:c r="AG516" s="62">
        <x:v>0.0839338738197712</x:v>
      </x:c>
      <x:c r="AH516" s="62">
        <x:v>0.0339338738197712</x:v>
      </x:c>
      <x:c r="AI516" s="62">
        <x:v>0.384402293101458</x:v>
      </x:c>
      <x:c r="AJ516" s="62">
        <x:v>0.298564887845793</x:v>
      </x:c>
      <x:c r="AK516" s="62">
        <x:v>0.317032819052749</x:v>
      </x:c>
      <x:c r="AL516" s="62">
        <x:v>1.12</x:v>
      </x:c>
      <x:c r="AM516" s="62">
        <x:v>0.99</x:v>
      </x:c>
      <x:c r="AN516" s="62">
        <x:v>0.000605126317125963</x:v>
      </x:c>
      <x:c r="AO516" s="62">
        <x:v>1.21434419966001</x:v>
      </x:c>
      <x:c r="AP516" s="62">
        <x:v>-0.18434419966001</x:v>
      </x:c>
      <x:c r="AQ516" s="62" t="s">
        <x:v>99</x:v>
      </x:c>
      <x:c r="AR516" s="49">
        <x:v>-0.25</x:v>
      </x:c>
      <x:c r="AS516" s="62">
        <x:v>0.3843454354014</x:v>
      </x:c>
      <x:c r="AT516" s="62">
        <x:v>0.466727650145492</x:v>
      </x:c>
      <x:c r="AU516" s="60">
        <x:v>2.26</x:v>
      </x:c>
      <x:c r="AV516" s="60">
        <x:v>3.13</x:v>
      </x:c>
      <x:c r="AW516" s="60">
        <x:v>3.17</x:v>
      </x:c>
      <x:c r="AX516" s="49" t="s">
        <x:v>1890</x:v>
      </x:c>
      <x:c r="AY516" s="49" t="s">
        <x:v>2093</x:v>
      </x:c>
    </x:row>
    <x:row r="517" ht="22" customHeight="1">
      <x:c r="A517" s="49" t="s">
        <x:v>2087</x:v>
      </x:c>
      <x:c r="B517" s="49" t="s">
        <x:v>2119</x:v>
      </x:c>
      <x:c r="C517" s="49" t="s">
        <x:v>89</x:v>
      </x:c>
      <x:c r="D517" s="49" t="s">
        <x:v>116</x:v>
      </x:c>
      <x:c r="E517" s="49" t="s">
        <x:v>1479</x:v>
      </x:c>
      <x:c r="F517" s="49" t="s">
        <x:v>2123</x:v>
      </x:c>
      <x:c r="G517" s="60">
        <x:v>0.9</x:v>
      </x:c>
      <x:c r="H517" s="60">
        <x:v>0.75</x:v>
      </x:c>
      <x:c r="I517" s="60">
        <x:v>0.98</x:v>
      </x:c>
      <x:c r="J517" s="49" t="s">
        <x:v>2124</x:v>
      </x:c>
      <x:c r="K517" s="49" t="s">
        <x:v>132</x:v>
      </x:c>
      <x:c r="L517" s="49" t="s">
        <x:v>2125</x:v>
      </x:c>
      <x:c r="M517" s="61">
        <x:v>0.555</x:v>
      </x:c>
      <x:c r="N517" s="49" t="s">
        <x:v>1888</x:v>
      </x:c>
      <x:c r="O517" s="49" t="s">
        <x:v>2126</x:v>
      </x:c>
      <x:c r="P517" s="49" t="s">
        <x:v>30</x:v>
      </x:c>
      <x:c r="Q517" s="64" t="s">
        <x:v>23</x:v>
      </x:c>
      <x:c r="R517" s="50">
        <x:v>0.98</x:v>
      </x:c>
      <x:c r="S517" s="50">
        <x:f t="shared" si="36"/>
        <x:v>-1</x:v>
      </x:c>
      <x:c r="T517" s="49" t="s">
        <x:v>2127</x:v>
      </x:c>
      <x:c r="U517" s="49" t="str">
        <x:f t="shared" si="34"/>
        <x:v>红</x:v>
      </x:c>
      <x:c r="V517" s="50">
        <x:f t="shared" si="35"/>
        <x:v>0.9</x:v>
      </x:c>
      <x:c r="W517" s="50">
        <x:f t="shared" si="37"/>
        <x:v>0.9</x:v>
      </x:c>
      <x:c r="X517" s="62">
        <x:v>0.99</x:v>
      </x:c>
      <x:c r="Y517" s="62">
        <x:v>1</x:v>
      </x:c>
      <x:c r="Z517" s="62">
        <x:v>0.83</x:v>
      </x:c>
      <x:c r="AA517" s="62">
        <x:v>1</x:v>
      </x:c>
      <x:c r="AB517" s="62">
        <x:v>0.83</x:v>
      </x:c>
      <x:c r="AC517" s="62">
        <x:v>0.98</x:v>
      </x:c>
      <x:c r="AD517" s="60">
        <x:v>1.56</x:v>
      </x:c>
      <x:c r="AE517" s="60">
        <x:v>4.21</x:v>
      </x:c>
      <x:c r="AF517" s="60">
        <x:v>4.62</x:v>
      </x:c>
      <x:c r="AG517" s="62">
        <x:v>0.0950055486872587</x:v>
      </x:c>
      <x:c r="AH517" s="62">
        <x:v>0.0450055486872587</x:v>
      </x:c>
      <x:c r="AI517" s="62">
        <x:v>0.585408577878104</x:v>
      </x:c>
      <x:c r="AJ517" s="62">
        <x:v>0.216920993227991</x:v>
      </x:c>
      <x:c r="AK517" s="62">
        <x:v>0.197670428893905</x:v>
      </x:c>
      <x:c r="AL517" s="62">
        <x:v>1.95</x:v>
      </x:c>
      <x:c r="AM517" s="62">
        <x:v>1.04</x:v>
      </x:c>
      <x:c r="AN517" s="62">
        <x:v>0.000275435939895857</x:v>
      </x:c>
      <x:c r="AO517" s="62">
        <x:v>1.12596722901853</x:v>
      </x:c>
      <x:c r="AP517" s="62">
        <x:v>-0.145967229018528</x:v>
      </x:c>
      <x:c r="AQ517" s="62" t="s">
        <x:v>289</x:v>
      </x:c>
      <x:c r="AR517" s="49">
        <x:v>0.75</x:v>
      </x:c>
      <x:c r="AS517" s="62">
        <x:v>0.414540959735935</x:v>
      </x:c>
      <x:c r="AT517" s="62">
        <x:v>0.466759535748552</x:v>
      </x:c>
      <x:c r="AU517" s="60">
        <x:v>1.66</x:v>
      </x:c>
      <x:c r="AV517" s="60">
        <x:v>3.97</x:v>
      </x:c>
      <x:c r="AW517" s="60">
        <x:v>4.31</x:v>
      </x:c>
      <x:c r="AX517" s="49" t="s">
        <x:v>1890</x:v>
      </x:c>
      <x:c r="AY517" s="49" t="s">
        <x:v>2093</x:v>
      </x:c>
    </x:row>
    <x:row r="518" ht="22" customHeight="1">
      <x:c r="A518" s="49" t="s">
        <x:v>2087</x:v>
      </x:c>
      <x:c r="B518" s="49" t="s">
        <x:v>2119</x:v>
      </x:c>
      <x:c r="C518" s="49" t="s">
        <x:v>89</x:v>
      </x:c>
      <x:c r="D518" s="49" t="s">
        <x:v>116</x:v>
      </x:c>
      <x:c r="E518" s="49" t="s">
        <x:v>1479</x:v>
      </x:c>
      <x:c r="F518" s="49" t="s">
        <x:v>2128</x:v>
      </x:c>
      <x:c r="G518" s="60">
        <x:v>0.86</x:v>
      </x:c>
      <x:c r="H518" s="60">
        <x:v>0.5</x:v>
      </x:c>
      <x:c r="I518" s="60">
        <x:v>1.02</x:v>
      </x:c>
      <x:c r="J518" s="49" t="s">
        <x:v>158</x:v>
      </x:c>
      <x:c r="K518" s="49" t="s">
        <x:v>132</x:v>
      </x:c>
      <x:c r="L518" s="49" t="s">
        <x:v>2129</x:v>
      </x:c>
      <x:c r="M518" s="61">
        <x:v>0.555</x:v>
      </x:c>
      <x:c r="N518" s="49" t="s">
        <x:v>1888</x:v>
      </x:c>
      <x:c r="O518" s="49" t="s">
        <x:v>231</x:v>
      </x:c>
      <x:c r="P518" s="49" t="s">
        <x:v>30</x:v>
      </x:c>
      <x:c r="Q518" s="64" t="s">
        <x:v>23</x:v>
      </x:c>
      <x:c r="R518" s="50">
        <x:v>1.02</x:v>
      </x:c>
      <x:c r="S518" s="50">
        <x:f t="shared" si="36"/>
        <x:v>-1</x:v>
      </x:c>
      <x:c r="T518" s="49" t="s">
        <x:v>2130</x:v>
      </x:c>
      <x:c r="U518" s="49" t="str">
        <x:f t="shared" si="34"/>
        <x:v>红</x:v>
      </x:c>
      <x:c r="V518" s="50">
        <x:f t="shared" si="35"/>
        <x:v>0.86</x:v>
      </x:c>
      <x:c r="W518" s="50">
        <x:f t="shared" si="37"/>
        <x:v>0.86</x:v>
      </x:c>
      <x:c r="X518" s="62">
        <x:v>0.82</x:v>
      </x:c>
      <x:c r="Y518" s="62">
        <x:v>0.75</x:v>
      </x:c>
      <x:c r="Z518" s="62">
        <x:v>1</x:v>
      </x:c>
      <x:c r="AA518" s="62">
        <x:v>0.75</x:v>
      </x:c>
      <x:c r="AB518" s="62">
        <x:v>1</x:v>
      </x:c>
      <x:c r="AC518" s="62">
        <x:v>1.02</x:v>
      </x:c>
      <x:c r="AD518" s="60">
        <x:v>1.65</x:v>
      </x:c>
      <x:c r="AE518" s="60">
        <x:v>4.07</x:v>
      </x:c>
      <x:c r="AF518" s="60">
        <x:v>4.08</x:v>
      </x:c>
      <x:c r="AG518" s="62">
        <x:v>0.096858890976538</x:v>
      </x:c>
      <x:c r="AH518" s="62">
        <x:v>0.046858890976538</x:v>
      </x:c>
      <x:c r="AI518" s="62">
        <x:v>0.552542000658834</x:v>
      </x:c>
      <x:c r="AJ518" s="62">
        <x:v>0.224003513780608</x:v>
      </x:c>
      <x:c r="AK518" s="62">
        <x:v>0.223454485560558</x:v>
      </x:c>
      <x:c r="AL518" s="62">
        <x:v>1.89</x:v>
      </x:c>
      <x:c r="AM518" s="62">
        <x:v>1.12</x:v>
      </x:c>
      <x:c r="AN518" s="62">
        <x:v>0.000606164058775307</x:v>
      </x:c>
      <x:c r="AO518" s="62">
        <x:v>1.23907226978118</x:v>
      </x:c>
      <x:c r="AP518" s="62">
        <x:v>-0.219072269781177</x:v>
      </x:c>
      <x:c r="AQ518" s="62" t="s">
        <x:v>289</x:v>
      </x:c>
      <x:c r="AR518" s="49">
        <x:v>0.5</x:v>
      </x:c>
      <x:c r="AS518" s="62">
        <x:v>0.446613543250093</x:v>
      </x:c>
      <x:c r="AT518" s="62">
        <x:v>0.553386456749907</x:v>
      </x:c>
      <x:c r="AU518" s="60">
        <x:v>1.76</x:v>
      </x:c>
      <x:c r="AV518" s="60">
        <x:v>4.04</x:v>
      </x:c>
      <x:c r="AW518" s="60">
        <x:v>3.7</x:v>
      </x:c>
      <x:c r="AX518" s="49" t="s">
        <x:v>1890</x:v>
      </x:c>
      <x:c r="AY518" s="49" t="s">
        <x:v>2093</x:v>
      </x:c>
    </x:row>
    <x:row r="519" ht="22" customHeight="1">
      <x:c r="A519" s="49" t="s">
        <x:v>2087</x:v>
      </x:c>
      <x:c r="B519" s="49" t="s">
        <x:v>2119</x:v>
      </x:c>
      <x:c r="C519" s="49" t="s">
        <x:v>89</x:v>
      </x:c>
      <x:c r="D519" s="49" t="s">
        <x:v>116</x:v>
      </x:c>
      <x:c r="E519" s="49" t="s">
        <x:v>1483</x:v>
      </x:c>
      <x:c r="F519" s="49" t="s">
        <x:v>2131</x:v>
      </x:c>
      <x:c r="G519" s="60">
        <x:v>0.82</x:v>
      </x:c>
      <x:c r="H519" s="60">
        <x:v>1</x:v>
      </x:c>
      <x:c r="I519" s="60">
        <x:v>1.07</x:v>
      </x:c>
      <x:c r="J519" s="49" t="s">
        <x:v>2105</x:v>
      </x:c>
      <x:c r="K519" s="49" t="s">
        <x:v>106</x:v>
      </x:c>
      <x:c r="L519" s="49" t="s">
        <x:v>2132</x:v>
      </x:c>
      <x:c r="M519" s="61">
        <x:v>0.576</x:v>
      </x:c>
      <x:c r="N519" s="49" t="s">
        <x:v>1888</x:v>
      </x:c>
      <x:c r="O519" s="49" t="s">
        <x:v>141</x:v>
      </x:c>
      <x:c r="P519" s="49" t="s">
        <x:v>30</x:v>
      </x:c>
      <x:c r="Q519" s="63" t="s">
        <x:v>11</x:v>
      </x:c>
      <x:c r="R519" s="50">
        <x:v>0.82</x:v>
      </x:c>
      <x:c r="S519" s="50">
        <x:f t="shared" si="36"/>
        <x:v>0.82</x:v>
      </x:c>
      <x:c r="T519" s="49" t="s">
        <x:v>2133</x:v>
      </x:c>
      <x:c r="U519" s="49" t="str">
        <x:f t="shared" si="34"/>
        <x:v>黑</x:v>
      </x:c>
      <x:c r="V519" s="50">
        <x:f t="shared" si="35"/>
        <x:v>1.07</x:v>
      </x:c>
      <x:c r="W519" s="50">
        <x:f t="shared" si="37"/>
        <x:v>-1</x:v>
      </x:c>
      <x:c r="X519" s="62">
        <x:v>0.84</x:v>
      </x:c>
      <x:c r="Y519" s="62">
        <x:v>0.75</x:v>
      </x:c>
      <x:c r="Z519" s="62">
        <x:v>1.04</x:v>
      </x:c>
      <x:c r="AA519" s="62">
        <x:v>-0.75</x:v>
      </x:c>
      <x:c r="AB519" s="62">
        <x:v>0.84</x:v>
      </x:c>
      <x:c r="AC519" s="62">
        <x:v>0.82</x:v>
      </x:c>
      <x:c r="AD519" s="60">
        <x:v>1.62</x:v>
      </x:c>
      <x:c r="AE519" s="60">
        <x:v>4.15</x:v>
      </x:c>
      <x:c r="AF519" s="60">
        <x:v>4.56</x:v>
      </x:c>
      <x:c r="AG519" s="62">
        <x:v>0.0775460516530058</x:v>
      </x:c>
      <x:c r="AH519" s="62">
        <x:v>0.0275460516530058</x:v>
      </x:c>
      <x:c r="AI519" s="62">
        <x:v>0.572860853297492</x:v>
      </x:c>
      <x:c r="AJ519" s="62">
        <x:v>0.223622790925768</x:v>
      </x:c>
      <x:c r="AK519" s="62">
        <x:v>0.20351635577674</x:v>
      </x:c>
      <x:c r="AL519" s="62">
        <x:v>1.87</x:v>
      </x:c>
      <x:c r="AM519" s="62">
        <x:v>1.02</x:v>
      </x:c>
      <x:c r="AN519" s="62">
        <x:v>0.000425542794860326</x:v>
      </x:c>
      <x:c r="AO519" s="62">
        <x:v>1.28544862420536</x:v>
      </x:c>
      <x:c r="AP519" s="62">
        <x:v>-0.465448624205363</x:v>
      </x:c>
      <x:c r="AQ519" s="62" t="s">
        <x:v>99</x:v>
      </x:c>
      <x:c r="AR519" s="49">
        <x:v>-1</x:v>
      </x:c>
      <x:c r="AS519" s="62">
        <x:v>0.332508081118513</x:v>
      </x:c>
      <x:c r="AT519" s="62">
        <x:v>0.427422055410958</x:v>
      </x:c>
      <x:c r="AU519" s="60">
        <x:v>1.56</x:v>
      </x:c>
      <x:c r="AV519" s="60">
        <x:v>4.33</x:v>
      </x:c>
      <x:c r="AW519" s="60">
        <x:v>5.15</x:v>
      </x:c>
      <x:c r="AX519" s="49" t="s">
        <x:v>1890</x:v>
      </x:c>
      <x:c r="AY519" s="49" t="s">
        <x:v>2093</x:v>
      </x:c>
    </x:row>
    <x:row r="520" ht="22" customHeight="1">
      <x:c r="A520" s="49" t="s">
        <x:v>2087</x:v>
      </x:c>
      <x:c r="B520" s="49" t="s">
        <x:v>2134</x:v>
      </x:c>
      <x:c r="C520" s="49" t="s">
        <x:v>89</x:v>
      </x:c>
      <x:c r="D520" s="49" t="s">
        <x:v>116</x:v>
      </x:c>
      <x:c r="E520" s="49" t="s">
        <x:v>1682</x:v>
      </x:c>
      <x:c r="F520" s="49" t="s">
        <x:v>2135</x:v>
      </x:c>
      <x:c r="G520" s="60">
        <x:v>0.8</x:v>
      </x:c>
      <x:c r="H520" s="60">
        <x:v>0.25</x:v>
      </x:c>
      <x:c r="I520" s="60">
        <x:v>1.02</x:v>
      </x:c>
      <x:c r="J520" s="49" t="s">
        <x:v>2136</x:v>
      </x:c>
      <x:c r="K520" s="49" t="s">
        <x:v>106</x:v>
      </x:c>
      <x:c r="L520" s="49" t="s">
        <x:v>2137</x:v>
      </x:c>
      <x:c r="M520" s="61">
        <x:v>0.576</x:v>
      </x:c>
      <x:c r="N520" s="49" t="s">
        <x:v>1888</x:v>
      </x:c>
      <x:c r="O520" s="49" t="s">
        <x:v>231</x:v>
      </x:c>
      <x:c r="P520" s="49" t="s">
        <x:v>30</x:v>
      </x:c>
      <x:c r="Q520" s="63" t="s">
        <x:v>11</x:v>
      </x:c>
      <x:c r="R520" s="50">
        <x:v>0.8</x:v>
      </x:c>
      <x:c r="S520" s="50">
        <x:f t="shared" si="36"/>
        <x:v>0.8</x:v>
      </x:c>
      <x:c r="T520" s="49" t="s">
        <x:v>2138</x:v>
      </x:c>
      <x:c r="U520" s="49" t="str">
        <x:f t="shared" si="34"/>
        <x:v>黑</x:v>
      </x:c>
      <x:c r="V520" s="50">
        <x:f t="shared" si="35"/>
        <x:v>1.02</x:v>
      </x:c>
      <x:c r="W520" s="50">
        <x:f t="shared" si="37"/>
        <x:v>-1</x:v>
      </x:c>
      <x:c r="X520" s="62">
        <x:v>1.02</x:v>
      </x:c>
      <x:c r="Y520" s="62">
        <x:v>0.25</x:v>
      </x:c>
      <x:c r="Z520" s="62">
        <x:v>0.8</x:v>
      </x:c>
      <x:c r="AA520" s="62">
        <x:v>-0.25</x:v>
      </x:c>
      <x:c r="AB520" s="62">
        <x:v>1.02</x:v>
      </x:c>
      <x:c r="AC520" s="62">
        <x:v>0.8</x:v>
      </x:c>
      <x:c r="AD520" s="60">
        <x:v>2.18</x:v>
      </x:c>
      <x:c r="AE520" s="60">
        <x:v>3.6</x:v>
      </x:c>
      <x:c r="AF520" s="60">
        <x:v>2.74</x:v>
      </x:c>
      <x:c r="AG520" s="62">
        <x:v>0.101456877757688</x:v>
      </x:c>
      <x:c r="AH520" s="62">
        <x:v>0.0514568777576881</x:v>
      </x:c>
      <x:c r="AI520" s="62">
        <x:v>0.416462601117998</x:v>
      </x:c>
      <x:c r="AJ520" s="62">
        <x:v>0.252191241788121</x:v>
      </x:c>
      <x:c r="AK520" s="62">
        <x:v>0.331346157093881</x:v>
      </x:c>
      <x:c r="AL520" s="62">
        <x:v>1.49</x:v>
      </x:c>
      <x:c r="AM520" s="62">
        <x:v>1.3</x:v>
      </x:c>
      <x:c r="AN520" s="62">
        <x:v>0.000449945287771114</x:v>
      </x:c>
      <x:c r="AO520" s="62">
        <x:v>1.09550387738149</x:v>
      </x:c>
      <x:c r="AP520" s="62">
        <x:v>-0.295503877381493</x:v>
      </x:c>
      <x:c r="AQ520" s="62" t="s">
        <x:v>99</x:v>
      </x:c>
      <x:c r="AR520" s="49">
        <x:v>-0.25</x:v>
      </x:c>
      <x:c r="AS520" s="62">
        <x:v>0.417076254576021</x:v>
      </x:c>
      <x:c r="AT520" s="62">
        <x:v>0.456908654051781</x:v>
      </x:c>
      <x:c r="AU520" s="60">
        <x:v>2.11</x:v>
      </x:c>
      <x:c r="AV520" s="60">
        <x:v>3.65</x:v>
      </x:c>
      <x:c r="AW520" s="60">
        <x:v>2.87</x:v>
      </x:c>
      <x:c r="AX520" s="49" t="s">
        <x:v>1890</x:v>
      </x:c>
      <x:c r="AY520" s="49" t="s">
        <x:v>2093</x:v>
      </x:c>
    </x:row>
    <x:row r="521" ht="22" customHeight="1">
      <x:c r="A521" s="49" t="s">
        <x:v>2087</x:v>
      </x:c>
      <x:c r="B521" s="49" t="s">
        <x:v>2139</x:v>
      </x:c>
      <x:c r="C521" s="49" t="s">
        <x:v>333</x:v>
      </x:c>
      <x:c r="D521" s="49" t="s">
        <x:v>116</x:v>
      </x:c>
      <x:c r="E521" s="49" t="s">
        <x:v>597</x:v>
      </x:c>
      <x:c r="F521" s="49" t="s">
        <x:v>2140</x:v>
      </x:c>
      <x:c r="G521" s="60">
        <x:v>1.01</x:v>
      </x:c>
      <x:c r="H521" s="60">
        <x:v>3.75</x:v>
      </x:c>
      <x:c r="I521" s="60">
        <x:v>0.88</x:v>
      </x:c>
      <x:c r="J521" s="49" t="s">
        <x:v>2141</x:v>
      </x:c>
      <x:c r="K521" s="49" t="s">
        <x:v>189</x:v>
      </x:c>
      <x:c r="L521" s="49" t="s">
        <x:v>406</x:v>
      </x:c>
      <x:c r="M521" s="61">
        <x:v>0.529</x:v>
      </x:c>
      <x:c r="N521" s="49" t="s">
        <x:v>1888</x:v>
      </x:c>
      <x:c r="O521" s="49" t="s">
        <x:v>2142</x:v>
      </x:c>
      <x:c r="P521" s="49" t="s">
        <x:v>30</x:v>
      </x:c>
      <x:c r="Q521" s="63" t="s">
        <x:v>11</x:v>
      </x:c>
      <x:c r="R521" s="50">
        <x:v>1.01</x:v>
      </x:c>
      <x:c r="S521" s="50">
        <x:f t="shared" si="36"/>
        <x:v>1.01</x:v>
      </x:c>
      <x:c r="T521" s="49" t="s">
        <x:v>2143</x:v>
      </x:c>
      <x:c r="U521" s="49" t="str">
        <x:f t="shared" si="34"/>
        <x:v>黑</x:v>
      </x:c>
      <x:c r="V521" s="50">
        <x:f t="shared" si="35"/>
        <x:v>0.88</x:v>
      </x:c>
      <x:c r="W521" s="50">
        <x:f t="shared" si="37"/>
        <x:v>-1</x:v>
      </x:c>
      <x:c r="X521" s="62">
        <x:v>1.02</x:v>
      </x:c>
      <x:c r="Y521" s="62">
        <x:v>2.75</x:v>
      </x:c>
      <x:c r="Z521" s="62">
        <x:v>0.86</x:v>
      </x:c>
      <x:c r="AA521" s="62">
        <x:v>-2.75</x:v>
      </x:c>
      <x:c r="AB521" s="62">
        <x:v>1.02</x:v>
      </x:c>
      <x:c r="AC521" s="62">
        <x:v>1.01</x:v>
      </x:c>
      <x:c r="AD521" s="60">
        <x:v>1.09</x:v>
      </x:c>
      <x:c r="AE521" s="60">
        <x:v>10.91</x:v>
      </x:c>
      <x:c r="AF521" s="60">
        <x:v>19.5</x:v>
      </x:c>
      <x:c r="AG521" s="62">
        <x:v>0.0603722723569005</x:v>
      </x:c>
      <x:c r="AH521" s="62">
        <x:v>0.0103722723569005</x:v>
      </x:c>
      <x:c r="AI521" s="62">
        <x:v>0.865197267579778</x:v>
      </x:c>
      <x:c r="AJ521" s="62">
        <x:v>0.0864404236170447</x:v>
      </x:c>
      <x:c r="AK521" s="62">
        <x:v>0.0483623088031773</x:v>
      </x:c>
      <x:c r="AL521" s="62">
        <x:v>3.58</x:v>
      </x:c>
      <x:c r="AM521" s="62">
        <x:v>0.84</x:v>
      </x:c>
      <x:c r="AN521" s="62">
        <x:v>0.000160207216532916</x:v>
      </x:c>
      <x:c r="AO521" s="62">
        <x:v>2.48469829966538</x:v>
      </x:c>
      <x:c r="AP521" s="62">
        <x:v>-1.47469829966538</x:v>
      </x:c>
      <x:c r="AQ521" s="62" t="s">
        <x:v>99</x:v>
      </x:c>
      <x:c r="AR521" s="49">
        <x:v>-3.75</x:v>
      </x:c>
      <x:c r="AS521" s="62">
        <x:v>0.265979132713862</x:v>
      </x:c>
      <x:c r="AT521" s="62">
        <x:v>0.660877898800604</x:v>
      </x:c>
      <x:c r="AU521" s="60">
        <x:v>1.05</x:v>
      </x:c>
      <x:c r="AV521" s="60">
        <x:v>15.46</x:v>
      </x:c>
      <x:c r="AW521" s="60">
        <x:v>30.8</x:v>
      </x:c>
      <x:c r="AX521" s="49" t="s">
        <x:v>1890</x:v>
      </x:c>
      <x:c r="AY521" s="49" t="s">
        <x:v>2093</x:v>
      </x:c>
    </x:row>
    <x:row r="522" ht="22" customHeight="1">
      <x:c r="A522" s="49" t="s">
        <x:v>2087</x:v>
      </x:c>
      <x:c r="B522" s="49" t="s">
        <x:v>2139</x:v>
      </x:c>
      <x:c r="C522" s="49" t="s">
        <x:v>333</x:v>
      </x:c>
      <x:c r="D522" s="49" t="s">
        <x:v>116</x:v>
      </x:c>
      <x:c r="E522" s="49" t="s">
        <x:v>865</x:v>
      </x:c>
      <x:c r="F522" s="49" t="s">
        <x:v>2144</x:v>
      </x:c>
      <x:c r="G522" s="60">
        <x:v>1.12</x:v>
      </x:c>
      <x:c r="H522" s="60">
        <x:v>0.25</x:v>
      </x:c>
      <x:c r="I522" s="60">
        <x:v>0.78</x:v>
      </x:c>
      <x:c r="J522" s="49" t="s">
        <x:v>2145</x:v>
      </x:c>
      <x:c r="K522" s="49" t="s">
        <x:v>189</x:v>
      </x:c>
      <x:c r="L522" s="49" t="s">
        <x:v>2146</x:v>
      </x:c>
      <x:c r="M522" s="61">
        <x:v>0.529</x:v>
      </x:c>
      <x:c r="N522" s="49" t="s">
        <x:v>1888</x:v>
      </x:c>
      <x:c r="O522" s="49" t="s">
        <x:v>169</x:v>
      </x:c>
      <x:c r="P522" s="49" t="s">
        <x:v>30</x:v>
      </x:c>
      <x:c r="Q522" s="64" t="s">
        <x:v>23</x:v>
      </x:c>
      <x:c r="R522" s="50">
        <x:v>1.12</x:v>
      </x:c>
      <x:c r="S522" s="50">
        <x:f t="shared" si="36"/>
        <x:v>-1</x:v>
      </x:c>
      <x:c r="T522" s="49" t="s">
        <x:v>2147</x:v>
      </x:c>
      <x:c r="U522" s="49" t="str">
        <x:f t="shared" si="34"/>
        <x:v>红</x:v>
      </x:c>
      <x:c r="V522" s="50">
        <x:f t="shared" si="35"/>
        <x:v>0.78</x:v>
      </x:c>
      <x:c r="W522" s="50">
        <x:f t="shared" si="37"/>
        <x:v>0.78</x:v>
      </x:c>
      <x:c r="X522" s="62">
        <x:v>0.81</x:v>
      </x:c>
      <x:c r="Y522" s="62">
        <x:v>0</x:v>
      </x:c>
      <x:c r="Z522" s="62">
        <x:v>1.07</x:v>
      </x:c>
      <x:c r="AA522" s="62">
        <x:v>0</x:v>
      </x:c>
      <x:c r="AB522" s="62">
        <x:v>0.81</x:v>
      </x:c>
      <x:c r="AC522" s="62">
        <x:v>1.12</x:v>
      </x:c>
      <x:c r="AD522" s="60">
        <x:v>2.3</x:v>
      </x:c>
      <x:c r="AE522" s="60">
        <x:v>3.44</x:v>
      </x:c>
      <x:c r="AF522" s="60">
        <x:v>2.78</x:v>
      </x:c>
      <x:c r="AG522" s="62">
        <x:v>0.0851925133300842</x:v>
      </x:c>
      <x:c r="AH522" s="62">
        <x:v>0.0351925133300841</x:v>
      </x:c>
      <x:c r="AI522" s="62">
        <x:v>0.400650210312872</x:v>
      </x:c>
      <x:c r="AJ522" s="62">
        <x:v>0.267876594104536</x:v>
      </x:c>
      <x:c r="AK522" s="62">
        <x:v>0.331473195582592</x:v>
      </x:c>
      <x:c r="AL522" s="62">
        <x:v>1.34</x:v>
      </x:c>
      <x:c r="AM522" s="62">
        <x:v>1.19</x:v>
      </x:c>
      <x:c r="AN522" s="62">
        <x:v>0.000886940285684499</x:v>
      </x:c>
      <x:c r="AO522" s="62">
        <x:v>1.15567698778415</x:v>
      </x:c>
      <x:c r="AP522" s="62">
        <x:v>-0.0356769877841496</x:v>
      </x:c>
      <x:c r="AQ522" s="62" t="s">
        <x:v>174</x:v>
      </x:c>
      <x:c r="AR522" s="49">
        <x:v>-0.25</x:v>
      </x:c>
      <x:c r="AS522" s="62">
        <x:v>0.401904530880675</x:v>
      </x:c>
      <x:c r="AT522" s="62">
        <x:v>0.46447181762498</x:v>
      </x:c>
      <x:c r="AU522" s="60">
        <x:v>2.34</x:v>
      </x:c>
      <x:c r="AV522" s="60">
        <x:v>3.52</x:v>
      </x:c>
      <x:c r="AW522" s="60">
        <x:v>2.74</x:v>
      </x:c>
      <x:c r="AX522" s="49" t="s">
        <x:v>1890</x:v>
      </x:c>
      <x:c r="AY522" s="49" t="s">
        <x:v>2093</x:v>
      </x:c>
    </x:row>
    <x:row r="523" ht="22" customHeight="1">
      <x:c r="A523" s="49" t="s">
        <x:v>2087</x:v>
      </x:c>
      <x:c r="B523" s="49" t="s">
        <x:v>2148</x:v>
      </x:c>
      <x:c r="C523" s="49" t="s">
        <x:v>333</x:v>
      </x:c>
      <x:c r="D523" s="49" t="s">
        <x:v>116</x:v>
      </x:c>
      <x:c r="E523" s="49" t="s">
        <x:v>602</x:v>
      </x:c>
      <x:c r="F523" s="49" t="s">
        <x:v>2149</x:v>
      </x:c>
      <x:c r="G523" s="60">
        <x:v>1.03</x:v>
      </x:c>
      <x:c r="H523" s="60">
        <x:v>0</x:v>
      </x:c>
      <x:c r="I523" s="60">
        <x:v>0.86</x:v>
      </x:c>
      <x:c r="J523" s="49" t="s">
        <x:v>782</x:v>
      </x:c>
      <x:c r="K523" s="49" t="s">
        <x:v>132</x:v>
      </x:c>
      <x:c r="L523" s="49" t="s">
        <x:v>2150</x:v>
      </x:c>
      <x:c r="M523" s="61">
        <x:v>0.559</x:v>
      </x:c>
      <x:c r="N523" s="49" t="s">
        <x:v>1888</x:v>
      </x:c>
      <x:c r="O523" s="49" t="s">
        <x:v>231</x:v>
      </x:c>
      <x:c r="P523" s="49" t="s">
        <x:v>30</x:v>
      </x:c>
      <x:c r="Q523" s="64" t="s">
        <x:v>23</x:v>
      </x:c>
      <x:c r="R523" s="50">
        <x:v>0.86</x:v>
      </x:c>
      <x:c r="S523" s="50">
        <x:f t="shared" si="36"/>
        <x:v>-1</x:v>
      </x:c>
      <x:c r="T523" s="49" t="s">
        <x:v>2151</x:v>
      </x:c>
      <x:c r="U523" s="49" t="str">
        <x:f t="shared" si="34"/>
        <x:v>红</x:v>
      </x:c>
      <x:c r="V523" s="50">
        <x:f t="shared" si="35"/>
        <x:v>1.03</x:v>
      </x:c>
      <x:c r="W523" s="50">
        <x:f t="shared" si="37"/>
        <x:v>1.03</x:v>
      </x:c>
      <x:c r="X523" s="62">
        <x:v>0.79</x:v>
      </x:c>
      <x:c r="Y523" s="62">
        <x:v>-0.25</x:v>
      </x:c>
      <x:c r="Z523" s="62">
        <x:v>1.09</x:v>
      </x:c>
      <x:c r="AA523" s="62">
        <x:v>-0.25</x:v>
      </x:c>
      <x:c r="AB523" s="62">
        <x:v>1.09</x:v>
      </x:c>
      <x:c r="AC523" s="62">
        <x:v>0.86</x:v>
      </x:c>
      <x:c r="AD523" s="60">
        <x:v>2.85</x:v>
      </x:c>
      <x:c r="AE523" s="60">
        <x:v>3.34</x:v>
      </x:c>
      <x:c r="AF523" s="60">
        <x:v>2.41</x:v>
      </x:c>
      <x:c r="AG523" s="62">
        <x:v>0.0652161499233461</x:v>
      </x:c>
      <x:c r="AH523" s="62">
        <x:v>0.0152161499233461</x:v>
      </x:c>
      <x:c r="AI523" s="62">
        <x:v>0.329395299731144</x:v>
      </x:c>
      <x:c r="AJ523" s="62">
        <x:v>0.281070839590946</x:v>
      </x:c>
      <x:c r="AK523" s="62">
        <x:v>0.389533860677909</x:v>
      </x:c>
      <x:c r="AL523" s="62">
        <x:v>1.1</x:v>
      </x:c>
      <x:c r="AM523" s="62">
        <x:v>1.22</x:v>
      </x:c>
      <x:c r="AN523" s="62">
        <x:v>0.000582315692178019</x:v>
      </x:c>
      <x:c r="AO523" s="62">
        <x:v>0.848155462933069</x:v>
      </x:c>
      <x:c r="AP523" s="62">
        <x:v>0.0118445370669309</x:v>
      </x:c>
      <x:c r="AQ523" s="62" t="s">
        <x:v>174</x:v>
      </x:c>
      <x:c r="AR523" s="49">
        <x:v>0</x:v>
      </x:c>
      <x:c r="AS523" s="62">
        <x:v>0.388719761447557</x:v>
      </x:c>
      <x:c r="AT523" s="62">
        <x:v>0.329694789221785</x:v>
      </x:c>
      <x:c r="AU523" s="60">
        <x:v>2.8</x:v>
      </x:c>
      <x:c r="AV523" s="60">
        <x:v>3.41</x:v>
      </x:c>
      <x:c r="AW523" s="60">
        <x:v>2.47</x:v>
      </x:c>
      <x:c r="AX523" s="49" t="s">
        <x:v>1890</x:v>
      </x:c>
      <x:c r="AY523" s="49" t="s">
        <x:v>2093</x:v>
      </x:c>
    </x:row>
    <x:row r="524" ht="22" customHeight="1">
      <x:c r="A524" s="49" t="s">
        <x:v>2087</x:v>
      </x:c>
      <x:c r="B524" s="49" t="s">
        <x:v>2148</x:v>
      </x:c>
      <x:c r="C524" s="49" t="s">
        <x:v>333</x:v>
      </x:c>
      <x:c r="D524" s="49" t="s">
        <x:v>116</x:v>
      </x:c>
      <x:c r="E524" s="49" t="s">
        <x:v>532</x:v>
      </x:c>
      <x:c r="F524" s="49" t="s">
        <x:v>2152</x:v>
      </x:c>
      <x:c r="G524" s="60">
        <x:v>1.05</x:v>
      </x:c>
      <x:c r="H524" s="60">
        <x:v>0.5</x:v>
      </x:c>
      <x:c r="I524" s="60">
        <x:v>0.84</x:v>
      </x:c>
      <x:c r="J524" s="49" t="s">
        <x:v>2153</x:v>
      </x:c>
      <x:c r="K524" s="49" t="s">
        <x:v>189</x:v>
      </x:c>
      <x:c r="L524" s="49" t="s">
        <x:v>2154</x:v>
      </x:c>
      <x:c r="M524" s="61">
        <x:v>0.529</x:v>
      </x:c>
      <x:c r="N524" s="49" t="s">
        <x:v>1888</x:v>
      </x:c>
      <x:c r="O524" s="49" t="s">
        <x:v>231</x:v>
      </x:c>
      <x:c r="P524" s="49" t="s">
        <x:v>30</x:v>
      </x:c>
      <x:c r="Q524" s="63" t="s">
        <x:v>11</x:v>
      </x:c>
      <x:c r="R524" s="50">
        <x:v>1.05</x:v>
      </x:c>
      <x:c r="S524" s="50">
        <x:f t="shared" si="36"/>
        <x:v>1.05</x:v>
      </x:c>
      <x:c r="T524" s="49" t="s">
        <x:v>2155</x:v>
      </x:c>
      <x:c r="U524" s="49" t="str">
        <x:f t="shared" si="34"/>
        <x:v>黑</x:v>
      </x:c>
      <x:c r="V524" s="50">
        <x:f t="shared" si="35"/>
        <x:v>0.84</x:v>
      </x:c>
      <x:c r="W524" s="50">
        <x:f t="shared" si="37"/>
        <x:v>-1</x:v>
      </x:c>
      <x:c r="X524" s="62">
        <x:v>1.03</x:v>
      </x:c>
      <x:c r="Y524" s="62">
        <x:v>0.25</x:v>
      </x:c>
      <x:c r="Z524" s="62">
        <x:v>0.85</x:v>
      </x:c>
      <x:c r="AA524" s="62">
        <x:v>-0.25</x:v>
      </x:c>
      <x:c r="AB524" s="62">
        <x:v>1.03</x:v>
      </x:c>
      <x:c r="AC524" s="62">
        <x:v>1.05</x:v>
      </x:c>
      <x:c r="AD524" s="60">
        <x:v>2.24</x:v>
      </x:c>
      <x:c r="AE524" s="60">
        <x:v>3.64</x:v>
      </x:c>
      <x:c r="AF524" s="60">
        <x:v>2.89</x:v>
      </x:c>
      <x:c r="AG524" s="62">
        <x:v>0.0671746073995207</x:v>
      </x:c>
      <x:c r="AH524" s="62">
        <x:v>0.0171746073995207</x:v>
      </x:c>
      <x:c r="AI524" s="62">
        <x:v>0.418327580447612</x:v>
      </x:c>
      <x:c r="AJ524" s="62">
        <x:v>0.25743235719853</x:v>
      </x:c>
      <x:c r="AK524" s="62">
        <x:v>0.324240062353858</x:v>
      </x:c>
      <x:c r="AL524" s="62">
        <x:v>1.44</x:v>
      </x:c>
      <x:c r="AM524" s="62">
        <x:v>1.24</x:v>
      </x:c>
      <x:c r="AN524" s="62">
        <x:v>0.000762127508983635</x:v>
      </x:c>
      <x:c r="AO524" s="62">
        <x:v>1.39653356683971</x:v>
      </x:c>
      <x:c r="AP524" s="62">
        <x:v>-0.346533566839707</x:v>
      </x:c>
      <x:c r="AQ524" s="62" t="s">
        <x:v>99</x:v>
      </x:c>
      <x:c r="AR524" s="49">
        <x:v>-0.5</x:v>
      </x:c>
      <x:c r="AS524" s="62">
        <x:v>0.417269348460949</x:v>
      </x:c>
      <x:c r="AT524" s="62">
        <x:v>0.58273065153905</x:v>
      </x:c>
      <x:c r="AU524" s="60">
        <x:v>2.05</x:v>
      </x:c>
      <x:c r="AV524" s="60">
        <x:v>3.7</x:v>
      </x:c>
      <x:c r="AW524" s="60">
        <x:v>3.36</x:v>
      </x:c>
      <x:c r="AX524" s="49" t="s">
        <x:v>1890</x:v>
      </x:c>
      <x:c r="AY524" s="49" t="s">
        <x:v>2093</x:v>
      </x:c>
    </x:row>
    <x:row r="525" ht="22" customHeight="1">
      <x:c r="A525" s="49" t="s">
        <x:v>2087</x:v>
      </x:c>
      <x:c r="B525" s="49" t="s">
        <x:v>2156</x:v>
      </x:c>
      <x:c r="C525" s="49" t="s">
        <x:v>333</x:v>
      </x:c>
      <x:c r="D525" s="49" t="s">
        <x:v>116</x:v>
      </x:c>
      <x:c r="E525" s="49" t="s">
        <x:v>609</x:v>
      </x:c>
      <x:c r="F525" s="49" t="s">
        <x:v>2157</x:v>
      </x:c>
      <x:c r="G525" s="60">
        <x:v>1.07</x:v>
      </x:c>
      <x:c r="H525" s="60">
        <x:v>0</x:v>
      </x:c>
      <x:c r="I525" s="60">
        <x:v>0.82</x:v>
      </x:c>
      <x:c r="J525" s="49" t="s">
        <x:v>877</x:v>
      </x:c>
      <x:c r="K525" s="49" t="s">
        <x:v>106</x:v>
      </x:c>
      <x:c r="L525" s="49" t="s">
        <x:v>1648</x:v>
      </x:c>
      <x:c r="M525" s="61">
        <x:v>0.584</x:v>
      </x:c>
      <x:c r="N525" s="49" t="s">
        <x:v>1888</x:v>
      </x:c>
      <x:c r="O525" s="49" t="s">
        <x:v>141</x:v>
      </x:c>
      <x:c r="P525" s="49" t="s">
        <x:v>30</x:v>
      </x:c>
      <x:c r="Q525" s="64" t="s">
        <x:v>23</x:v>
      </x:c>
      <x:c r="R525" s="50">
        <x:v>0.82</x:v>
      </x:c>
      <x:c r="S525" s="50">
        <x:f t="shared" si="36"/>
        <x:v>-1</x:v>
      </x:c>
      <x:c r="T525" s="49" t="s">
        <x:v>2158</x:v>
      </x:c>
      <x:c r="U525" s="49" t="str">
        <x:f t="shared" si="34"/>
        <x:v>红</x:v>
      </x:c>
      <x:c r="V525" s="50">
        <x:f t="shared" si="35"/>
        <x:v>1.07</x:v>
      </x:c>
      <x:c r="W525" s="50">
        <x:f t="shared" si="37"/>
        <x:v>1.07</x:v>
      </x:c>
      <x:c r="X525" s="62">
        <x:v>1.01</x:v>
      </x:c>
      <x:c r="Y525" s="62">
        <x:v>0</x:v>
      </x:c>
      <x:c r="Z525" s="62">
        <x:v>0.87</x:v>
      </x:c>
      <x:c r="AA525" s="62">
        <x:v>0</x:v>
      </x:c>
      <x:c r="AB525" s="62">
        <x:v>0.87</x:v>
      </x:c>
      <x:c r="AC525" s="62">
        <x:v>0.82</x:v>
      </x:c>
      <x:c r="AD525" s="60">
        <x:v>2.69</x:v>
      </x:c>
      <x:c r="AE525" s="60">
        <x:v>3.63</x:v>
      </x:c>
      <x:c r="AF525" s="60">
        <x:v>2.4</x:v>
      </x:c>
      <x:c r="AG525" s="62">
        <x:v>0.0638959722264894</x:v>
      </x:c>
      <x:c r="AH525" s="62">
        <x:v>0.0138959722264893</x:v>
      </x:c>
      <x:c r="AI525" s="62">
        <x:v>0.34942064036386</x:v>
      </x:c>
      <x:c r="AJ525" s="62">
        <x:v>0.258937058561648</x:v>
      </x:c>
      <x:c r="AK525" s="62">
        <x:v>0.391642301074492</x:v>
      </x:c>
      <x:c r="AL525" s="62">
        <x:v>1.3</x:v>
      </x:c>
      <x:c r="AM525" s="62">
        <x:v>1.39</x:v>
      </x:c>
      <x:c r="AN525" s="62">
        <x:v>0.000454904055515825</x:v>
      </x:c>
      <x:c r="AO525" s="62">
        <x:v>0.893927365862098</x:v>
      </x:c>
      <x:c r="AP525" s="62">
        <x:v>-0.0739273658620985</x:v>
      </x:c>
      <x:c r="AQ525" s="62" t="s">
        <x:v>150</x:v>
      </x:c>
      <x:c r="AR525" s="49">
        <x:v>0</x:v>
      </x:c>
      <x:c r="AS525" s="62">
        <x:v>0.391550715676963</x:v>
      </x:c>
      <x:c r="AT525" s="62">
        <x:v>0.350017899866527</x:v>
      </x:c>
      <x:c r="AU525" s="60">
        <x:v>2.71</x:v>
      </x:c>
      <x:c r="AV525" s="60">
        <x:v>3.77</x:v>
      </x:c>
      <x:c r="AW525" s="60">
        <x:v>2.39</x:v>
      </x:c>
      <x:c r="AX525" s="49" t="s">
        <x:v>1890</x:v>
      </x:c>
      <x:c r="AY525" s="49" t="s">
        <x:v>2093</x:v>
      </x:c>
    </x:row>
    <x:row r="526" ht="22" customHeight="1">
      <x:c r="A526" s="49" t="s">
        <x:v>2087</x:v>
      </x:c>
      <x:c r="B526" s="49" t="s">
        <x:v>2156</x:v>
      </x:c>
      <x:c r="C526" s="49" t="s">
        <x:v>333</x:v>
      </x:c>
      <x:c r="D526" s="49" t="s">
        <x:v>116</x:v>
      </x:c>
      <x:c r="E526" s="49" t="s">
        <x:v>613</x:v>
      </x:c>
      <x:c r="F526" s="49" t="s">
        <x:v>2159</x:v>
      </x:c>
      <x:c r="G526" s="60">
        <x:v>0.83</x:v>
      </x:c>
      <x:c r="H526" s="60">
        <x:v>0.5</x:v>
      </x:c>
      <x:c r="I526" s="60">
        <x:v>1.06</x:v>
      </x:c>
      <x:c r="J526" s="49" t="s">
        <x:v>1017</x:v>
      </x:c>
      <x:c r="K526" s="49" t="s">
        <x:v>106</x:v>
      </x:c>
      <x:c r="L526" s="49" t="s">
        <x:v>2160</x:v>
      </x:c>
      <x:c r="M526" s="61">
        <x:v>0.584</x:v>
      </x:c>
      <x:c r="N526" s="49" t="s">
        <x:v>1888</x:v>
      </x:c>
      <x:c r="O526" s="49" t="s">
        <x:v>558</x:v>
      </x:c>
      <x:c r="P526" s="49" t="s">
        <x:v>30</x:v>
      </x:c>
      <x:c r="Q526" s="64" t="s">
        <x:v>23</x:v>
      </x:c>
      <x:c r="R526" s="50">
        <x:v>0.83</x:v>
      </x:c>
      <x:c r="S526" s="50">
        <x:f t="shared" si="36"/>
        <x:v>-1</x:v>
      </x:c>
      <x:c r="T526" s="49" t="s">
        <x:v>2161</x:v>
      </x:c>
      <x:c r="U526" s="49" t="str">
        <x:f t="shared" si="34"/>
        <x:v>红</x:v>
      </x:c>
      <x:c r="V526" s="50">
        <x:f t="shared" si="35"/>
        <x:v>1.06</x:v>
      </x:c>
      <x:c r="W526" s="50">
        <x:f t="shared" si="37"/>
        <x:v>1.06</x:v>
      </x:c>
      <x:c r="X526" s="62">
        <x:v>0.87</x:v>
      </x:c>
      <x:c r="Y526" s="62">
        <x:v>0.5</x:v>
      </x:c>
      <x:c r="Z526" s="62">
        <x:v>1.01</x:v>
      </x:c>
      <x:c r="AA526" s="62">
        <x:v>-0.5</x:v>
      </x:c>
      <x:c r="AB526" s="62">
        <x:v>0.87</x:v>
      </x:c>
      <x:c r="AC526" s="62">
        <x:v>0.83</x:v>
      </x:c>
      <x:c r="AD526" s="60">
        <x:v>1.96</x:v>
      </x:c>
      <x:c r="AE526" s="60">
        <x:v>3.29</x:v>
      </x:c>
      <x:c r="AF526" s="60">
        <x:v>4</x:v>
      </x:c>
      <x:c r="AG526" s="62">
        <x:v>0.0641554494138081</x:v>
      </x:c>
      <x:c r="AH526" s="62">
        <x:v>0.0141554494138081</x:v>
      </x:c>
      <x:c r="AI526" s="62">
        <x:v>0.479445067836377</x:v>
      </x:c>
      <x:c r="AJ526" s="62">
        <x:v>0.285626848923799</x:v>
      </x:c>
      <x:c r="AK526" s="62">
        <x:v>0.234928083239825</x:v>
      </x:c>
      <x:c r="AL526" s="62">
        <x:v>1.3</x:v>
      </x:c>
      <x:c r="AM526" s="62">
        <x:v>0.82</x:v>
      </x:c>
      <x:c r="AN526" s="62">
        <x:v>0.000910219747408212</x:v>
      </x:c>
      <x:c r="AO526" s="62">
        <x:v>1.09131549384148</x:v>
      </x:c>
      <x:c r="AP526" s="62">
        <x:v>-0.261315493841479</x:v>
      </x:c>
      <x:c r="AQ526" s="62" t="s">
        <x:v>99</x:v>
      </x:c>
      <x:c r="AR526" s="49">
        <x:v>-0.5</x:v>
      </x:c>
      <x:c r="AS526" s="62">
        <x:v>0.478167929681011</x:v>
      </x:c>
      <x:c r="AT526" s="62">
        <x:v>0.521832070318989</x:v>
      </x:c>
      <x:c r="AU526" s="60">
        <x:v>1.83</x:v>
      </x:c>
      <x:c r="AV526" s="60">
        <x:v>3.57</x:v>
      </x:c>
      <x:c r="AW526" s="60">
        <x:v>4.39</x:v>
      </x:c>
      <x:c r="AX526" s="49" t="s">
        <x:v>1890</x:v>
      </x:c>
      <x:c r="AY526" s="49" t="s">
        <x:v>2093</x:v>
      </x:c>
    </x:row>
    <x:row r="527" ht="22" customHeight="1">
      <x:c r="A527" s="49" t="s">
        <x:v>2162</x:v>
      </x:c>
      <x:c r="B527" s="49" t="s">
        <x:v>2163</x:v>
      </x:c>
      <x:c r="C527" s="49" t="s">
        <x:v>239</x:v>
      </x:c>
      <x:c r="D527" s="49" t="s">
        <x:v>116</x:v>
      </x:c>
      <x:c r="E527" s="49" t="s">
        <x:v>659</x:v>
      </x:c>
      <x:c r="F527" s="49" t="s">
        <x:v>2164</x:v>
      </x:c>
      <x:c r="G527" s="60">
        <x:v>0.98</x:v>
      </x:c>
      <x:c r="H527" s="60">
        <x:v>-0.5</x:v>
      </x:c>
      <x:c r="I527" s="60">
        <x:v>0.84</x:v>
      </x:c>
      <x:c r="J527" s="49" t="s">
        <x:v>2165</x:v>
      </x:c>
      <x:c r="K527" s="49" t="s">
        <x:v>106</x:v>
      </x:c>
      <x:c r="L527" s="49" t="s">
        <x:v>668</x:v>
      </x:c>
      <x:c r="M527" s="61">
        <x:v>0.579</x:v>
      </x:c>
      <x:c r="N527" s="49" t="s">
        <x:v>1888</x:v>
      </x:c>
      <x:c r="O527" s="49" t="s">
        <x:v>653</x:v>
      </x:c>
      <x:c r="P527" s="49" t="s">
        <x:v>30</x:v>
      </x:c>
      <x:c r="Q527" s="63" t="s">
        <x:v>11</x:v>
      </x:c>
      <x:c r="R527" s="50">
        <x:v>0.84</x:v>
      </x:c>
      <x:c r="S527" s="50">
        <x:f t="shared" si="36"/>
        <x:v>0.84</x:v>
      </x:c>
      <x:c r="T527" s="49" t="s">
        <x:v>2166</x:v>
      </x:c>
      <x:c r="U527" s="49" t="str">
        <x:f t="shared" si="34"/>
        <x:v>黑</x:v>
      </x:c>
      <x:c r="V527" s="50">
        <x:f t="shared" si="35"/>
        <x:v>0.98</x:v>
      </x:c>
      <x:c r="W527" s="50">
        <x:f t="shared" si="37"/>
        <x:v>-1</x:v>
      </x:c>
      <x:c r="X527" s="62">
        <x:v>0.9</x:v>
      </x:c>
      <x:c r="Y527" s="62">
        <x:v>-0.5</x:v>
      </x:c>
      <x:c r="Z527" s="62">
        <x:v>0.8</x:v>
      </x:c>
      <x:c r="AA527" s="62">
        <x:v>-0.5</x:v>
      </x:c>
      <x:c r="AB527" s="62">
        <x:v>0.8</x:v>
      </x:c>
      <x:c r="AC527" s="62">
        <x:v>0.84</x:v>
      </x:c>
      <x:c r="AD527" s="60">
        <x:v>3.6</x:v>
      </x:c>
      <x:c r="AE527" s="60">
        <x:v>3.56</x:v>
      </x:c>
      <x:c r="AF527" s="60">
        <x:v>1.83</x:v>
      </x:c>
      <x:c r="AG527" s="62">
        <x:v>0.105124741613966</x:v>
      </x:c>
      <x:c r="AH527" s="62">
        <x:v>0.0551247416139662</x:v>
      </x:c>
      <x:c r="AI527" s="62">
        <x:v>0.25135422936247</x:v>
      </x:c>
      <x:c r="AJ527" s="62">
        <x:v>0.254178434186768</x:v>
      </x:c>
      <x:c r="AK527" s="62">
        <x:v>0.494467336450762</x:v>
      </x:c>
      <x:c r="AL527" s="62">
        <x:v>1.03</x:v>
      </x:c>
      <x:c r="AM527" s="62">
        <x:v>1.55</x:v>
      </x:c>
      <x:c r="AN527" s="62">
        <x:v>0.000632943162643638</x:v>
      </x:c>
      <x:c r="AO527" s="62">
        <x:v>1.0260061039185</x:v>
      </x:c>
      <x:c r="AP527" s="62">
        <x:v>-0.186006103918503</x:v>
      </x:c>
      <x:c r="AQ527" s="62" t="s">
        <x:v>99</x:v>
      </x:c>
      <x:c r="AR527" s="49">
        <x:v>-0.5</x:v>
      </x:c>
      <x:c r="AS527" s="62">
        <x:v>0.493581928537085</x:v>
      </x:c>
      <x:c r="AT527" s="62">
        <x:v>0.506418071462915</x:v>
      </x:c>
      <x:c r="AU527" s="60">
        <x:v>3.58</x:v>
      </x:c>
      <x:c r="AV527" s="60">
        <x:v>3.64</x:v>
      </x:c>
      <x:c r="AW527" s="60">
        <x:v>1.83</x:v>
      </x:c>
      <x:c r="AX527" s="49" t="s">
        <x:v>1890</x:v>
      </x:c>
      <x:c r="AY527" s="49" t="s">
        <x:v>2093</x:v>
      </x:c>
    </x:row>
    <x:row r="528" ht="22" customHeight="1">
      <x:c r="A528" s="49" t="s">
        <x:v>2162</x:v>
      </x:c>
      <x:c r="B528" s="49" t="s">
        <x:v>2163</x:v>
      </x:c>
      <x:c r="C528" s="49" t="s">
        <x:v>239</x:v>
      </x:c>
      <x:c r="D528" s="49" t="s">
        <x:v>116</x:v>
      </x:c>
      <x:c r="E528" s="49" t="s">
        <x:v>659</x:v>
      </x:c>
      <x:c r="F528" s="49" t="s">
        <x:v>2167</x:v>
      </x:c>
      <x:c r="G528" s="60">
        <x:v>0.79</x:v>
      </x:c>
      <x:c r="H528" s="60">
        <x:v>0.25</x:v>
      </x:c>
      <x:c r="I528" s="60">
        <x:v>1.03</x:v>
      </x:c>
      <x:c r="J528" s="49" t="s">
        <x:v>2168</x:v>
      </x:c>
      <x:c r="K528" s="49" t="s">
        <x:v>106</x:v>
      </x:c>
      <x:c r="L528" s="49" t="s">
        <x:v>2169</x:v>
      </x:c>
      <x:c r="M528" s="61">
        <x:v>0.579</x:v>
      </x:c>
      <x:c r="N528" s="49" t="s">
        <x:v>1888</x:v>
      </x:c>
      <x:c r="O528" s="49" t="s">
        <x:v>197</x:v>
      </x:c>
      <x:c r="P528" s="49" t="s">
        <x:v>30</x:v>
      </x:c>
      <x:c r="Q528" s="63" t="s">
        <x:v>11</x:v>
      </x:c>
      <x:c r="R528" s="50">
        <x:v>0.79</x:v>
      </x:c>
      <x:c r="S528" s="50">
        <x:f t="shared" si="36"/>
        <x:v>0.79</x:v>
      </x:c>
      <x:c r="T528" s="49" t="s">
        <x:v>2170</x:v>
      </x:c>
      <x:c r="U528" s="49" t="str">
        <x:f t="shared" si="34"/>
        <x:v>黑</x:v>
      </x:c>
      <x:c r="V528" s="50">
        <x:f t="shared" si="35"/>
        <x:v>1.03</x:v>
      </x:c>
      <x:c r="W528" s="50">
        <x:f t="shared" si="37"/>
        <x:v>-1</x:v>
      </x:c>
      <x:c r="X528" s="62">
        <x:v>0.74</x:v>
      </x:c>
      <x:c r="Y528" s="62">
        <x:v>0.25</x:v>
      </x:c>
      <x:c r="Z528" s="62">
        <x:v>0.96</x:v>
      </x:c>
      <x:c r="AA528" s="62">
        <x:v>-0.25</x:v>
      </x:c>
      <x:c r="AB528" s="62">
        <x:v>0.74</x:v>
      </x:c>
      <x:c r="AC528" s="62">
        <x:v>0.79</x:v>
      </x:c>
      <x:c r="AD528" s="60">
        <x:v>1.99</x:v>
      </x:c>
      <x:c r="AE528" s="60">
        <x:v>3.34</x:v>
      </x:c>
      <x:c r="AF528" s="60">
        <x:v>3.29</x:v>
      </x:c>
      <x:c r="AG528" s="62">
        <x:v>0.105865128200016</x:v>
      </x:c>
      <x:c r="AH528" s="62">
        <x:v>0.0558651282000158</x:v>
      </x:c>
      <x:c r="AI528" s="62">
        <x:v>0.454406735504894</x:v>
      </x:c>
      <x:c r="AJ528" s="62">
        <x:v>0.270739342411599</x:v>
      </x:c>
      <x:c r="AK528" s="62">
        <x:v>0.274853922083507</x:v>
      </x:c>
      <x:c r="AL528" s="62">
        <x:v>1.38</x:v>
      </x:c>
      <x:c r="AM528" s="62">
        <x:v>1.01</x:v>
      </x:c>
      <x:c r="AN528" s="62">
        <x:v>0.000563097415582366</x:v>
      </x:c>
      <x:c r="AO528" s="62">
        <x:v>0.905153934050572</x:v>
      </x:c>
      <x:c r="AP528" s="62">
        <x:v>-0.115153934050572</x:v>
      </x:c>
      <x:c r="AQ528" s="62" t="s">
        <x:v>99</x:v>
      </x:c>
      <x:c r="AR528" s="49">
        <x:v>-0.25</x:v>
      </x:c>
      <x:c r="AS528" s="62">
        <x:v>0.453671503825965</x:v>
      </x:c>
      <x:c r="AT528" s="62">
        <x:v>0.410642546454712</x:v>
      </x:c>
      <x:c r="AU528" s="60">
        <x:v>2</x:v>
      </x:c>
      <x:c r="AV528" s="60">
        <x:v>3.36</x:v>
      </x:c>
      <x:c r="AW528" s="60">
        <x:v>3.34</x:v>
      </x:c>
      <x:c r="AX528" s="49" t="s">
        <x:v>1890</x:v>
      </x:c>
      <x:c r="AY528" s="49" t="s">
        <x:v>2093</x:v>
      </x:c>
    </x:row>
    <x:row r="529" ht="22" customHeight="1">
      <x:c r="A529" s="49" t="s">
        <x:v>2162</x:v>
      </x:c>
      <x:c r="B529" s="49" t="s">
        <x:v>2171</x:v>
      </x:c>
      <x:c r="C529" s="49" t="s">
        <x:v>89</x:v>
      </x:c>
      <x:c r="D529" s="49" t="s">
        <x:v>116</x:v>
      </x:c>
      <x:c r="E529" s="49" t="s">
        <x:v>307</x:v>
      </x:c>
      <x:c r="F529" s="49" t="s">
        <x:v>2172</x:v>
      </x:c>
      <x:c r="G529" s="60">
        <x:v>0.92</x:v>
      </x:c>
      <x:c r="H529" s="60">
        <x:v>-0.5</x:v>
      </x:c>
      <x:c r="I529" s="60">
        <x:v>0.78</x:v>
      </x:c>
      <x:c r="J529" s="49" t="s">
        <x:v>2173</x:v>
      </x:c>
      <x:c r="K529" s="49" t="s">
        <x:v>132</x:v>
      </x:c>
      <x:c r="L529" s="49" t="s">
        <x:v>2174</x:v>
      </x:c>
      <x:c r="M529" s="61">
        <x:v>0.555</x:v>
      </x:c>
      <x:c r="N529" s="49" t="s">
        <x:v>1888</x:v>
      </x:c>
      <x:c r="O529" s="49" t="s">
        <x:v>114</x:v>
      </x:c>
      <x:c r="P529" s="49" t="s">
        <x:v>30</x:v>
      </x:c>
      <x:c r="Q529" s="64" t="s">
        <x:v>23</x:v>
      </x:c>
      <x:c r="R529" s="50">
        <x:v>0.92</x:v>
      </x:c>
      <x:c r="S529" s="50">
        <x:f t="shared" si="36"/>
        <x:v>-1</x:v>
      </x:c>
      <x:c r="T529" s="49" t="s">
        <x:v>2175</x:v>
      </x:c>
      <x:c r="U529" s="49" t="str">
        <x:f t="shared" si="34"/>
        <x:v>红</x:v>
      </x:c>
      <x:c r="V529" s="50">
        <x:f t="shared" si="35"/>
        <x:v>0.78</x:v>
      </x:c>
      <x:c r="W529" s="50">
        <x:f t="shared" si="37"/>
        <x:v>0.78</x:v>
      </x:c>
      <x:c r="X529" s="62">
        <x:v>0.8</x:v>
      </x:c>
      <x:c r="Y529" s="62">
        <x:v>-0.75</x:v>
      </x:c>
      <x:c r="Z529" s="62">
        <x:v>0.9</x:v>
      </x:c>
      <x:c r="AA529" s="62">
        <x:v>0.75</x:v>
      </x:c>
      <x:c r="AB529" s="62">
        <x:v>0.8</x:v>
      </x:c>
      <x:c r="AC529" s="62">
        <x:v>0.92</x:v>
      </x:c>
      <x:c r="AD529" s="60">
        <x:v>3.75</x:v>
      </x:c>
      <x:c r="AE529" s="60">
        <x:v>4.01</x:v>
      </x:c>
      <x:c r="AF529" s="60">
        <x:v>1.68</x:v>
      </x:c>
      <x:c r="AG529" s="62">
        <x:v>0.111281320508253</x:v>
      </x:c>
      <x:c r="AH529" s="62">
        <x:v>0.0612813205082532</x:v>
      </x:c>
      <x:c r="AI529" s="62">
        <x:v>0.239963240401363</x:v>
      </x:c>
      <x:c r="AJ529" s="62">
        <x:v>0.224404526559879</x:v>
      </x:c>
      <x:c r="AK529" s="62">
        <x:v>0.535632233038758</x:v>
      </x:c>
      <x:c r="AL529" s="62">
        <x:v>1.19</x:v>
      </x:c>
      <x:c r="AM529" s="62">
        <x:v>1.88</x:v>
      </x:c>
      <x:c r="AN529" s="62">
        <x:v>0.000522926651922126</x:v>
      </x:c>
      <x:c r="AO529" s="62">
        <x:v>1.15036013346957</x:v>
      </x:c>
      <x:c r="AP529" s="62">
        <x:v>-0.230360133469567</x:v>
      </x:c>
      <x:c r="AQ529" s="62" t="s">
        <x:v>289</x:v>
      </x:c>
      <x:c r="AR529" s="49">
        <x:v>0.5</x:v>
      </x:c>
      <x:c r="AS529" s="62">
        <x:v>0.465038383308622</x:v>
      </x:c>
      <x:c r="AT529" s="62">
        <x:v>0.534961616691378</x:v>
      </x:c>
      <x:c r="AU529" s="60">
        <x:v>3.76</x:v>
      </x:c>
      <x:c r="AV529" s="60">
        <x:v>3.92</x:v>
      </x:c>
      <x:c r="AW529" s="60">
        <x:v>1.7</x:v>
      </x:c>
      <x:c r="AX529" s="49" t="s">
        <x:v>1890</x:v>
      </x:c>
      <x:c r="AY529" s="49" t="s">
        <x:v>2093</x:v>
      </x:c>
    </x:row>
    <x:row r="530" ht="22" customHeight="1">
      <x:c r="A530" s="49" t="s">
        <x:v>2162</x:v>
      </x:c>
      <x:c r="B530" s="49" t="s">
        <x:v>2171</x:v>
      </x:c>
      <x:c r="C530" s="49" t="s">
        <x:v>89</x:v>
      </x:c>
      <x:c r="D530" s="49" t="s">
        <x:v>116</x:v>
      </x:c>
      <x:c r="E530" s="49" t="s">
        <x:v>307</x:v>
      </x:c>
      <x:c r="F530" s="49" t="s">
        <x:v>2176</x:v>
      </x:c>
      <x:c r="G530" s="60">
        <x:v>0.83</x:v>
      </x:c>
      <x:c r="H530" s="60">
        <x:v>0.75</x:v>
      </x:c>
      <x:c r="I530" s="60">
        <x:v>0.87</x:v>
      </x:c>
      <x:c r="J530" s="49" t="s">
        <x:v>2177</x:v>
      </x:c>
      <x:c r="K530" s="49" t="s">
        <x:v>106</x:v>
      </x:c>
      <x:c r="L530" s="49" t="s">
        <x:v>2178</x:v>
      </x:c>
      <x:c r="M530" s="61">
        <x:v>0.576</x:v>
      </x:c>
      <x:c r="N530" s="49" t="s">
        <x:v>1888</x:v>
      </x:c>
      <x:c r="O530" s="49" t="s">
        <x:v>126</x:v>
      </x:c>
      <x:c r="P530" s="49" t="s">
        <x:v>30</x:v>
      </x:c>
      <x:c r="Q530" s="64" t="s">
        <x:v>23</x:v>
      </x:c>
      <x:c r="R530" s="50">
        <x:v>0.83</x:v>
      </x:c>
      <x:c r="S530" s="50">
        <x:f t="shared" si="36"/>
        <x:v>-1</x:v>
      </x:c>
      <x:c r="T530" s="49" t="s">
        <x:v>2179</x:v>
      </x:c>
      <x:c r="U530" s="49" t="str">
        <x:f t="shared" si="34"/>
        <x:v>红</x:v>
      </x:c>
      <x:c r="V530" s="50">
        <x:f t="shared" si="35"/>
        <x:v>0.87</x:v>
      </x:c>
      <x:c r="W530" s="50">
        <x:f t="shared" si="37"/>
        <x:v>0.87</x:v>
      </x:c>
      <x:c r="X530" s="62">
        <x:v>0.8</x:v>
      </x:c>
      <x:c r="Y530" s="62">
        <x:v>0.75</x:v>
      </x:c>
      <x:c r="Z530" s="62">
        <x:v>0.9</x:v>
      </x:c>
      <x:c r="AA530" s="62">
        <x:v>-0.75</x:v>
      </x:c>
      <x:c r="AB530" s="62">
        <x:v>0.8</x:v>
      </x:c>
      <x:c r="AC530" s="62">
        <x:v>0.83</x:v>
      </x:c>
      <x:c r="AD530" s="60">
        <x:v>1.65</x:v>
      </x:c>
      <x:c r="AE530" s="60">
        <x:v>3.87</x:v>
      </x:c>
      <x:c r="AF530" s="60">
        <x:v>4.08</x:v>
      </x:c>
      <x:c r="AG530" s="62">
        <x:v>0.10955657809283</x:v>
      </x:c>
      <x:c r="AH530" s="62">
        <x:v>0.0595565780928298</x:v>
      </x:c>
      <x:c r="AI530" s="62">
        <x:v>0.546218749027056</x:v>
      </x:c>
      <x:c r="AJ530" s="62">
        <x:v>0.232883962763473</x:v>
      </x:c>
      <x:c r="AK530" s="62">
        <x:v>0.220897288209471</x:v>
      </x:c>
      <x:c r="AL530" s="62">
        <x:v>1.79</x:v>
      </x:c>
      <x:c r="AM530" s="62">
        <x:v>1.05</x:v>
      </x:c>
      <x:c r="AN530" s="62">
        <x:v>0.000746926065406148</x:v>
      </x:c>
      <x:c r="AO530" s="62">
        <x:v>1.05891908642858</x:v>
      </x:c>
      <x:c r="AP530" s="62">
        <x:v>-0.228919086428581</x:v>
      </x:c>
      <x:c r="AQ530" s="62" t="s">
        <x:v>99</x:v>
      </x:c>
      <x:c r="AR530" s="49">
        <x:v>-0.75</x:v>
      </x:c>
      <x:c r="AS530" s="62">
        <x:v>0.42766272641642</x:v>
      </x:c>
      <x:c r="AT530" s="62">
        <x:v>0.452860223556431</x:v>
      </x:c>
      <x:c r="AU530" s="60">
        <x:v>1.67</x:v>
      </x:c>
      <x:c r="AV530" s="60">
        <x:v>3.76</x:v>
      </x:c>
      <x:c r="AW530" s="60">
        <x:v>4.05</x:v>
      </x:c>
      <x:c r="AX530" s="49" t="s">
        <x:v>1890</x:v>
      </x:c>
      <x:c r="AY530" s="49" t="s">
        <x:v>2093</x:v>
      </x:c>
    </x:row>
    <x:row r="531" ht="22" customHeight="1">
      <x:c r="A531" s="49" t="s">
        <x:v>2162</x:v>
      </x:c>
      <x:c r="B531" s="49" t="s">
        <x:v>2180</x:v>
      </x:c>
      <x:c r="C531" s="49" t="s">
        <x:v>239</x:v>
      </x:c>
      <x:c r="D531" s="49" t="s">
        <x:v>116</x:v>
      </x:c>
      <x:c r="E531" s="49" t="s">
        <x:v>240</x:v>
      </x:c>
      <x:c r="F531" s="49" t="s">
        <x:v>2181</x:v>
      </x:c>
      <x:c r="G531" s="60">
        <x:v>1.07</x:v>
      </x:c>
      <x:c r="H531" s="60">
        <x:v>0</x:v>
      </x:c>
      <x:c r="I531" s="60">
        <x:v>0.82</x:v>
      </x:c>
      <x:c r="J531" s="49" t="s">
        <x:v>877</x:v>
      </x:c>
      <x:c r="K531" s="49" t="s">
        <x:v>106</x:v>
      </x:c>
      <x:c r="L531" s="49" t="s">
        <x:v>1018</x:v>
      </x:c>
      <x:c r="M531" s="61">
        <x:v>0.579</x:v>
      </x:c>
      <x:c r="N531" s="49" t="s">
        <x:v>1888</x:v>
      </x:c>
      <x:c r="O531" s="49" t="s">
        <x:v>134</x:v>
      </x:c>
      <x:c r="P531" s="49" t="s">
        <x:v>30</x:v>
      </x:c>
      <x:c r="Q531" s="65" t="s">
        <x:v>17</x:v>
      </x:c>
      <x:c r="R531" s="50">
        <x:v>0.82</x:v>
      </x:c>
      <x:c r="S531" s="50">
        <x:f t="shared" si="36"/>
        <x:v>0</x:v>
      </x:c>
      <x:c r="T531" s="49" t="s">
        <x:v>2182</x:v>
      </x:c>
      <x:c r="U531" s="49" t="str">
        <x:f t="shared" si="34"/>
        <x:v>走</x:v>
      </x:c>
      <x:c r="V531" s="50">
        <x:f t="shared" si="35"/>
        <x:v>1.07</x:v>
      </x:c>
      <x:c r="W531" s="50">
        <x:f t="shared" si="37"/>
        <x:v>0</x:v>
      </x:c>
      <x:c r="X531" s="62">
        <x:v>1.03</x:v>
      </x:c>
      <x:c r="Y531" s="62">
        <x:v>0</x:v>
      </x:c>
      <x:c r="Z531" s="62">
        <x:v>0.85</x:v>
      </x:c>
      <x:c r="AA531" s="62">
        <x:v>0</x:v>
      </x:c>
      <x:c r="AB531" s="62">
        <x:v>0.85</x:v>
      </x:c>
      <x:c r="AC531" s="62">
        <x:v>0.82</x:v>
      </x:c>
      <x:c r="AD531" s="60">
        <x:v>2.58</x:v>
      </x:c>
      <x:c r="AE531" s="60">
        <x:v>3.57</x:v>
      </x:c>
      <x:c r="AF531" s="60">
        <x:v>2.41</x:v>
      </x:c>
      <x:c r="AG531" s="62">
        <x:v>0.082646703378833</x:v>
      </x:c>
      <x:c r="AH531" s="62">
        <x:v>0.032646703378833</x:v>
      </x:c>
      <x:c r="AI531" s="62">
        <x:v>0.358008663412686</x:v>
      </x:c>
      <x:c r="AJ531" s="62">
        <x:v>0.258728950029336</x:v>
      </x:c>
      <x:c r="AK531" s="62">
        <x:v>0.383262386557979</x:v>
      </x:c>
      <x:c r="AL531" s="62">
        <x:v>1.32</x:v>
      </x:c>
      <x:c r="AM531" s="62">
        <x:v>1.37</x:v>
      </x:c>
      <x:c r="AN531" s="62">
        <x:v>0.00088985876777836</x:v>
      </x:c>
      <x:c r="AO531" s="62">
        <x:v>0.939617822695031</x:v>
      </x:c>
      <x:c r="AP531" s="62">
        <x:v>-0.119617822695031</x:v>
      </x:c>
      <x:c r="AQ531" s="62" t="s">
        <x:v>150</x:v>
      </x:c>
      <x:c r="AR531" s="49">
        <x:v>0</x:v>
      </x:c>
      <x:c r="AS531" s="62">
        <x:v>0.382218355472002</x:v>
      </x:c>
      <x:c r="AT531" s="62">
        <x:v>0.359139178962678</x:v>
      </x:c>
      <x:c r="AU531" s="60">
        <x:v>2.66</x:v>
      </x:c>
      <x:c r="AV531" s="60">
        <x:v>3.57</x:v>
      </x:c>
      <x:c r="AW531" s="60">
        <x:v>2.4</x:v>
      </x:c>
      <x:c r="AX531" s="49" t="s">
        <x:v>1890</x:v>
      </x:c>
      <x:c r="AY531" s="49" t="s">
        <x:v>2093</x:v>
      </x:c>
    </x:row>
    <x:row r="532" ht="22" customHeight="1">
      <x:c r="A532" s="49" t="s">
        <x:v>2162</x:v>
      </x:c>
      <x:c r="B532" s="49" t="s">
        <x:v>2183</x:v>
      </x:c>
      <x:c r="C532" s="49" t="s">
        <x:v>239</x:v>
      </x:c>
      <x:c r="D532" s="49" t="s">
        <x:v>116</x:v>
      </x:c>
      <x:c r="E532" s="49" t="s">
        <x:v>656</x:v>
      </x:c>
      <x:c r="F532" s="49" t="s">
        <x:v>2184</x:v>
      </x:c>
      <x:c r="G532" s="60">
        <x:v>1.07</x:v>
      </x:c>
      <x:c r="H532" s="60">
        <x:v>-0.25</x:v>
      </x:c>
      <x:c r="I532" s="60">
        <x:v>0.82</x:v>
      </x:c>
      <x:c r="J532" s="49" t="s">
        <x:v>1013</x:v>
      </x:c>
      <x:c r="K532" s="49" t="s">
        <x:v>106</x:v>
      </x:c>
      <x:c r="L532" s="49" t="s">
        <x:v>2185</x:v>
      </x:c>
      <x:c r="M532" s="61">
        <x:v>0.579</x:v>
      </x:c>
      <x:c r="N532" s="49" t="s">
        <x:v>1888</x:v>
      </x:c>
      <x:c r="O532" s="49" t="s">
        <x:v>126</x:v>
      </x:c>
      <x:c r="P532" s="49" t="s">
        <x:v>30</x:v>
      </x:c>
      <x:c r="Q532" s="64" t="s">
        <x:v>20</x:v>
      </x:c>
      <x:c r="R532" s="50">
        <x:v>0.82</x:v>
      </x:c>
      <x:c r="S532" s="50">
        <x:f t="shared" si="36"/>
        <x:v>-0.5</x:v>
      </x:c>
      <x:c r="T532" s="49" t="s">
        <x:v>2186</x:v>
      </x:c>
      <x:c r="U532" s="49" t="str">
        <x:f t="shared" si="34"/>
        <x:v>半红</x:v>
      </x:c>
      <x:c r="V532" s="50">
        <x:f t="shared" si="35"/>
        <x:v>1.07</x:v>
      </x:c>
      <x:c r="W532" s="50">
        <x:f t="shared" si="37"/>
        <x:v>0.535</x:v>
      </x:c>
      <x:c r="X532" s="62">
        <x:v>1.03</x:v>
      </x:c>
      <x:c r="Y532" s="62">
        <x:v>-0.25</x:v>
      </x:c>
      <x:c r="Z532" s="62">
        <x:v>0.85</x:v>
      </x:c>
      <x:c r="AA532" s="62">
        <x:v>-0.25</x:v>
      </x:c>
      <x:c r="AB532" s="62">
        <x:v>0.85</x:v>
      </x:c>
      <x:c r="AC532" s="62">
        <x:v>0.82</x:v>
      </x:c>
      <x:c r="AD532" s="60">
        <x:v>3.18</x:v>
      </x:c>
      <x:c r="AE532" s="60">
        <x:v>3.38</x:v>
      </x:c>
      <x:c r="AF532" s="60">
        <x:v>2.04</x:v>
      </x:c>
      <x:c r="AG532" s="62">
        <x:v>0.100519475402084</x:v>
      </x:c>
      <x:c r="AH532" s="62">
        <x:v>0.0505194754020844</x:v>
      </x:c>
      <x:c r="AI532" s="62">
        <x:v>0.285742702272614</x:v>
      </x:c>
      <x:c r="AJ532" s="62">
        <x:v>0.268834850067134</x:v>
      </x:c>
      <x:c r="AK532" s="62">
        <x:v>0.445422447660252</x:v>
      </x:c>
      <x:c r="AL532" s="62">
        <x:v>1.06</x:v>
      </x:c>
      <x:c r="AM532" s="62">
        <x:v>1.39</x:v>
      </x:c>
      <x:c r="AN532" s="62">
        <x:v>0.000729905774317991</x:v>
      </x:c>
      <x:c r="AO532" s="62">
        <x:v>0.946997981219976</x:v>
      </x:c>
      <x:c r="AP532" s="62">
        <x:v>-0.126997981219976</x:v>
      </x:c>
      <x:c r="AQ532" s="62" t="s">
        <x:v>99</x:v>
      </x:c>
      <x:c r="AR532" s="49">
        <x:v>-0.25</x:v>
      </x:c>
      <x:c r="AS532" s="62">
        <x:v>0.444610360332101</x:v>
      </x:c>
      <x:c r="AT532" s="62">
        <x:v>0.421045113663986</x:v>
      </x:c>
      <x:c r="AU532" s="60">
        <x:v>3.19</x:v>
      </x:c>
      <x:c r="AV532" s="60">
        <x:v>3.48</x:v>
      </x:c>
      <x:c r="AW532" s="60">
        <x:v>2.04</x:v>
      </x:c>
      <x:c r="AX532" s="49" t="s">
        <x:v>1890</x:v>
      </x:c>
      <x:c r="AY532" s="49" t="s">
        <x:v>2093</x:v>
      </x:c>
    </x:row>
    <x:row r="533" ht="22" customHeight="1">
      <x:c r="A533" s="49" t="s">
        <x:v>2162</x:v>
      </x:c>
      <x:c r="B533" s="49" t="s">
        <x:v>2183</x:v>
      </x:c>
      <x:c r="C533" s="49" t="s">
        <x:v>239</x:v>
      </x:c>
      <x:c r="D533" s="49" t="s">
        <x:v>116</x:v>
      </x:c>
      <x:c r="E533" s="49" t="s">
        <x:v>240</x:v>
      </x:c>
      <x:c r="F533" s="49" t="s">
        <x:v>2187</x:v>
      </x:c>
      <x:c r="G533" s="60">
        <x:v>1</x:v>
      </x:c>
      <x:c r="H533" s="60">
        <x:v>0.5</x:v>
      </x:c>
      <x:c r="I533" s="60">
        <x:v>0.89</x:v>
      </x:c>
      <x:c r="J533" s="49" t="s">
        <x:v>2188</x:v>
      </x:c>
      <x:c r="K533" s="49" t="s">
        <x:v>132</x:v>
      </x:c>
      <x:c r="L533" s="49" t="s">
        <x:v>2189</x:v>
      </x:c>
      <x:c r="M533" s="61">
        <x:v>0.562</x:v>
      </x:c>
      <x:c r="N533" s="49" t="s">
        <x:v>1888</x:v>
      </x:c>
      <x:c r="O533" s="49" t="s">
        <x:v>197</x:v>
      </x:c>
      <x:c r="P533" s="49" t="s">
        <x:v>30</x:v>
      </x:c>
      <x:c r="Q533" s="63" t="s">
        <x:v>11</x:v>
      </x:c>
      <x:c r="R533" s="50">
        <x:v>1</x:v>
      </x:c>
      <x:c r="S533" s="50">
        <x:f t="shared" si="36"/>
        <x:v>1</x:v>
      </x:c>
      <x:c r="T533" s="49" t="s">
        <x:v>2190</x:v>
      </x:c>
      <x:c r="U533" s="49" t="str">
        <x:f t="shared" si="34"/>
        <x:v>黑</x:v>
      </x:c>
      <x:c r="V533" s="50">
        <x:f t="shared" si="35"/>
        <x:v>0.89</x:v>
      </x:c>
      <x:c r="W533" s="50">
        <x:f t="shared" si="37"/>
        <x:v>-1</x:v>
      </x:c>
      <x:c r="X533" s="62">
        <x:v>1.03</x:v>
      </x:c>
      <x:c r="Y533" s="62">
        <x:v>0.75</x:v>
      </x:c>
      <x:c r="Z533" s="62">
        <x:v>0.85</x:v>
      </x:c>
      <x:c r="AA533" s="62">
        <x:v>-0.75</x:v>
      </x:c>
      <x:c r="AB533" s="62">
        <x:v>1.03</x:v>
      </x:c>
      <x:c r="AC533" s="62">
        <x:v>1</x:v>
      </x:c>
      <x:c r="AD533" s="60">
        <x:v>1.73</x:v>
      </x:c>
      <x:c r="AE533" s="60">
        <x:v>3.46</x:v>
      </x:c>
      <x:c r="AF533" s="60">
        <x:v>4.66</x:v>
      </x:c>
      <x:c r="AG533" s="62">
        <x:v>0.0816442977994991</x:v>
      </x:c>
      <x:c r="AH533" s="62">
        <x:v>0.0316442977994991</x:v>
      </x:c>
      <x:c r="AI533" s="62">
        <x:v>0.534403669724771</x:v>
      </x:c>
      <x:c r="AJ533" s="62">
        <x:v>0.267201834862385</x:v>
      </x:c>
      <x:c r="AK533" s="62">
        <x:v>0.198394495412844</x:v>
      </x:c>
      <x:c r="AL533" s="62">
        <x:v>1.46</x:v>
      </x:c>
      <x:c r="AM533" s="62">
        <x:v>0.77</x:v>
      </x:c>
      <x:c r="AN533" s="62">
        <x:v>0.000770820315566342</x:v>
      </x:c>
      <x:c r="AO533" s="62">
        <x:v>0.86758646348314</x:v>
      </x:c>
      <x:c r="AP533" s="62">
        <x:v>0.13241353651686</x:v>
      </x:c>
      <x:c r="AQ533" s="62" t="s">
        <x:v>165</x:v>
      </x:c>
      <x:c r="AR533" s="49">
        <x:v>-0.5</x:v>
      </x:c>
      <x:c r="AS533" s="62">
        <x:v>0.535450443421479</x:v>
      </x:c>
      <x:c r="AT533" s="62">
        <x:v>0.464549556578521</x:v>
      </x:c>
      <x:c r="AU533" s="60">
        <x:v>1.9</x:v>
      </x:c>
      <x:c r="AV533" s="60">
        <x:v>3.32</x:v>
      </x:c>
      <x:c r="AW533" s="60">
        <x:v>4.09</x:v>
      </x:c>
      <x:c r="AX533" s="49" t="s">
        <x:v>1890</x:v>
      </x:c>
      <x:c r="AY533" s="49" t="s">
        <x:v>2093</x:v>
      </x:c>
    </x:row>
    <x:row r="534" ht="22" customHeight="1">
      <x:c r="A534" s="49" t="s">
        <x:v>2162</x:v>
      </x:c>
      <x:c r="B534" s="49" t="s">
        <x:v>2183</x:v>
      </x:c>
      <x:c r="C534" s="49" t="s">
        <x:v>239</x:v>
      </x:c>
      <x:c r="D534" s="49" t="s">
        <x:v>116</x:v>
      </x:c>
      <x:c r="E534" s="49" t="s">
        <x:v>240</x:v>
      </x:c>
      <x:c r="F534" s="49" t="s">
        <x:v>2191</x:v>
      </x:c>
      <x:c r="G534" s="60">
        <x:v>0.98</x:v>
      </x:c>
      <x:c r="H534" s="60">
        <x:v>-0.25</x:v>
      </x:c>
      <x:c r="I534" s="60">
        <x:v>0.91</x:v>
      </x:c>
      <x:c r="J534" s="49" t="s">
        <x:v>235</x:v>
      </x:c>
      <x:c r="K534" s="49" t="s">
        <x:v>132</x:v>
      </x:c>
      <x:c r="L534" s="49" t="s">
        <x:v>2192</x:v>
      </x:c>
      <x:c r="M534" s="61">
        <x:v>0.562</x:v>
      </x:c>
      <x:c r="N534" s="49" t="s">
        <x:v>1888</x:v>
      </x:c>
      <x:c r="O534" s="49" t="s">
        <x:v>126</x:v>
      </x:c>
      <x:c r="P534" s="49" t="s">
        <x:v>30</x:v>
      </x:c>
      <x:c r="Q534" s="64" t="s">
        <x:v>20</x:v>
      </x:c>
      <x:c r="R534" s="50">
        <x:v>0.91</x:v>
      </x:c>
      <x:c r="S534" s="50">
        <x:f t="shared" si="36"/>
        <x:v>-0.5</x:v>
      </x:c>
      <x:c r="T534" s="49" t="s">
        <x:v>2193</x:v>
      </x:c>
      <x:c r="U534" s="49" t="str">
        <x:f t="shared" si="34"/>
        <x:v>半红</x:v>
      </x:c>
      <x:c r="V534" s="50">
        <x:f t="shared" si="35"/>
        <x:v>0.98</x:v>
      </x:c>
      <x:c r="W534" s="50">
        <x:f t="shared" si="37"/>
        <x:v>0.49</x:v>
      </x:c>
      <x:c r="X534" s="62">
        <x:v>0.83</x:v>
      </x:c>
      <x:c r="Y534" s="62">
        <x:v>-0.5</x:v>
      </x:c>
      <x:c r="Z534" s="62">
        <x:v>1.05</x:v>
      </x:c>
      <x:c r="AA534" s="62">
        <x:v>-0.5</x:v>
      </x:c>
      <x:c r="AB534" s="62">
        <x:v>1.05</x:v>
      </x:c>
      <x:c r="AC534" s="62">
        <x:v>0.91</x:v>
      </x:c>
      <x:c r="AD534" s="60">
        <x:v>3.51</x:v>
      </x:c>
      <x:c r="AE534" s="60">
        <x:v>3.52</x:v>
      </x:c>
      <x:c r="AF534" s="60">
        <x:v>1.95</x:v>
      </x:c>
      <x:c r="AG534" s="62">
        <x:v>0.081811706811707</x:v>
      </x:c>
      <x:c r="AH534" s="62">
        <x:v>0.031811706811707</x:v>
      </x:c>
      <x:c r="AI534" s="62">
        <x:v>0.263354780787072</x:v>
      </x:c>
      <x:c r="AJ534" s="62">
        <x:v>0.262606613796199</x:v>
      </x:c>
      <x:c r="AK534" s="62">
        <x:v>0.474038605416729</x:v>
      </x:c>
      <x:c r="AL534" s="62">
        <x:v>1.02</x:v>
      </x:c>
      <x:c r="AM534" s="62">
        <x:v>1.47</x:v>
      </x:c>
      <x:c r="AN534" s="62">
        <x:v>0.000948589725765611</x:v>
      </x:c>
      <x:c r="AO534" s="62">
        <x:v>0.82792559014649</x:v>
      </x:c>
      <x:c r="AP534" s="62">
        <x:v>0.0820744098535098</x:v>
      </x:c>
      <x:c r="AQ534" s="62" t="s">
        <x:v>165</x:v>
      </x:c>
      <x:c r="AR534" s="49">
        <x:v>-0.25</x:v>
      </x:c>
      <x:c r="AS534" s="62">
        <x:v>0.475303467687562</x:v>
      </x:c>
      <x:c r="AT534" s="62">
        <x:v>0.393515903983898</x:v>
      </x:c>
      <x:c r="AU534" s="60">
        <x:v>3.31</x:v>
      </x:c>
      <x:c r="AV534" s="60">
        <x:v>3.48</x:v>
      </x:c>
      <x:c r="AW534" s="60">
        <x:v>2.07</x:v>
      </x:c>
      <x:c r="AX534" s="49" t="s">
        <x:v>1890</x:v>
      </x:c>
      <x:c r="AY534" s="49" t="s">
        <x:v>2093</x:v>
      </x:c>
    </x:row>
    <x:row r="535" ht="22" customHeight="1">
      <x:c r="A535" s="49" t="s">
        <x:v>2162</x:v>
      </x:c>
      <x:c r="B535" s="49" t="s">
        <x:v>2194</x:v>
      </x:c>
      <x:c r="C535" s="49" t="s">
        <x:v>239</x:v>
      </x:c>
      <x:c r="D535" s="49" t="s">
        <x:v>116</x:v>
      </x:c>
      <x:c r="E535" s="49" t="s">
        <x:v>645</x:v>
      </x:c>
      <x:c r="F535" s="49" t="s">
        <x:v>2195</x:v>
      </x:c>
      <x:c r="G535" s="60">
        <x:v>0.8</x:v>
      </x:c>
      <x:c r="H535" s="60">
        <x:v>0</x:v>
      </x:c>
      <x:c r="I535" s="60">
        <x:v>1.02</x:v>
      </x:c>
      <x:c r="J535" s="49" t="s">
        <x:v>247</x:v>
      </x:c>
      <x:c r="K535" s="49" t="s">
        <x:v>106</x:v>
      </x:c>
      <x:c r="L535" s="49" t="s">
        <x:v>2196</x:v>
      </x:c>
      <x:c r="M535" s="61">
        <x:v>0.579</x:v>
      </x:c>
      <x:c r="N535" s="49" t="s">
        <x:v>1888</x:v>
      </x:c>
      <x:c r="O535" s="49" t="s">
        <x:v>642</x:v>
      </x:c>
      <x:c r="P535" s="49" t="s">
        <x:v>30</x:v>
      </x:c>
      <x:c r="Q535" s="64" t="s">
        <x:v>23</x:v>
      </x:c>
      <x:c r="R535" s="50">
        <x:v>0.8</x:v>
      </x:c>
      <x:c r="S535" s="50">
        <x:f t="shared" si="36"/>
        <x:v>-1</x:v>
      </x:c>
      <x:c r="T535" s="49" t="s">
        <x:v>2197</x:v>
      </x:c>
      <x:c r="U535" s="49" t="str">
        <x:f t="shared" si="34"/>
        <x:v>红</x:v>
      </x:c>
      <x:c r="V535" s="50">
        <x:f t="shared" si="35"/>
        <x:v>1.02</x:v>
      </x:c>
      <x:c r="W535" s="50">
        <x:f t="shared" si="37"/>
        <x:v>1.02</x:v>
      </x:c>
      <x:c r="X535" s="62">
        <x:v>0.77</x:v>
      </x:c>
      <x:c r="Y535" s="62">
        <x:v>0</x:v>
      </x:c>
      <x:c r="Z535" s="62">
        <x:v>0.99</x:v>
      </x:c>
      <x:c r="AA535" s="62">
        <x:v>0</x:v>
      </x:c>
      <x:c r="AB535" s="62">
        <x:v>0.77</x:v>
      </x:c>
      <x:c r="AC535" s="62">
        <x:v>0.8</x:v>
      </x:c>
      <x:c r="AD535" s="60">
        <x:v>2.23</x:v>
      </x:c>
      <x:c r="AE535" s="60">
        <x:v>3.33</x:v>
      </x:c>
      <x:c r="AF535" s="60">
        <x:v>2.77</x:v>
      </x:c>
      <x:c r="AG535" s="62">
        <x:v>0.109741623898753</x:v>
      </x:c>
      <x:c r="AH535" s="62">
        <x:v>0.0597416238987528</x:v>
      </x:c>
      <x:c r="AI535" s="62">
        <x:v>0.404085494872323</x:v>
      </x:c>
      <x:c r="AJ535" s="62">
        <x:v>0.270603799869453</x:v>
      </x:c>
      <x:c r="AK535" s="62">
        <x:v>0.325310705258224</x:v>
      </x:c>
      <x:c r="AL535" s="62">
        <x:v>1.32</x:v>
      </x:c>
      <x:c r="AM535" s="62">
        <x:v>1.16</x:v>
      </x:c>
      <x:c r="AN535" s="62">
        <x:v>0.000983658819697597</x:v>
      </x:c>
      <x:c r="AO535" s="62">
        <x:v>0.810363078240864</x:v>
      </x:c>
      <x:c r="AP535" s="62">
        <x:v>-0.0103630782408636</x:v>
      </x:c>
      <x:c r="AQ535" s="62" t="s">
        <x:v>174</x:v>
      </x:c>
      <x:c r="AR535" s="49">
        <x:v>0</x:v>
      </x:c>
      <x:c r="AS535" s="62">
        <x:v>0.403091643486953</x:v>
      </x:c>
      <x:c r="AT535" s="62">
        <x:v>0.326650585029256</x:v>
      </x:c>
      <x:c r="AU535" s="60">
        <x:v>2.35</x:v>
      </x:c>
      <x:c r="AV535" s="60">
        <x:v>3.44</x:v>
      </x:c>
      <x:c r="AW535" s="60">
        <x:v>2.56</x:v>
      </x:c>
      <x:c r="AX535" s="49" t="s">
        <x:v>1890</x:v>
      </x:c>
      <x:c r="AY535" s="49" t="s">
        <x:v>2093</x:v>
      </x:c>
    </x:row>
    <x:row r="536" ht="22" customHeight="1">
      <x:c r="A536" s="49" t="s">
        <x:v>2162</x:v>
      </x:c>
      <x:c r="B536" s="49" t="s">
        <x:v>2194</x:v>
      </x:c>
      <x:c r="C536" s="49" t="s">
        <x:v>239</x:v>
      </x:c>
      <x:c r="D536" s="49" t="s">
        <x:v>116</x:v>
      </x:c>
      <x:c r="E536" s="49" t="s">
        <x:v>656</x:v>
      </x:c>
      <x:c r="F536" s="49" t="s">
        <x:v>2198</x:v>
      </x:c>
      <x:c r="G536" s="60">
        <x:v>1.04</x:v>
      </x:c>
      <x:c r="H536" s="60">
        <x:v>0</x:v>
      </x:c>
      <x:c r="I536" s="60">
        <x:v>0.85</x:v>
      </x:c>
      <x:c r="J536" s="49" t="s">
        <x:v>2199</x:v>
      </x:c>
      <x:c r="K536" s="49" t="s">
        <x:v>132</x:v>
      </x:c>
      <x:c r="L536" s="49" t="s">
        <x:v>2200</x:v>
      </x:c>
      <x:c r="M536" s="61">
        <x:v>0.562</x:v>
      </x:c>
      <x:c r="N536" s="49" t="s">
        <x:v>1888</x:v>
      </x:c>
      <x:c r="O536" s="49" t="s">
        <x:v>114</x:v>
      </x:c>
      <x:c r="P536" s="49" t="s">
        <x:v>30</x:v>
      </x:c>
      <x:c r="Q536" s="63" t="s">
        <x:v>11</x:v>
      </x:c>
      <x:c r="R536" s="50">
        <x:v>0.85</x:v>
      </x:c>
      <x:c r="S536" s="50">
        <x:f t="shared" si="36"/>
        <x:v>0.85</x:v>
      </x:c>
      <x:c r="T536" s="49" t="s">
        <x:v>2201</x:v>
      </x:c>
      <x:c r="U536" s="49" t="str">
        <x:f t="shared" si="34"/>
        <x:v>黑</x:v>
      </x:c>
      <x:c r="V536" s="50">
        <x:f t="shared" si="35"/>
        <x:v>1.04</x:v>
      </x:c>
      <x:c r="W536" s="50">
        <x:f t="shared" si="37"/>
        <x:v>-1</x:v>
      </x:c>
      <x:c r="X536" s="62">
        <x:v>0.83</x:v>
      </x:c>
      <x:c r="Y536" s="62">
        <x:v>-0.25</x:v>
      </x:c>
      <x:c r="Z536" s="62">
        <x:v>1.05</x:v>
      </x:c>
      <x:c r="AA536" s="62">
        <x:v>-0.25</x:v>
      </x:c>
      <x:c r="AB536" s="62">
        <x:v>1.05</x:v>
      </x:c>
      <x:c r="AC536" s="62">
        <x:v>0.85</x:v>
      </x:c>
      <x:c r="AD536" s="60">
        <x:v>2.66</x:v>
      </x:c>
      <x:c r="AE536" s="60">
        <x:v>3.48</x:v>
      </x:c>
      <x:c r="AF536" s="60">
        <x:v>2.29</x:v>
      </x:c>
      <x:c r="AG536" s="62">
        <x:v>0.0999773941705642</x:v>
      </x:c>
      <x:c r="AH536" s="62">
        <x:v>0.0499773941705642</x:v>
      </x:c>
      <x:c r="AI536" s="62">
        <x:v>0.341770523300196</x:v>
      </x:c>
      <x:c r="AJ536" s="62">
        <x:v>0.261238388499575</x:v>
      </x:c>
      <x:c r="AK536" s="62">
        <x:v>0.396991088200228</x:v>
      </x:c>
      <x:c r="AL536" s="62">
        <x:v>1.26</x:v>
      </x:c>
      <x:c r="AM536" s="62">
        <x:v>1.38</x:v>
      </x:c>
      <x:c r="AN536" s="62">
        <x:v>0.000289558228198442</x:v>
      </x:c>
      <x:c r="AO536" s="62">
        <x:v>0.859537570689736</x:v>
      </x:c>
      <x:c r="AP536" s="62">
        <x:v>-0.00953757068973615</x:v>
      </x:c>
      <x:c r="AQ536" s="62" t="s">
        <x:v>174</x:v>
      </x:c>
      <x:c r="AR536" s="49">
        <x:v>0</x:v>
      </x:c>
      <x:c r="AS536" s="62">
        <x:v>0.397400243230239</x:v>
      </x:c>
      <x:c r="AT536" s="62">
        <x:v>0.34158043965763</x:v>
      </x:c>
      <x:c r="AU536" s="60">
        <x:v>2.66</x:v>
      </x:c>
      <x:c r="AV536" s="60">
        <x:v>3.52</x:v>
      </x:c>
      <x:c r="AW536" s="60">
        <x:v>2.32</x:v>
      </x:c>
      <x:c r="AX536" s="49" t="s">
        <x:v>1890</x:v>
      </x:c>
      <x:c r="AY536" s="49" t="s">
        <x:v>2093</x:v>
      </x:c>
    </x:row>
    <x:row r="537" ht="22" customHeight="1">
      <x:c r="A537" s="49" t="s">
        <x:v>2162</x:v>
      </x:c>
      <x:c r="B537" s="49" t="s">
        <x:v>2194</x:v>
      </x:c>
      <x:c r="C537" s="49" t="s">
        <x:v>244</x:v>
      </x:c>
      <x:c r="D537" s="49" t="s">
        <x:v>90</x:v>
      </x:c>
      <x:c r="E537" s="49" t="s">
        <x:v>2202</x:v>
      </x:c>
      <x:c r="F537" s="49" t="s">
        <x:v>2203</x:v>
      </x:c>
      <x:c r="G537" s="60">
        <x:v>0.83</x:v>
      </x:c>
      <x:c r="H537" s="60">
        <x:v>0</x:v>
      </x:c>
      <x:c r="I537" s="60">
        <x:v>0.99</x:v>
      </x:c>
      <x:c r="J537" s="49" t="s">
        <x:v>664</x:v>
      </x:c>
      <x:c r="K537" s="49" t="s">
        <x:v>106</x:v>
      </x:c>
      <x:c r="L537" s="49" t="s">
        <x:v>2204</x:v>
      </x:c>
      <x:c r="M537" s="61">
        <x:v>0.592</x:v>
      </x:c>
      <x:c r="N537" s="49" t="s">
        <x:v>1888</x:v>
      </x:c>
      <x:c r="O537" s="49" t="s">
        <x:v>126</x:v>
      </x:c>
      <x:c r="P537" s="49" t="s">
        <x:v>30</x:v>
      </x:c>
      <x:c r="Q537" s="65" t="s">
        <x:v>17</x:v>
      </x:c>
      <x:c r="R537" s="50">
        <x:v>0.83</x:v>
      </x:c>
      <x:c r="S537" s="50">
        <x:f t="shared" si="36"/>
        <x:v>0</x:v>
      </x:c>
      <x:c r="T537" s="49" t="s">
        <x:v>2205</x:v>
      </x:c>
      <x:c r="U537" s="49" t="str">
        <x:f t="shared" si="34"/>
        <x:v>走</x:v>
      </x:c>
      <x:c r="V537" s="50">
        <x:f t="shared" si="35"/>
        <x:v>0.99</x:v>
      </x:c>
      <x:c r="W537" s="50">
        <x:f t="shared" si="37"/>
        <x:v>0</x:v>
      </x:c>
      <x:c r="X537" s="62">
        <x:v>0.83</x:v>
      </x:c>
      <x:c r="Y537" s="62">
        <x:v>0</x:v>
      </x:c>
      <x:c r="Z537" s="62">
        <x:v>0.99</x:v>
      </x:c>
      <x:c r="AA537" s="62">
        <x:v>0</x:v>
      </x:c>
      <x:c r="AB537" s="62">
        <x:v>0.83</x:v>
      </x:c>
      <x:c r="AC537" s="62">
        <x:v>0.83</x:v>
      </x:c>
      <x:c r="AD537" s="60">
        <x:v>2.14</x:v>
      </x:c>
      <x:c r="AE537" s="60">
        <x:v>2.95</x:v>
      </x:c>
      <x:c r="AF537" s="60">
        <x:v>3.27</x:v>
      </x:c>
      <x:c r="AG537" s="62">
        <x:v>0.112083168027143</x:v>
      </x:c>
      <x:c r="AH537" s="62">
        <x:v>0.0620831680271426</x:v>
      </x:c>
      <x:c r="AI537" s="62">
        <x:v>0.420193141179494</x:v>
      </x:c>
      <x:c r="AJ537" s="62">
        <x:v>0.304818075296311</x:v>
      </x:c>
      <x:c r="AK537" s="62">
        <x:v>0.274988783524195</x:v>
      </x:c>
      <x:c r="AL537" s="62">
        <x:v>1.14</x:v>
      </x:c>
      <x:c r="AM537" s="62">
        <x:v>0.86</x:v>
      </x:c>
      <x:c r="AN537" s="62">
        <x:v>0.000512593882450264</x:v>
      </x:c>
      <x:c r="AO537" s="62">
        <x:v>0.652894270131589</x:v>
      </x:c>
      <x:c r="AP537" s="62">
        <x:v>0.177105729868411</x:v>
      </x:c>
      <x:c r="AQ537" s="62" t="s">
        <x:v>135</x:v>
      </x:c>
      <x:c r="AR537" s="49">
        <x:v>0</x:v>
      </x:c>
      <x:c r="AS537" s="62">
        <x:v>0.420893879739069</x:v>
      </x:c>
      <x:c r="AT537" s="62">
        <x:v>0.274799202415092</x:v>
      </x:c>
      <x:c r="AU537" s="60">
        <x:v>2.46</x:v>
      </x:c>
      <x:c r="AV537" s="60">
        <x:v>2.79</x:v>
      </x:c>
      <x:c r="AW537" s="60">
        <x:v>2.9</x:v>
      </x:c>
      <x:c r="AX537" s="49" t="s">
        <x:v>1890</x:v>
      </x:c>
      <x:c r="AY537" s="49" t="s">
        <x:v>2093</x:v>
      </x:c>
    </x:row>
    <x:row r="538" ht="22" customHeight="1">
      <x:c r="A538" s="49" t="s">
        <x:v>2162</x:v>
      </x:c>
      <x:c r="B538" s="49" t="s">
        <x:v>2206</x:v>
      </x:c>
      <x:c r="C538" s="49" t="s">
        <x:v>244</x:v>
      </x:c>
      <x:c r="D538" s="49" t="s">
        <x:v>116</x:v>
      </x:c>
      <x:c r="E538" s="49" t="s">
        <x:v>674</x:v>
      </x:c>
      <x:c r="F538" s="49" t="s">
        <x:v>2207</x:v>
      </x:c>
      <x:c r="G538" s="60">
        <x:v>0.75</x:v>
      </x:c>
      <x:c r="H538" s="60">
        <x:v>0.75</x:v>
      </x:c>
      <x:c r="I538" s="60">
        <x:v>1.07</x:v>
      </x:c>
      <x:c r="J538" s="49" t="s">
        <x:v>2208</x:v>
      </x:c>
      <x:c r="K538" s="49" t="s">
        <x:v>132</x:v>
      </x:c>
      <x:c r="L538" s="49" t="s">
        <x:v>1544</x:v>
      </x:c>
      <x:c r="M538" s="61">
        <x:v>0.551</x:v>
      </x:c>
      <x:c r="N538" s="49" t="s">
        <x:v>1888</x:v>
      </x:c>
      <x:c r="O538" s="49" t="s">
        <x:v>273</x:v>
      </x:c>
      <x:c r="P538" s="49" t="s">
        <x:v>30</x:v>
      </x:c>
      <x:c r="Q538" s="63" t="s">
        <x:v>11</x:v>
      </x:c>
      <x:c r="R538" s="50">
        <x:v>1.07</x:v>
      </x:c>
      <x:c r="S538" s="50">
        <x:f t="shared" si="36"/>
        <x:v>1.07</x:v>
      </x:c>
      <x:c r="T538" s="49" t="s">
        <x:v>2209</x:v>
      </x:c>
      <x:c r="U538" s="49" t="str">
        <x:f t="shared" si="34"/>
        <x:v>黑</x:v>
      </x:c>
      <x:c r="V538" s="50">
        <x:f t="shared" si="35"/>
        <x:v>0.75</x:v>
      </x:c>
      <x:c r="W538" s="50">
        <x:f t="shared" si="37"/>
        <x:v>-1</x:v>
      </x:c>
      <x:c r="X538" s="62">
        <x:v>0.93</x:v>
      </x:c>
      <x:c r="Y538" s="62">
        <x:v>1</x:v>
      </x:c>
      <x:c r="Z538" s="62">
        <x:v>0.77</x:v>
      </x:c>
      <x:c r="AA538" s="62">
        <x:v>1</x:v>
      </x:c>
      <x:c r="AB538" s="62">
        <x:v>0.77</x:v>
      </x:c>
      <x:c r="AC538" s="62">
        <x:v>1.07</x:v>
      </x:c>
      <x:c r="AD538" s="60">
        <x:v>1.64</x:v>
      </x:c>
      <x:c r="AE538" s="60">
        <x:v>3.68</x:v>
      </x:c>
      <x:c r="AF538" s="60">
        <x:v>4.45</x:v>
      </x:c>
      <x:c r="AG538" s="62">
        <x:v>0.106214329119354</x:v>
      </x:c>
      <x:c r="AH538" s="62">
        <x:v>0.0562143291193536</x:v>
      </x:c>
      <x:c r="AI538" s="62">
        <x:v>0.551209726280075</x:v>
      </x:c>
      <x:c r="AJ538" s="62">
        <x:v>0.245647812798729</x:v>
      </x:c>
      <x:c r="AK538" s="62">
        <x:v>0.203142460921196</x:v>
      </x:c>
      <x:c r="AL538" s="62">
        <x:v>1.64</x:v>
      </x:c>
      <x:c r="AM538" s="62">
        <x:v>0.89</x:v>
      </x:c>
      <x:c r="AN538" s="62">
        <x:v>0.000430933483199844</x:v>
      </x:c>
      <x:c r="AO538" s="62">
        <x:v>0.944590383916288</x:v>
      </x:c>
      <x:c r="AP538" s="62">
        <x:v>0.125409616083712</x:v>
      </x:c>
      <x:c r="AQ538" s="62" t="s">
        <x:v>142</x:v>
      </x:c>
      <x:c r="AR538" s="49">
        <x:v>0.75</x:v>
      </x:c>
      <x:c r="AS538" s="62">
        <x:v>0.449397149428166</x:v>
      </x:c>
      <x:c r="AT538" s="62">
        <x:v>0.424496225909237</x:v>
      </x:c>
      <x:c r="AU538" s="60">
        <x:v>1.56</x:v>
      </x:c>
      <x:c r="AV538" s="60">
        <x:v>3.78</x:v>
      </x:c>
      <x:c r="AW538" s="60">
        <x:v>5.05</x:v>
      </x:c>
      <x:c r="AX538" s="49" t="s">
        <x:v>1890</x:v>
      </x:c>
      <x:c r="AY538" s="49" t="s">
        <x:v>2093</x:v>
      </x:c>
    </x:row>
    <x:row r="539" ht="22" customHeight="1">
      <x:c r="A539" s="49" t="s">
        <x:v>2162</x:v>
      </x:c>
      <x:c r="B539" s="49" t="s">
        <x:v>2210</x:v>
      </x:c>
      <x:c r="C539" s="49" t="s">
        <x:v>244</x:v>
      </x:c>
      <x:c r="D539" s="49" t="s">
        <x:v>116</x:v>
      </x:c>
      <x:c r="E539" s="49" t="s">
        <x:v>674</x:v>
      </x:c>
      <x:c r="F539" s="49" t="s">
        <x:v>2211</x:v>
      </x:c>
      <x:c r="G539" s="60">
        <x:v>0.81</x:v>
      </x:c>
      <x:c r="H539" s="60">
        <x:v>0.75</x:v>
      </x:c>
      <x:c r="I539" s="60">
        <x:v>1.01</x:v>
      </x:c>
      <x:c r="J539" s="49" t="s">
        <x:v>2212</x:v>
      </x:c>
      <x:c r="K539" s="49" t="s">
        <x:v>106</x:v>
      </x:c>
      <x:c r="L539" s="49" t="s">
        <x:v>2213</x:v>
      </x:c>
      <x:c r="M539" s="61">
        <x:v>0.592</x:v>
      </x:c>
      <x:c r="N539" s="49" t="s">
        <x:v>1888</x:v>
      </x:c>
      <x:c r="O539" s="49" t="s">
        <x:v>126</x:v>
      </x:c>
      <x:c r="P539" s="49" t="s">
        <x:v>30</x:v>
      </x:c>
      <x:c r="Q539" s="64" t="s">
        <x:v>23</x:v>
      </x:c>
      <x:c r="R539" s="50">
        <x:v>0.81</x:v>
      </x:c>
      <x:c r="S539" s="50">
        <x:f t="shared" si="36"/>
        <x:v>-1</x:v>
      </x:c>
      <x:c r="T539" s="49" t="s">
        <x:v>2214</x:v>
      </x:c>
      <x:c r="U539" s="49" t="str">
        <x:f t="shared" si="34"/>
        <x:v>红</x:v>
      </x:c>
      <x:c r="V539" s="50">
        <x:f t="shared" si="35"/>
        <x:v>1.01</x:v>
      </x:c>
      <x:c r="W539" s="50">
        <x:f t="shared" si="37"/>
        <x:v>1.01</x:v>
      </x:c>
      <x:c r="X539" s="62">
        <x:v>0.8</x:v>
      </x:c>
      <x:c r="Y539" s="62">
        <x:v>0.75</x:v>
      </x:c>
      <x:c r="Z539" s="62">
        <x:v>0.9</x:v>
      </x:c>
      <x:c r="AA539" s="62">
        <x:v>-0.75</x:v>
      </x:c>
      <x:c r="AB539" s="62">
        <x:v>0.8</x:v>
      </x:c>
      <x:c r="AC539" s="62">
        <x:v>0.81</x:v>
      </x:c>
      <x:c r="AD539" s="60">
        <x:v>1.71</x:v>
      </x:c>
      <x:c r="AE539" s="60">
        <x:v>3.59</x:v>
      </x:c>
      <x:c r="AF539" s="60">
        <x:v>4.16</x:v>
      </x:c>
      <x:c r="AG539" s="62">
        <x:v>0.103731469055468</x:v>
      </x:c>
      <x:c r="AH539" s="62">
        <x:v>0.0537314690554685</x:v>
      </x:c>
      <x:c r="AI539" s="62">
        <x:v>0.529834781405547</x:v>
      </x:c>
      <x:c r="AJ539" s="62">
        <x:v>0.252372556045539</x:v>
      </x:c>
      <x:c r="AK539" s="62">
        <x:v>0.217792662548915</x:v>
      </x:c>
      <x:c r="AL539" s="62">
        <x:v>1.58</x:v>
      </x:c>
      <x:c r="AM539" s="62">
        <x:v>0.91</x:v>
      </x:c>
      <x:c r="AN539" s="62">
        <x:v>0.000682752288952534</x:v>
      </x:c>
      <x:c r="AO539" s="62">
        <x:v>1.1581094474712</x:v>
      </x:c>
      <x:c r="AP539" s="62">
        <x:v>-0.348109447471198</x:v>
      </x:c>
      <x:c r="AQ539" s="62" t="s">
        <x:v>99</x:v>
      </x:c>
      <x:c r="AR539" s="49">
        <x:v>-0.75</x:v>
      </x:c>
      <x:c r="AS539" s="62">
        <x:v>0.405297494559002</x:v>
      </x:c>
      <x:c r="AT539" s="62">
        <x:v>0.469378857485186</x:v>
      </x:c>
      <x:c r="AU539" s="60">
        <x:v>1.61</x:v>
      </x:c>
      <x:c r="AV539" s="60">
        <x:v>3.74</x:v>
      </x:c>
      <x:c r="AW539" s="60">
        <x:v>4.72</x:v>
      </x:c>
      <x:c r="AX539" s="49" t="s">
        <x:v>1890</x:v>
      </x:c>
      <x:c r="AY539" s="49" t="s">
        <x:v>2093</x:v>
      </x:c>
    </x:row>
    <x:row r="540" ht="22" customHeight="1">
      <x:c r="A540" s="49" t="s">
        <x:v>2162</x:v>
      </x:c>
      <x:c r="B540" s="49" t="s">
        <x:v>2210</x:v>
      </x:c>
      <x:c r="C540" s="49" t="s">
        <x:v>333</x:v>
      </x:c>
      <x:c r="D540" s="49" t="s">
        <x:v>116</x:v>
      </x:c>
      <x:c r="E540" s="49" t="s">
        <x:v>156</x:v>
      </x:c>
      <x:c r="F540" s="49" t="s">
        <x:v>2215</x:v>
      </x:c>
      <x:c r="G540" s="60">
        <x:v>1.02</x:v>
      </x:c>
      <x:c r="H540" s="60">
        <x:v>0.25</x:v>
      </x:c>
      <x:c r="I540" s="60">
        <x:v>0.86</x:v>
      </x:c>
      <x:c r="J540" s="49" t="s">
        <x:v>2216</x:v>
      </x:c>
      <x:c r="K540" s="49" t="s">
        <x:v>189</x:v>
      </x:c>
      <x:c r="L540" s="49" t="s">
        <x:v>200</x:v>
      </x:c>
      <x:c r="M540" s="61">
        <x:v>0.529</x:v>
      </x:c>
      <x:c r="N540" s="49" t="s">
        <x:v>1888</x:v>
      </x:c>
      <x:c r="O540" s="49" t="s">
        <x:v>231</x:v>
      </x:c>
      <x:c r="P540" s="49" t="s">
        <x:v>30</x:v>
      </x:c>
      <x:c r="Q540" s="63" t="s">
        <x:v>11</x:v>
      </x:c>
      <x:c r="R540" s="50">
        <x:v>1.02</x:v>
      </x:c>
      <x:c r="S540" s="50">
        <x:f t="shared" si="36"/>
        <x:v>1.02</x:v>
      </x:c>
      <x:c r="T540" s="49" t="s">
        <x:v>2217</x:v>
      </x:c>
      <x:c r="U540" s="49" t="str">
        <x:f t="shared" si="34"/>
        <x:v>黑</x:v>
      </x:c>
      <x:c r="V540" s="50">
        <x:f t="shared" si="35"/>
        <x:v>0.86</x:v>
      </x:c>
      <x:c r="W540" s="50">
        <x:f t="shared" si="37"/>
        <x:v>-1</x:v>
      </x:c>
      <x:c r="X540" s="62">
        <x:v>0.86</x:v>
      </x:c>
      <x:c r="Y540" s="62">
        <x:v>0</x:v>
      </x:c>
      <x:c r="Z540" s="62">
        <x:v>1.02</x:v>
      </x:c>
      <x:c r="AA540" s="62">
        <x:v>0</x:v>
      </x:c>
      <x:c r="AB540" s="62">
        <x:v>0.86</x:v>
      </x:c>
      <x:c r="AC540" s="62">
        <x:v>1.02</x:v>
      </x:c>
      <x:c r="AD540" s="60">
        <x:v>2.63</x:v>
      </x:c>
      <x:c r="AE540" s="60">
        <x:v>3.36</x:v>
      </x:c>
      <x:c r="AF540" s="60">
        <x:v>2.51</x:v>
      </x:c>
      <x:c r="AG540" s="62">
        <x:v>0.076253559003169</x:v>
      </x:c>
      <x:c r="AH540" s="62">
        <x:v>0.026253559003169</x:v>
      </x:c>
      <x:c r="AI540" s="62">
        <x:v>0.353288622092268</x:v>
      </x:c>
      <x:c r="AJ540" s="62">
        <x:v>0.276532463125793</x:v>
      </x:c>
      <x:c r="AK540" s="62">
        <x:v>0.370178914781938</x:v>
      </x:c>
      <x:c r="AL540" s="62">
        <x:v>1.18</x:v>
      </x:c>
      <x:c r="AM540" s="62">
        <x:v>1.22</x:v>
      </x:c>
      <x:c r="AN540" s="62">
        <x:v>0.0010258085605348</x:v>
      </x:c>
      <x:c r="AO540" s="62">
        <x:v>1.44792393051373</x:v>
      </x:c>
      <x:c r="AP540" s="62">
        <x:v>-0.427923930513732</x:v>
      </x:c>
      <x:c r="AQ540" s="62" t="s">
        <x:v>99</x:v>
      </x:c>
      <x:c r="AR540" s="49">
        <x:v>-0.25</x:v>
      </x:c>
      <x:c r="AS540" s="62">
        <x:v>0.352022206064499</x:v>
      </x:c>
      <x:c r="AT540" s="62">
        <x:v>0.509701376233025</x:v>
      </x:c>
      <x:c r="AU540" s="60">
        <x:v>2.35</x:v>
      </x:c>
      <x:c r="AV540" s="60">
        <x:v>3.33</x:v>
      </x:c>
      <x:c r="AW540" s="60">
        <x:v>2.94</x:v>
      </x:c>
      <x:c r="AX540" s="49" t="s">
        <x:v>1890</x:v>
      </x:c>
      <x:c r="AY540" s="49" t="s">
        <x:v>2093</x:v>
      </x:c>
    </x:row>
    <x:row r="541" ht="22" customHeight="1">
      <x:c r="A541" s="49" t="s">
        <x:v>2162</x:v>
      </x:c>
      <x:c r="B541" s="49" t="s">
        <x:v>2218</x:v>
      </x:c>
      <x:c r="C541" s="49" t="s">
        <x:v>89</x:v>
      </x:c>
      <x:c r="D541" s="49" t="s">
        <x:v>116</x:v>
      </x:c>
      <x:c r="E541" s="49" t="s">
        <x:v>553</x:v>
      </x:c>
      <x:c r="F541" s="49" t="s">
        <x:v>2219</x:v>
      </x:c>
      <x:c r="G541" s="60">
        <x:v>0.84</x:v>
      </x:c>
      <x:c r="H541" s="60">
        <x:v>0.25</x:v>
      </x:c>
      <x:c r="I541" s="60">
        <x:v>1.05</x:v>
      </x:c>
      <x:c r="J541" s="49" t="s">
        <x:v>986</x:v>
      </x:c>
      <x:c r="K541" s="49" t="s">
        <x:v>106</x:v>
      </x:c>
      <x:c r="L541" s="49" t="s">
        <x:v>722</x:v>
      </x:c>
      <x:c r="M541" s="61">
        <x:v>0.576</x:v>
      </x:c>
      <x:c r="N541" s="49" t="s">
        <x:v>1888</x:v>
      </x:c>
      <x:c r="O541" s="49" t="s">
        <x:v>141</x:v>
      </x:c>
      <x:c r="P541" s="49" t="s">
        <x:v>30</x:v>
      </x:c>
      <x:c r="Q541" s="63" t="s">
        <x:v>11</x:v>
      </x:c>
      <x:c r="R541" s="50">
        <x:v>0.84</x:v>
      </x:c>
      <x:c r="S541" s="50">
        <x:f t="shared" si="36"/>
        <x:v>0.84</x:v>
      </x:c>
      <x:c r="T541" s="49" t="s">
        <x:v>2220</x:v>
      </x:c>
      <x:c r="U541" s="49" t="str">
        <x:f t="shared" si="34"/>
        <x:v>黑</x:v>
      </x:c>
      <x:c r="V541" s="50">
        <x:f t="shared" si="35"/>
        <x:v>1.05</x:v>
      </x:c>
      <x:c r="W541" s="50">
        <x:f t="shared" si="37"/>
        <x:v>-1</x:v>
      </x:c>
      <x:c r="X541" s="62">
        <x:v>0.8</x:v>
      </x:c>
      <x:c r="Y541" s="62">
        <x:v>0.25</x:v>
      </x:c>
      <x:c r="Z541" s="62">
        <x:v>1.02</x:v>
      </x:c>
      <x:c r="AA541" s="62">
        <x:v>-0.25</x:v>
      </x:c>
      <x:c r="AB541" s="62">
        <x:v>0.8</x:v>
      </x:c>
      <x:c r="AC541" s="62">
        <x:v>0.84</x:v>
      </x:c>
      <x:c r="AD541" s="60">
        <x:v>2.01</x:v>
      </x:c>
      <x:c r="AE541" s="60">
        <x:v>3.7</x:v>
      </x:c>
      <x:c r="AF541" s="60">
        <x:v>3.03</x:v>
      </x:c>
      <x:c r="AG541" s="62">
        <x:v>0.0978157113815457</x:v>
      </x:c>
      <x:c r="AH541" s="62">
        <x:v>0.0478157113815457</x:v>
      </x:c>
      <x:c r="AI541" s="62">
        <x:v>0.453183929372673</x:v>
      </x:c>
      <x:c r="AJ541" s="62">
        <x:v>0.246189107578128</x:v>
      </x:c>
      <x:c r="AK541" s="62">
        <x:v>0.300626963049199</x:v>
      </x:c>
      <x:c r="AL541" s="62">
        <x:v>1.59</x:v>
      </x:c>
      <x:c r="AM541" s="62">
        <x:v>1.25</x:v>
      </x:c>
      <x:c r="AN541" s="62">
        <x:v>0.000362662840469993</x:v>
      </x:c>
      <x:c r="AO541" s="62">
        <x:v>0.935583682438793</x:v>
      </x:c>
      <x:c r="AP541" s="62">
        <x:v>-0.0955836824387928</x:v>
      </x:c>
      <x:c r="AQ541" s="62" t="s">
        <x:v>99</x:v>
      </x:c>
      <x:c r="AR541" s="49">
        <x:v>-0.25</x:v>
      </x:c>
      <x:c r="AS541" s="62">
        <x:v>0.452912044598385</x:v>
      </x:c>
      <x:c r="AT541" s="62">
        <x:v>0.423737118506239</x:v>
      </x:c>
      <x:c r="AU541" s="60">
        <x:v>2.04</x:v>
      </x:c>
      <x:c r="AV541" s="60">
        <x:v>3.73</x:v>
      </x:c>
      <x:c r="AW541" s="60">
        <x:v>3.04</x:v>
      </x:c>
      <x:c r="AX541" s="49" t="s">
        <x:v>1890</x:v>
      </x:c>
      <x:c r="AY541" s="49" t="s">
        <x:v>2093</x:v>
      </x:c>
    </x:row>
    <x:row r="542" ht="22" customHeight="1">
      <x:c r="A542" s="49" t="s">
        <x:v>2162</x:v>
      </x:c>
      <x:c r="B542" s="49" t="s">
        <x:v>2218</x:v>
      </x:c>
      <x:c r="C542" s="49" t="s">
        <x:v>333</x:v>
      </x:c>
      <x:c r="D542" s="49" t="s">
        <x:v>116</x:v>
      </x:c>
      <x:c r="E542" s="49" t="s">
        <x:v>613</x:v>
      </x:c>
      <x:c r="F542" s="49" t="s">
        <x:v>2221</x:v>
      </x:c>
      <x:c r="G542" s="60">
        <x:v>0.88</x:v>
      </x:c>
      <x:c r="H542" s="60">
        <x:v>0</x:v>
      </x:c>
      <x:c r="I542" s="60">
        <x:v>1.01</x:v>
      </x:c>
      <x:c r="J542" s="49" t="s">
        <x:v>692</x:v>
      </x:c>
      <x:c r="K542" s="49" t="s">
        <x:v>132</x:v>
      </x:c>
      <x:c r="L542" s="49" t="s">
        <x:v>1657</x:v>
      </x:c>
      <x:c r="M542" s="61">
        <x:v>0.559</x:v>
      </x:c>
      <x:c r="N542" s="49" t="s">
        <x:v>1888</x:v>
      </x:c>
      <x:c r="O542" s="49" t="s">
        <x:v>126</x:v>
      </x:c>
      <x:c r="P542" s="49" t="s">
        <x:v>30</x:v>
      </x:c>
      <x:c r="Q542" s="65" t="s">
        <x:v>17</x:v>
      </x:c>
      <x:c r="R542" s="50">
        <x:v>0.88</x:v>
      </x:c>
      <x:c r="S542" s="50">
        <x:f t="shared" si="36"/>
        <x:v>0</x:v>
      </x:c>
      <x:c r="T542" s="49" t="s">
        <x:v>2222</x:v>
      </x:c>
      <x:c r="U542" s="49" t="str">
        <x:f t="shared" si="34"/>
        <x:v>走</x:v>
      </x:c>
      <x:c r="V542" s="50">
        <x:f t="shared" si="35"/>
        <x:v>1.01</x:v>
      </x:c>
      <x:c r="W542" s="50">
        <x:f t="shared" si="37"/>
        <x:v>0</x:v>
      </x:c>
      <x:c r="X542" s="62">
        <x:v>0.98</x:v>
      </x:c>
      <x:c r="Y542" s="62">
        <x:v>0.25</x:v>
      </x:c>
      <x:c r="Z542" s="62">
        <x:v>0.9</x:v>
      </x:c>
      <x:c r="AA542" s="62">
        <x:v>-0.25</x:v>
      </x:c>
      <x:c r="AB542" s="62">
        <x:v>0.98</x:v>
      </x:c>
      <x:c r="AC542" s="62">
        <x:v>0.88</x:v>
      </x:c>
      <x:c r="AD542" s="60">
        <x:v>2.13</x:v>
      </x:c>
      <x:c r="AE542" s="60">
        <x:v>3.28</x:v>
      </x:c>
      <x:c r="AF542" s="60">
        <x:v>3.48</x:v>
      </x:c>
      <x:c r="AG542" s="62">
        <x:v>0.0617179386946856</x:v>
      </x:c>
      <x:c r="AH542" s="62">
        <x:v>0.0117179386946856</x:v>
      </x:c>
      <x:c r="AI542" s="62">
        <x:v>0.442192366696109</x:v>
      </x:c>
      <x:c r="AJ542" s="62">
        <x:v>0.287155408860583</x:v>
      </x:c>
      <x:c r="AK542" s="62">
        <x:v>0.270652224443308</x:v>
      </x:c>
      <x:c r="AL542" s="62">
        <x:v>1.26</x:v>
      </x:c>
      <x:c r="AM542" s="62">
        <x:v>0.92</x:v>
      </x:c>
      <x:c r="AN542" s="62">
        <x:v>0.000289943446968478</x:v>
      </x:c>
      <x:c r="AO542" s="62">
        <x:v>0.613189844253487</x:v>
      </x:c>
      <x:c r="AP542" s="62">
        <x:v>0.266810155746513</x:v>
      </x:c>
      <x:c r="AQ542" s="62" t="s">
        <x:v>135</x:v>
      </x:c>
      <x:c r="AR542" s="49">
        <x:v>0</x:v>
      </x:c>
      <x:c r="AS542" s="62">
        <x:v>0.441785267145876</x:v>
      </x:c>
      <x:c r="AT542" s="62">
        <x:v>0.270898239154665</x:v>
      </x:c>
      <x:c r="AU542" s="60">
        <x:v>2.54</x:v>
      </x:c>
      <x:c r="AV542" s="60">
        <x:v>3.27</x:v>
      </x:c>
      <x:c r="AW542" s="60">
        <x:v>2.83</x:v>
      </x:c>
      <x:c r="AX542" s="49" t="s">
        <x:v>1890</x:v>
      </x:c>
      <x:c r="AY542" s="49" t="s">
        <x:v>2093</x:v>
      </x:c>
    </x:row>
    <x:row r="543" ht="22" customHeight="1">
      <x:c r="A543" s="49" t="s">
        <x:v>2162</x:v>
      </x:c>
      <x:c r="B543" s="49" t="s">
        <x:v>2223</x:v>
      </x:c>
      <x:c r="C543" s="49" t="s">
        <x:v>333</x:v>
      </x:c>
      <x:c r="D543" s="49" t="s">
        <x:v>116</x:v>
      </x:c>
      <x:c r="E543" s="49" t="s">
        <x:v>764</x:v>
      </x:c>
      <x:c r="F543" s="49" t="s">
        <x:v>2224</x:v>
      </x:c>
      <x:c r="G543" s="60">
        <x:v>0.82</x:v>
      </x:c>
      <x:c r="H543" s="60">
        <x:v>0.25</x:v>
      </x:c>
      <x:c r="I543" s="60">
        <x:v>1.04</x:v>
      </x:c>
      <x:c r="J543" s="49" t="s">
        <x:v>1381</x:v>
      </x:c>
      <x:c r="K543" s="49" t="s">
        <x:v>106</x:v>
      </x:c>
      <x:c r="L543" s="49" t="s">
        <x:v>2225</x:v>
      </x:c>
      <x:c r="M543" s="61">
        <x:v>0.584</x:v>
      </x:c>
      <x:c r="N543" s="49" t="s">
        <x:v>1888</x:v>
      </x:c>
      <x:c r="O543" s="49" t="s">
        <x:v>126</x:v>
      </x:c>
      <x:c r="P543" s="49" t="s">
        <x:v>30</x:v>
      </x:c>
      <x:c r="Q543" s="64" t="s">
        <x:v>20</x:v>
      </x:c>
      <x:c r="R543" s="50">
        <x:v>0.82</x:v>
      </x:c>
      <x:c r="S543" s="50">
        <x:f t="shared" si="36"/>
        <x:v>-0.5</x:v>
      </x:c>
      <x:c r="T543" s="49" t="s">
        <x:v>2226</x:v>
      </x:c>
      <x:c r="U543" s="49" t="str">
        <x:f t="shared" si="34"/>
        <x:v>半红</x:v>
      </x:c>
      <x:c r="V543" s="50">
        <x:f t="shared" si="35"/>
        <x:v>1.04</x:v>
      </x:c>
      <x:c r="W543" s="50">
        <x:f t="shared" si="37"/>
        <x:v>0.52</x:v>
      </x:c>
      <x:c r="X543" s="62">
        <x:v>0.76</x:v>
      </x:c>
      <x:c r="Y543" s="62">
        <x:v>0.25</x:v>
      </x:c>
      <x:c r="Z543" s="62">
        <x:v>1</x:v>
      </x:c>
      <x:c r="AA543" s="62">
        <x:v>-0.25</x:v>
      </x:c>
      <x:c r="AB543" s="62">
        <x:v>0.76</x:v>
      </x:c>
      <x:c r="AC543" s="62">
        <x:v>0.82</x:v>
      </x:c>
      <x:c r="AD543" s="60">
        <x:v>2.07</x:v>
      </x:c>
      <x:c r="AE543" s="60">
        <x:v>3.04</x:v>
      </x:c>
      <x:c r="AF543" s="60">
        <x:v>3.44</x:v>
      </x:c>
      <x:c r="AG543" s="62">
        <x:v>0.102736830279271</x:v>
      </x:c>
      <x:c r="AH543" s="62">
        <x:v>0.0527368302792708</x:v>
      </x:c>
      <x:c r="AI543" s="62">
        <x:v>0.438084386205972</x:v>
      </x:c>
      <x:c r="AJ543" s="62">
        <x:v>0.29830088139683</x:v>
      </x:c>
      <x:c r="AK543" s="62">
        <x:v>0.263614732397198</x:v>
      </x:c>
      <x:c r="AL543" s="62">
        <x:v>1.19</x:v>
      </x:c>
      <x:c r="AM543" s="62">
        <x:v>0.85</x:v>
      </x:c>
      <x:c r="AN543" s="62">
        <x:v>0.000594950414809472</x:v>
      </x:c>
      <x:c r="AO543" s="62">
        <x:v>0.940126834981122</x:v>
      </x:c>
      <x:c r="AP543" s="62">
        <x:v>-0.120126834981122</x:v>
      </x:c>
      <x:c r="AQ543" s="62" t="s">
        <x:v>99</x:v>
      </x:c>
      <x:c r="AR543" s="49">
        <x:v>-0.25</x:v>
      </x:c>
      <x:c r="AS543" s="62">
        <x:v>0.438425976329706</x:v>
      </x:c>
      <x:c r="AT543" s="62">
        <x:v>0.412176025500354</x:v>
      </x:c>
      <x:c r="AU543" s="60">
        <x:v>2.08</x:v>
      </x:c>
      <x:c r="AV543" s="60">
        <x:v>3.07</x:v>
      </x:c>
      <x:c r="AW543" s="60">
        <x:v>3.42</x:v>
      </x:c>
      <x:c r="AX543" s="49" t="s">
        <x:v>1890</x:v>
      </x:c>
      <x:c r="AY543" s="49" t="s">
        <x:v>2093</x:v>
      </x:c>
    </x:row>
    <x:row r="544" ht="22" customHeight="1">
      <x:c r="A544" s="49" t="s">
        <x:v>2162</x:v>
      </x:c>
      <x:c r="B544" s="49" t="s">
        <x:v>2227</x:v>
      </x:c>
      <x:c r="C544" s="49" t="s">
        <x:v>333</x:v>
      </x:c>
      <x:c r="D544" s="49" t="s">
        <x:v>116</x:v>
      </x:c>
      <x:c r="E544" s="49" t="s">
        <x:v>602</x:v>
      </x:c>
      <x:c r="F544" s="49" t="s">
        <x:v>2228</x:v>
      </x:c>
      <x:c r="G544" s="60">
        <x:v>0.95</x:v>
      </x:c>
      <x:c r="H544" s="60">
        <x:v>0.25</x:v>
      </x:c>
      <x:c r="I544" s="60">
        <x:v>0.94</x:v>
      </x:c>
      <x:c r="J544" s="49" t="s">
        <x:v>2229</x:v>
      </x:c>
      <x:c r="K544" s="49" t="s">
        <x:v>132</x:v>
      </x:c>
      <x:c r="L544" s="49" t="s">
        <x:v>2230</x:v>
      </x:c>
      <x:c r="M544" s="61">
        <x:v>0.559</x:v>
      </x:c>
      <x:c r="N544" s="49" t="s">
        <x:v>1888</x:v>
      </x:c>
      <x:c r="O544" s="49" t="s">
        <x:v>191</x:v>
      </x:c>
      <x:c r="P544" s="49" t="s">
        <x:v>30</x:v>
      </x:c>
      <x:c r="Q544" s="64" t="s">
        <x:v>23</x:v>
      </x:c>
      <x:c r="R544" s="50">
        <x:v>0.95</x:v>
      </x:c>
      <x:c r="S544" s="50">
        <x:f t="shared" si="36"/>
        <x:v>-1</x:v>
      </x:c>
      <x:c r="T544" s="49" t="s">
        <x:v>2231</x:v>
      </x:c>
      <x:c r="U544" s="49" t="str">
        <x:f t="shared" si="34"/>
        <x:v>红</x:v>
      </x:c>
      <x:c r="V544" s="50">
        <x:f t="shared" si="35"/>
        <x:v>0.94</x:v>
      </x:c>
      <x:c r="W544" s="50">
        <x:f t="shared" si="37"/>
        <x:v>0.94</x:v>
      </x:c>
      <x:c r="X544" s="62">
        <x:v>1.05</x:v>
      </x:c>
      <x:c r="Y544" s="62">
        <x:v>0.5</x:v>
      </x:c>
      <x:c r="Z544" s="62">
        <x:v>0.83</x:v>
      </x:c>
      <x:c r="AA544" s="62">
        <x:v>-0.5</x:v>
      </x:c>
      <x:c r="AB544" s="62">
        <x:v>1.05</x:v>
      </x:c>
      <x:c r="AC544" s="62">
        <x:v>0.95</x:v>
      </x:c>
      <x:c r="AD544" s="60">
        <x:v>2.07</x:v>
      </x:c>
      <x:c r="AE544" s="60">
        <x:v>3.2</x:v>
      </x:c>
      <x:c r="AF544" s="60">
        <x:v>3.7</x:v>
      </x:c>
      <x:c r="AG544" s="62">
        <x:v>0.0658620577098838</x:v>
      </x:c>
      <x:c r="AH544" s="62">
        <x:v>0.0158620577098838</x:v>
      </x:c>
      <x:c r="AI544" s="62">
        <x:v>0.45324043945948</x:v>
      </x:c>
      <x:c r="AJ544" s="62">
        <x:v>0.293189909275351</x:v>
      </x:c>
      <x:c r="AK544" s="62">
        <x:v>0.253569651265169</x:v>
      </x:c>
      <x:c r="AL544" s="62">
        <x:v>1.24</x:v>
      </x:c>
      <x:c r="AM544" s="62">
        <x:v>0.85</x:v>
      </x:c>
      <x:c r="AN544" s="62">
        <x:v>0.000407966587489997</x:v>
      </x:c>
      <x:c r="AO544" s="62">
        <x:v>0.8835451432176</x:v>
      </x:c>
      <x:c r="AP544" s="62">
        <x:v>0.0664548567823999</x:v>
      </x:c>
      <x:c r="AQ544" s="62" t="s">
        <x:v>165</x:v>
      </x:c>
      <x:c r="AR544" s="49">
        <x:v>-0.25</x:v>
      </x:c>
      <x:c r="AS544" s="62">
        <x:v>0.453213362847118</x:v>
      </x:c>
      <x:c r="AT544" s="62">
        <x:v>0.400434465584887</x:v>
      </x:c>
      <x:c r="AU544" s="60">
        <x:v>2.25</x:v>
      </x:c>
      <x:c r="AV544" s="60">
        <x:v>3.25</x:v>
      </x:c>
      <x:c r="AW544" s="60">
        <x:v>3.32</x:v>
      </x:c>
      <x:c r="AX544" s="49" t="s">
        <x:v>1890</x:v>
      </x:c>
      <x:c r="AY544" s="49" t="s">
        <x:v>2093</x:v>
      </x:c>
    </x:row>
    <x:row r="545" ht="22" customHeight="1">
      <x:c r="A545" s="49" t="s">
        <x:v>2162</x:v>
      </x:c>
      <x:c r="B545" s="49" t="s">
        <x:v>2227</x:v>
      </x:c>
      <x:c r="C545" s="49" t="s">
        <x:v>89</x:v>
      </x:c>
      <x:c r="D545" s="49" t="s">
        <x:v>116</x:v>
      </x:c>
      <x:c r="E545" s="49" t="s">
        <x:v>687</x:v>
      </x:c>
      <x:c r="F545" s="49" t="s">
        <x:v>2232</x:v>
      </x:c>
      <x:c r="G545" s="60">
        <x:v>0.82</x:v>
      </x:c>
      <x:c r="H545" s="60">
        <x:v>1.75</x:v>
      </x:c>
      <x:c r="I545" s="60">
        <x:v>0.88</x:v>
      </x:c>
      <x:c r="J545" s="49" t="s">
        <x:v>2233</x:v>
      </x:c>
      <x:c r="K545" s="49" t="s">
        <x:v>106</x:v>
      </x:c>
      <x:c r="L545" s="49" t="s">
        <x:v>2234</x:v>
      </x:c>
      <x:c r="M545" s="61">
        <x:v>0.576</x:v>
      </x:c>
      <x:c r="N545" s="49" t="s">
        <x:v>1888</x:v>
      </x:c>
      <x:c r="O545" s="49" t="s">
        <x:v>197</x:v>
      </x:c>
      <x:c r="P545" s="49" t="s">
        <x:v>30</x:v>
      </x:c>
      <x:c r="Q545" s="63" t="s">
        <x:v>14</x:v>
      </x:c>
      <x:c r="R545" s="50">
        <x:v>0.82</x:v>
      </x:c>
      <x:c r="S545" s="50">
        <x:f t="shared" si="36"/>
        <x:v>0.41</x:v>
      </x:c>
      <x:c r="T545" s="49" t="s">
        <x:v>2235</x:v>
      </x:c>
      <x:c r="U545" s="49" t="str">
        <x:f t="shared" si="34"/>
        <x:v>半黑</x:v>
      </x:c>
      <x:c r="V545" s="50">
        <x:f t="shared" si="35"/>
        <x:v>0.88</x:v>
      </x:c>
      <x:c r="W545" s="50">
        <x:f t="shared" si="37"/>
        <x:v>-0.5</x:v>
      </x:c>
      <x:c r="X545" s="62">
        <x:v>0.82</x:v>
      </x:c>
      <x:c r="Y545" s="62">
        <x:v>1.75</x:v>
      </x:c>
      <x:c r="Z545" s="62">
        <x:v>0.88</x:v>
      </x:c>
      <x:c r="AA545" s="62">
        <x:v>-1.75</x:v>
      </x:c>
      <x:c r="AB545" s="62">
        <x:v>0.82</x:v>
      </x:c>
      <x:c r="AC545" s="62">
        <x:v>0.82</x:v>
      </x:c>
      <x:c r="AD545" s="60">
        <x:v>1.26</x:v>
      </x:c>
      <x:c r="AE545" s="60">
        <x:v>5.47</x:v>
      </x:c>
      <x:c r="AF545" s="60">
        <x:v>7.69</x:v>
      </x:c>
      <x:c r="AG545" s="62">
        <x:v>0.10650516184425</x:v>
      </x:c>
      <x:c r="AH545" s="62">
        <x:v>0.0565051618442498</x:v>
      </x:c>
      <x:c r="AI545" s="62">
        <x:v>0.717259007023509</x:v>
      </x:c>
      <x:c r="AJ545" s="62">
        <x:v>0.16521871094143</x:v>
      </x:c>
      <x:c r="AK545" s="62">
        <x:v>0.117522282035061</x:v>
      </x:c>
      <x:c r="AL545" s="62">
        <x:v>2.47</x:v>
      </x:c>
      <x:c r="AM545" s="62">
        <x:v>0.9</x:v>
      </x:c>
      <x:c r="AN545" s="62">
        <x:v>0.000271689483167441</x:v>
      </x:c>
      <x:c r="AO545" s="62">
        <x:v>1.28616271084264</x:v>
      </x:c>
      <x:c r="AP545" s="62">
        <x:v>-0.466162710842638</x:v>
      </x:c>
      <x:c r="AQ545" s="62" t="s">
        <x:v>99</x:v>
      </x:c>
      <x:c r="AR545" s="49">
        <x:v>-1.75</x:v>
      </x:c>
      <x:c r="AS545" s="62">
        <x:v>0.391976530281675</x:v>
      </x:c>
      <x:c r="AT545" s="62">
        <x:v>0.504145596773771</x:v>
      </x:c>
      <x:c r="AU545" s="60">
        <x:v>1.24</x:v>
      </x:c>
      <x:c r="AV545" s="60">
        <x:v>5.63</x:v>
      </x:c>
      <x:c r="AW545" s="60">
        <x:v>8.07</x:v>
      </x:c>
      <x:c r="AX545" s="49" t="s">
        <x:v>1890</x:v>
      </x:c>
      <x:c r="AY545" s="49" t="s">
        <x:v>2093</x:v>
      </x:c>
    </x:row>
    <x:row r="546" ht="22" customHeight="1">
      <x:c r="A546" s="49" t="s">
        <x:v>2162</x:v>
      </x:c>
      <x:c r="B546" s="49" t="s">
        <x:v>2227</x:v>
      </x:c>
      <x:c r="C546" s="49" t="s">
        <x:v>89</x:v>
      </x:c>
      <x:c r="D546" s="49" t="s">
        <x:v>116</x:v>
      </x:c>
      <x:c r="E546" s="49" t="s">
        <x:v>347</x:v>
      </x:c>
      <x:c r="F546" s="49" t="s">
        <x:v>2236</x:v>
      </x:c>
      <x:c r="G546" s="60">
        <x:v>1.05</x:v>
      </x:c>
      <x:c r="H546" s="60">
        <x:v>-0.75</x:v>
      </x:c>
      <x:c r="I546" s="60">
        <x:v>0.83</x:v>
      </x:c>
      <x:c r="J546" s="49" t="s">
        <x:v>2237</x:v>
      </x:c>
      <x:c r="K546" s="49" t="s">
        <x:v>106</x:v>
      </x:c>
      <x:c r="L546" s="49" t="s">
        <x:v>2238</x:v>
      </x:c>
      <x:c r="M546" s="61">
        <x:v>0.576</x:v>
      </x:c>
      <x:c r="N546" s="49" t="s">
        <x:v>1888</x:v>
      </x:c>
      <x:c r="O546" s="49" t="s">
        <x:v>149</x:v>
      </x:c>
      <x:c r="P546" s="49" t="s">
        <x:v>30</x:v>
      </x:c>
      <x:c r="Q546" s="64" t="s">
        <x:v>23</x:v>
      </x:c>
      <x:c r="R546" s="50">
        <x:v>0.83</x:v>
      </x:c>
      <x:c r="S546" s="50">
        <x:f t="shared" si="36"/>
        <x:v>-1</x:v>
      </x:c>
      <x:c r="T546" s="49" t="s">
        <x:v>2239</x:v>
      </x:c>
      <x:c r="U546" s="49" t="str">
        <x:f t="shared" si="34"/>
        <x:v>红</x:v>
      </x:c>
      <x:c r="V546" s="50">
        <x:f t="shared" si="35"/>
        <x:v>1.05</x:v>
      </x:c>
      <x:c r="W546" s="50">
        <x:f t="shared" si="37"/>
        <x:v>1.05</x:v>
      </x:c>
      <x:c r="X546" s="62">
        <x:v>0.99</x:v>
      </x:c>
      <x:c r="Y546" s="62">
        <x:v>-0.75</x:v>
      </x:c>
      <x:c r="Z546" s="62">
        <x:v>0.77</x:v>
      </x:c>
      <x:c r="AA546" s="62">
        <x:v>-0.75</x:v>
      </x:c>
      <x:c r="AB546" s="62">
        <x:v>0.77</x:v>
      </x:c>
      <x:c r="AC546" s="62">
        <x:v>0.83</x:v>
      </x:c>
      <x:c r="AD546" s="60">
        <x:v>4.57</x:v>
      </x:c>
      <x:c r="AE546" s="60">
        <x:v>3.69</x:v>
      </x:c>
      <x:c r="AF546" s="60">
        <x:v>1.66</x:v>
      </x:c>
      <x:c r="AG546" s="62">
        <x:v>0.0922307293252997</x:v>
      </x:c>
      <x:c r="AH546" s="62">
        <x:v>0.0422307293252997</x:v>
      </x:c>
      <x:c r="AI546" s="62">
        <x:v>0.200340802422902</x:v>
      </x:c>
      <x:c r="AJ546" s="62">
        <x:v>0.24811855476224</x:v>
      </x:c>
      <x:c r="AK546" s="62">
        <x:v>0.551540642814858</x:v>
      </x:c>
      <x:c r="AL546" s="62">
        <x:v>0.86</x:v>
      </x:c>
      <x:c r="AM546" s="62">
        <x:v>1.61</x:v>
      </x:c>
      <x:c r="AN546" s="62">
        <x:v>0.000698899029241435</x:v>
      </x:c>
      <x:c r="AO546" s="62">
        <x:v>1.06114198266576</x:v>
      </x:c>
      <x:c r="AP546" s="62">
        <x:v>-0.231141982665761</x:v>
      </x:c>
      <x:c r="AQ546" s="62" t="s">
        <x:v>99</x:v>
      </x:c>
      <x:c r="AR546" s="49">
        <x:v>-0.75</x:v>
      </x:c>
      <x:c r="AS546" s="62">
        <x:v>0.423331120507373</x:v>
      </x:c>
      <x:c r="AT546" s="62">
        <x:v>0.449214424539312</x:v>
      </x:c>
      <x:c r="AU546" s="60">
        <x:v>4.88</x:v>
      </x:c>
      <x:c r="AV546" s="60">
        <x:v>3.82</x:v>
      </x:c>
      <x:c r="AW546" s="60">
        <x:v>1.62</x:v>
      </x:c>
      <x:c r="AX546" s="49" t="s">
        <x:v>1890</x:v>
      </x:c>
      <x:c r="AY546" s="49" t="s">
        <x:v>2093</x:v>
      </x:c>
    </x:row>
    <x:row r="547" ht="22" customHeight="1">
      <x:c r="A547" s="49" t="s">
        <x:v>2162</x:v>
      </x:c>
      <x:c r="B547" s="49" t="s">
        <x:v>2227</x:v>
      </x:c>
      <x:c r="C547" s="49" t="s">
        <x:v>89</x:v>
      </x:c>
      <x:c r="D547" s="49" t="s">
        <x:v>116</x:v>
      </x:c>
      <x:c r="E547" s="49" t="s">
        <x:v>587</x:v>
      </x:c>
      <x:c r="F547" s="49" t="s">
        <x:v>2240</x:v>
      </x:c>
      <x:c r="G547" s="60">
        <x:v>0.84</x:v>
      </x:c>
      <x:c r="H547" s="60">
        <x:v>0.75</x:v>
      </x:c>
      <x:c r="I547" s="60">
        <x:v>1.05</x:v>
      </x:c>
      <x:c r="J547" s="49" t="s">
        <x:v>936</x:v>
      </x:c>
      <x:c r="K547" s="49" t="s">
        <x:v>106</x:v>
      </x:c>
      <x:c r="L547" s="49" t="s">
        <x:v>693</x:v>
      </x:c>
      <x:c r="M547" s="61">
        <x:v>0.576</x:v>
      </x:c>
      <x:c r="N547" s="49" t="s">
        <x:v>1888</x:v>
      </x:c>
      <x:c r="O547" s="49" t="s">
        <x:v>178</x:v>
      </x:c>
      <x:c r="P547" s="49" t="s">
        <x:v>30</x:v>
      </x:c>
      <x:c r="Q547" s="63" t="s">
        <x:v>14</x:v>
      </x:c>
      <x:c r="R547" s="50">
        <x:v>0.84</x:v>
      </x:c>
      <x:c r="S547" s="50">
        <x:f t="shared" si="36"/>
        <x:v>0.42</x:v>
      </x:c>
      <x:c r="T547" s="49" t="s">
        <x:v>2241</x:v>
      </x:c>
      <x:c r="U547" s="49" t="str">
        <x:f t="shared" si="34"/>
        <x:v>半黑</x:v>
      </x:c>
      <x:c r="V547" s="50">
        <x:f t="shared" si="35"/>
        <x:v>1.05</x:v>
      </x:c>
      <x:c r="W547" s="50">
        <x:f t="shared" si="37"/>
        <x:v>-0.5</x:v>
      </x:c>
      <x:c r="X547" s="62">
        <x:v>1.02</x:v>
      </x:c>
      <x:c r="Y547" s="62">
        <x:v>0.75</x:v>
      </x:c>
      <x:c r="Z547" s="62">
        <x:v>0.86</x:v>
      </x:c>
      <x:c r="AA547" s="62">
        <x:v>-0.75</x:v>
      </x:c>
      <x:c r="AB547" s="62">
        <x:v>1.02</x:v>
      </x:c>
      <x:c r="AC547" s="62">
        <x:v>0.84</x:v>
      </x:c>
      <x:c r="AD547" s="60">
        <x:v>1.74</x:v>
      </x:c>
      <x:c r="AE547" s="60">
        <x:v>3.75</x:v>
      </x:c>
      <x:c r="AF547" s="60">
        <x:v>3.94</x:v>
      </x:c>
      <x:c r="AG547" s="62">
        <x:v>0.0951864169438124</x:v>
      </x:c>
      <x:c r="AH547" s="62">
        <x:v>0.0451864169438123</x:v>
      </x:c>
      <x:c r="AI547" s="62">
        <x:v>0.524762391850999</x:v>
      </x:c>
      <x:c r="AJ547" s="62">
        <x:v>0.243489749818864</x:v>
      </x:c>
      <x:c r="AK547" s="62">
        <x:v>0.231747858330137</x:v>
      </x:c>
      <x:c r="AL547" s="62">
        <x:v>1.67</x:v>
      </x:c>
      <x:c r="AM547" s="62">
        <x:v>1.02</x:v>
      </x:c>
      <x:c r="AN547" s="62">
        <x:v>0.000784009533031302</x:v>
      </x:c>
      <x:c r="AO547" s="62">
        <x:v>1.17054285057275</x:v>
      </x:c>
      <x:c r="AP547" s="62">
        <x:v>-0.330542850572746</x:v>
      </x:c>
      <x:c r="AQ547" s="62" t="s">
        <x:v>99</x:v>
      </x:c>
      <x:c r="AR547" s="49">
        <x:v>-0.75</x:v>
      </x:c>
      <x:c r="AS547" s="62">
        <x:v>0.405068425025038</x:v>
      </x:c>
      <x:c r="AT547" s="62">
        <x:v>0.474149948905821</x:v>
      </x:c>
      <x:c r="AU547" s="60">
        <x:v>1.61</x:v>
      </x:c>
      <x:c r="AV547" s="60">
        <x:v>3.98</x:v>
      </x:c>
      <x:c r="AW547" s="60">
        <x:v>4.65</x:v>
      </x:c>
      <x:c r="AX547" s="49" t="s">
        <x:v>1890</x:v>
      </x:c>
      <x:c r="AY547" s="49" t="s">
        <x:v>2093</x:v>
      </x:c>
    </x:row>
    <x:row r="548" ht="22" customHeight="1">
      <x:c r="A548" s="49" t="s">
        <x:v>2162</x:v>
      </x:c>
      <x:c r="B548" s="49" t="s">
        <x:v>2242</x:v>
      </x:c>
      <x:c r="C548" s="49" t="s">
        <x:v>333</x:v>
      </x:c>
      <x:c r="D548" s="49" t="s">
        <x:v>116</x:v>
      </x:c>
      <x:c r="E548" s="49" t="s">
        <x:v>597</x:v>
      </x:c>
      <x:c r="F548" s="49" t="s">
        <x:v>2243</x:v>
      </x:c>
      <x:c r="G548" s="60">
        <x:v>0.9</x:v>
      </x:c>
      <x:c r="H548" s="60">
        <x:v>0</x:v>
      </x:c>
      <x:c r="I548" s="60">
        <x:v>0.99</x:v>
      </x:c>
      <x:c r="J548" s="49" t="s">
        <x:v>1040</x:v>
      </x:c>
      <x:c r="K548" s="49" t="s">
        <x:v>132</x:v>
      </x:c>
      <x:c r="L548" s="49" t="s">
        <x:v>2244</x:v>
      </x:c>
      <x:c r="M548" s="61">
        <x:v>0.559</x:v>
      </x:c>
      <x:c r="N548" s="49" t="s">
        <x:v>1888</x:v>
      </x:c>
      <x:c r="O548" s="49" t="s">
        <x:v>273</x:v>
      </x:c>
      <x:c r="P548" s="49" t="s">
        <x:v>30</x:v>
      </x:c>
      <x:c r="Q548" s="65" t="s">
        <x:v>17</x:v>
      </x:c>
      <x:c r="R548" s="50">
        <x:v>0.9</x:v>
      </x:c>
      <x:c r="S548" s="50">
        <x:f t="shared" si="36"/>
        <x:v>0</x:v>
      </x:c>
      <x:c r="T548" s="49" t="s">
        <x:v>2245</x:v>
      </x:c>
      <x:c r="U548" s="49" t="str">
        <x:f t="shared" si="34"/>
        <x:v>走</x:v>
      </x:c>
      <x:c r="V548" s="50">
        <x:f t="shared" si="35"/>
        <x:v>0.99</x:v>
      </x:c>
      <x:c r="W548" s="50">
        <x:f t="shared" si="37"/>
        <x:v>0</x:v>
      </x:c>
      <x:c r="X548" s="62">
        <x:v>1.05</x:v>
      </x:c>
      <x:c r="Y548" s="62">
        <x:v>0.25</x:v>
      </x:c>
      <x:c r="Z548" s="62">
        <x:v>0.83</x:v>
      </x:c>
      <x:c r="AA548" s="62">
        <x:v>-0.25</x:v>
      </x:c>
      <x:c r="AB548" s="62">
        <x:v>1.05</x:v>
      </x:c>
      <x:c r="AC548" s="62">
        <x:v>0.9</x:v>
      </x:c>
      <x:c r="AD548" s="60">
        <x:v>2.26</x:v>
      </x:c>
      <x:c r="AE548" s="60">
        <x:v>3.72</x:v>
      </x:c>
      <x:c r="AF548" s="60">
        <x:v>2.81</x:v>
      </x:c>
      <x:c r="AG548" s="62">
        <x:v>0.0671669665282664</x:v>
      </x:c>
      <x:c r="AH548" s="62">
        <x:v>0.0171669665282664</x:v>
      </x:c>
      <x:c r="AI548" s="62">
        <x:v>0.414628535163223</x:v>
      </x:c>
      <x:c r="AJ548" s="62">
        <x:v>0.251897981040022</x:v>
      </x:c>
      <x:c r="AK548" s="62">
        <x:v>0.333473483796755</x:v>
      </x:c>
      <x:c r="AL548" s="62">
        <x:v>1.49</x:v>
      </x:c>
      <x:c r="AM548" s="62">
        <x:v>1.31</x:v>
      </x:c>
      <x:c r="AN548" s="62">
        <x:v>0.000234963365234923</x:v>
      </x:c>
      <x:c r="AO548" s="62">
        <x:v>0.803514395987743</x:v>
      </x:c>
      <x:c r="AP548" s="62">
        <x:v>0.0964856040122569</x:v>
      </x:c>
      <x:c r="AQ548" s="62" t="s">
        <x:v>135</x:v>
      </x:c>
      <x:c r="AR548" s="49">
        <x:v>0</x:v>
      </x:c>
      <x:c r="AS548" s="62">
        <x:v>0.414942095870406</x:v>
      </x:c>
      <x:c r="AT548" s="62">
        <x:v>0.333411947533198</x:v>
      </x:c>
      <x:c r="AU548" s="60">
        <x:v>2.45</x:v>
      </x:c>
      <x:c r="AV548" s="60">
        <x:v>3.79</x:v>
      </x:c>
      <x:c r="AW548" s="60">
        <x:v>2.62</x:v>
      </x:c>
      <x:c r="AX548" s="49" t="s">
        <x:v>1890</x:v>
      </x:c>
      <x:c r="AY548" s="49" t="s">
        <x:v>2093</x:v>
      </x:c>
    </x:row>
    <x:row r="549" ht="22" customHeight="1">
      <x:c r="A549" s="49" t="s">
        <x:v>2162</x:v>
      </x:c>
      <x:c r="B549" s="49" t="s">
        <x:v>2246</x:v>
      </x:c>
      <x:c r="C549" s="49" t="s">
        <x:v>89</x:v>
      </x:c>
      <x:c r="D549" s="49" t="s">
        <x:v>116</x:v>
      </x:c>
      <x:c r="E549" s="49" t="s">
        <x:v>831</x:v>
      </x:c>
      <x:c r="F549" s="49" t="s">
        <x:v>2247</x:v>
      </x:c>
      <x:c r="G549" s="60">
        <x:v>1.03</x:v>
      </x:c>
      <x:c r="H549" s="60">
        <x:v>-0.5</x:v>
      </x:c>
      <x:c r="I549" s="60">
        <x:v>0.81</x:v>
      </x:c>
      <x:c r="J549" s="49" t="s">
        <x:v>2248</x:v>
      </x:c>
      <x:c r="K549" s="49" t="s">
        <x:v>106</x:v>
      </x:c>
      <x:c r="L549" s="49" t="s">
        <x:v>834</x:v>
      </x:c>
      <x:c r="M549" s="61">
        <x:v>0.576</x:v>
      </x:c>
      <x:c r="N549" s="49" t="s">
        <x:v>1888</x:v>
      </x:c>
      <x:c r="O549" s="49" t="s">
        <x:v>708</x:v>
      </x:c>
      <x:c r="P549" s="49" t="s">
        <x:v>30</x:v>
      </x:c>
      <x:c r="Q549" s="63" t="s">
        <x:v>11</x:v>
      </x:c>
      <x:c r="R549" s="50">
        <x:v>0.81</x:v>
      </x:c>
      <x:c r="S549" s="50">
        <x:f t="shared" si="36"/>
        <x:v>0.81</x:v>
      </x:c>
      <x:c r="T549" s="49" t="s">
        <x:v>2249</x:v>
      </x:c>
      <x:c r="U549" s="49" t="str">
        <x:f t="shared" si="34"/>
        <x:v>黑</x:v>
      </x:c>
      <x:c r="V549" s="50">
        <x:f t="shared" si="35"/>
        <x:v>1.03</x:v>
      </x:c>
      <x:c r="W549" s="50">
        <x:f t="shared" si="37"/>
        <x:v>-1</x:v>
      </x:c>
      <x:c r="X549" s="62">
        <x:v>0.91</x:v>
      </x:c>
      <x:c r="Y549" s="62">
        <x:v>-0.5</x:v>
      </x:c>
      <x:c r="Z549" s="62">
        <x:v>0.85</x:v>
      </x:c>
      <x:c r="AA549" s="62">
        <x:v>-0.5</x:v>
      </x:c>
      <x:c r="AB549" s="62">
        <x:v>0.85</x:v>
      </x:c>
      <x:c r="AC549" s="62">
        <x:v>0.81</x:v>
      </x:c>
      <x:c r="AD549" s="60">
        <x:v>3.47</x:v>
      </x:c>
      <x:c r="AE549" s="60">
        <x:v>3.71</x:v>
      </x:c>
      <x:c r="AF549" s="60">
        <x:v>1.85</x:v>
      </x:c>
      <x:c r="AG549" s="62">
        <x:v>0.0982667575566274</x:v>
      </x:c>
      <x:c r="AH549" s="62">
        <x:v>0.0482667575566274</x:v>
      </x:c>
      <x:c r="AI549" s="62">
        <x:v>0.262399308781307</x:v>
      </x:c>
      <x:c r="AJ549" s="62">
        <x:v>0.245424690423486</x:v>
      </x:c>
      <x:c r="AK549" s="62">
        <x:v>0.492176000795207</x:v>
      </x:c>
      <x:c r="AL549" s="62">
        <x:v>1.13</x:v>
      </x:c>
      <x:c r="AM549" s="62">
        <x:v>1.64</x:v>
      </x:c>
      <x:c r="AN549" s="62">
        <x:v>0.000274671371871692</x:v>
      </x:c>
      <x:c r="AO549" s="62">
        <x:v>1.0306591966101</x:v>
      </x:c>
      <x:c r="AP549" s="62">
        <x:v>-0.220659196610095</x:v>
      </x:c>
      <x:c r="AQ549" s="62" t="s">
        <x:v>99</x:v>
      </x:c>
      <x:c r="AR549" s="49">
        <x:v>-0.5</x:v>
      </x:c>
      <x:c r="AS549" s="62">
        <x:v>0.492450925132766</x:v>
      </x:c>
      <x:c r="AT549" s="62">
        <x:v>0.507549074867234</x:v>
      </x:c>
      <x:c r="AU549" s="60">
        <x:v>3.51</x:v>
      </x:c>
      <x:c r="AV549" s="60">
        <x:v>3.7</x:v>
      </x:c>
      <x:c r="AW549" s="60">
        <x:v>1.87</x:v>
      </x:c>
      <x:c r="AX549" s="49" t="s">
        <x:v>1890</x:v>
      </x:c>
      <x:c r="AY549" s="49" t="s">
        <x:v>2093</x:v>
      </x:c>
    </x:row>
    <x:row r="550" ht="22" customHeight="1">
      <x:c r="A550" s="49" t="s">
        <x:v>2162</x:v>
      </x:c>
      <x:c r="B550" s="49" t="s">
        <x:v>2246</x:v>
      </x:c>
      <x:c r="C550" s="49" t="s">
        <x:v>89</x:v>
      </x:c>
      <x:c r="D550" s="49" t="s">
        <x:v>116</x:v>
      </x:c>
      <x:c r="E550" s="49" t="s">
        <x:v>592</x:v>
      </x:c>
      <x:c r="F550" s="49" t="s">
        <x:v>2250</x:v>
      </x:c>
      <x:c r="G550" s="60">
        <x:v>0.96</x:v>
      </x:c>
      <x:c r="H550" s="60">
        <x:v>-0.25</x:v>
      </x:c>
      <x:c r="I550" s="60">
        <x:v>0.9</x:v>
      </x:c>
      <x:c r="J550" s="49" t="s">
        <x:v>2251</x:v>
      </x:c>
      <x:c r="K550" s="49" t="s">
        <x:v>132</x:v>
      </x:c>
      <x:c r="L550" s="49" t="s">
        <x:v>2252</x:v>
      </x:c>
      <x:c r="M550" s="61">
        <x:v>0.555</x:v>
      </x:c>
      <x:c r="N550" s="49" t="s">
        <x:v>1888</x:v>
      </x:c>
      <x:c r="O550" s="49" t="s">
        <x:v>191</x:v>
      </x:c>
      <x:c r="P550" s="49" t="s">
        <x:v>30</x:v>
      </x:c>
      <x:c r="Q550" s="64" t="s">
        <x:v>23</x:v>
      </x:c>
      <x:c r="R550" s="50">
        <x:v>0.96</x:v>
      </x:c>
      <x:c r="S550" s="50">
        <x:f t="shared" si="36"/>
        <x:v>-1</x:v>
      </x:c>
      <x:c r="T550" s="49" t="s">
        <x:v>2253</x:v>
      </x:c>
      <x:c r="U550" s="49" t="str">
        <x:f t="shared" si="34"/>
        <x:v>红</x:v>
      </x:c>
      <x:c r="V550" s="50">
        <x:f t="shared" si="35"/>
        <x:v>0.9</x:v>
      </x:c>
      <x:c r="W550" s="50">
        <x:f t="shared" si="37"/>
        <x:v>0.9</x:v>
      </x:c>
      <x:c r="X550" s="62">
        <x:v>0.84</x:v>
      </x:c>
      <x:c r="Y550" s="62">
        <x:v>-0.5</x:v>
      </x:c>
      <x:c r="Z550" s="62">
        <x:v>0.98</x:v>
      </x:c>
      <x:c r="AA550" s="62">
        <x:v>0.5</x:v>
      </x:c>
      <x:c r="AB550" s="62">
        <x:v>0.84</x:v>
      </x:c>
      <x:c r="AC550" s="62">
        <x:v>0.96</x:v>
      </x:c>
      <x:c r="AD550" s="60">
        <x:v>3.28</x:v>
      </x:c>
      <x:c r="AE550" s="60">
        <x:v>3.58</x:v>
      </x:c>
      <x:c r="AF550" s="60">
        <x:v>1.92</x:v>
      </x:c>
      <x:c r="AG550" s="62">
        <x:v>0.105040991052369</x:v>
      </x:c>
      <x:c r="AH550" s="62">
        <x:v>0.0550409910523686</x:v>
      </x:c>
      <x:c r="AI550" s="62">
        <x:v>0.275897501766104</x:v>
      </x:c>
      <x:c r="AJ550" s="62">
        <x:v>0.252777599383469</x:v>
      </x:c>
      <x:c r="AK550" s="62">
        <x:v>0.471324898850427</x:v>
      </x:c>
      <x:c r="AL550" s="62">
        <x:v>1.12</x:v>
      </x:c>
      <x:c r="AM550" s="62">
        <x:v>1.55</x:v>
      </x:c>
      <x:c r="AN550" s="62">
        <x:v>0.000897667197876838</x:v>
      </x:c>
      <x:c r="AO550" s="62">
        <x:v>1.17740947261375</x:v>
      </x:c>
      <x:c r="AP550" s="62">
        <x:v>-0.217409472613748</x:v>
      </x:c>
      <x:c r="AQ550" s="62" t="s">
        <x:v>289</x:v>
      </x:c>
      <x:c r="AR550" s="49">
        <x:v>0.25</x:v>
      </x:c>
      <x:c r="AS550" s="62">
        <x:v>0.401190917726015</x:v>
      </x:c>
      <x:c r="AT550" s="62">
        <x:v>0.472365986857213</x:v>
      </x:c>
      <x:c r="AU550" s="60">
        <x:v>3.19</x:v>
      </x:c>
      <x:c r="AV550" s="60">
        <x:v>3.57</x:v>
      </x:c>
      <x:c r="AW550" s="60">
        <x:v>1.97</x:v>
      </x:c>
      <x:c r="AX550" s="49" t="s">
        <x:v>1890</x:v>
      </x:c>
      <x:c r="AY550" s="49" t="s">
        <x:v>2093</x:v>
      </x:c>
    </x:row>
    <x:row r="551" ht="22" customHeight="1">
      <x:c r="A551" s="49" t="s">
        <x:v>2162</x:v>
      </x:c>
      <x:c r="B551" s="49" t="s">
        <x:v>2246</x:v>
      </x:c>
      <x:c r="C551" s="49" t="s">
        <x:v>333</x:v>
      </x:c>
      <x:c r="D551" s="49" t="s">
        <x:v>116</x:v>
      </x:c>
      <x:c r="E551" s="49" t="s">
        <x:v>156</x:v>
      </x:c>
      <x:c r="F551" s="49" t="s">
        <x:v>2254</x:v>
      </x:c>
      <x:c r="G551" s="60">
        <x:v>0.85</x:v>
      </x:c>
      <x:c r="H551" s="60">
        <x:v>0.5</x:v>
      </x:c>
      <x:c r="I551" s="60">
        <x:v>1.03</x:v>
      </x:c>
      <x:c r="J551" s="49" t="s">
        <x:v>854</x:v>
      </x:c>
      <x:c r="K551" s="49" t="s">
        <x:v>276</x:v>
      </x:c>
      <x:c r="L551" s="49" t="s">
        <x:v>849</x:v>
      </x:c>
      <x:c r="M551" s="61">
        <x:v>0.532</x:v>
      </x:c>
      <x:c r="N551" s="49" t="s">
        <x:v>1888</x:v>
      </x:c>
      <x:c r="O551" s="49" t="s">
        <x:v>126</x:v>
      </x:c>
      <x:c r="P551" s="49" t="s">
        <x:v>30</x:v>
      </x:c>
      <x:c r="Q551" s="63" t="s">
        <x:v>11</x:v>
      </x:c>
      <x:c r="R551" s="50">
        <x:v>1.03</x:v>
      </x:c>
      <x:c r="S551" s="50">
        <x:f t="shared" si="36"/>
        <x:v>1.03</x:v>
      </x:c>
      <x:c r="T551" s="49" t="s">
        <x:v>2255</x:v>
      </x:c>
      <x:c r="U551" s="49" t="str">
        <x:f t="shared" si="34"/>
        <x:v>黑</x:v>
      </x:c>
      <x:c r="V551" s="50">
        <x:f t="shared" si="35"/>
        <x:v>0.85</x:v>
      </x:c>
      <x:c r="W551" s="50">
        <x:f t="shared" si="37"/>
        <x:v>-1</x:v>
      </x:c>
      <x:c r="X551" s="62">
        <x:v>0.83</x:v>
      </x:c>
      <x:c r="Y551" s="62">
        <x:v>0.5</x:v>
      </x:c>
      <x:c r="Z551" s="62">
        <x:v>1.05</x:v>
      </x:c>
      <x:c r="AA551" s="62">
        <x:v>0.5</x:v>
      </x:c>
      <x:c r="AB551" s="62">
        <x:v>1.05</x:v>
      </x:c>
      <x:c r="AC551" s="62">
        <x:v>1.03</x:v>
      </x:c>
      <x:c r="AD551" s="60">
        <x:v>1.8</x:v>
      </x:c>
      <x:c r="AE551" s="60">
        <x:v>3.59</x:v>
      </x:c>
      <x:c r="AF551" s="60">
        <x:v>4.11</x:v>
      </x:c>
      <x:c r="AG551" s="62">
        <x:v>0.0774160900220717</x:v>
      </x:c>
      <x:c r="AH551" s="62">
        <x:v>0.0274160900220717</x:v>
      </x:c>
      <x:c r="AI551" s="62">
        <x:v>0.515636958367843</x:v>
      </x:c>
      <x:c r="AJ551" s="62">
        <x:v>0.258536636507554</x:v>
      </x:c>
      <x:c r="AK551" s="62">
        <x:v>0.225826405124603</x:v>
      </x:c>
      <x:c r="AL551" s="62">
        <x:v>1.52</x:v>
      </x:c>
      <x:c r="AM551" s="62">
        <x:v>0.91</x:v>
      </x:c>
      <x:c r="AN551" s="62">
        <x:v>0.000333802806345285</x:v>
      </x:c>
      <x:c r="AO551" s="62">
        <x:v>1.0630384438023</x:v>
      </x:c>
      <x:c r="AP551" s="62">
        <x:v>-0.0330384438023019</x:v>
      </x:c>
      <x:c r="AQ551" s="62" t="s">
        <x:v>174</x:v>
      </x:c>
      <x:c r="AR551" s="49">
        <x:v>0.5</x:v>
      </x:c>
      <x:c r="AS551" s="62">
        <x:v>0.484721941563503</x:v>
      </x:c>
      <x:c r="AT551" s="62">
        <x:v>0.515278058436497</x:v>
      </x:c>
      <x:c r="AU551" s="60">
        <x:v>1.82</x:v>
      </x:c>
      <x:c r="AV551" s="60">
        <x:v>3.66</x:v>
      </x:c>
      <x:c r="AW551" s="60">
        <x:v>4.13</x:v>
      </x:c>
      <x:c r="AX551" s="49" t="s">
        <x:v>1890</x:v>
      </x:c>
      <x:c r="AY551" s="49" t="s">
        <x:v>2093</x:v>
      </x:c>
    </x:row>
    <x:row r="552" ht="22" customHeight="1">
      <x:c r="A552" s="49" t="s">
        <x:v>2162</x:v>
      </x:c>
      <x:c r="B552" s="49" t="s">
        <x:v>2246</x:v>
      </x:c>
      <x:c r="C552" s="49" t="s">
        <x:v>333</x:v>
      </x:c>
      <x:c r="D552" s="49" t="s">
        <x:v>116</x:v>
      </x:c>
      <x:c r="E552" s="49" t="s">
        <x:v>156</x:v>
      </x:c>
      <x:c r="F552" s="49" t="s">
        <x:v>2256</x:v>
      </x:c>
      <x:c r="G552" s="60">
        <x:v>1.01</x:v>
      </x:c>
      <x:c r="H552" s="60">
        <x:v>0</x:v>
      </x:c>
      <x:c r="I552" s="60">
        <x:v>0.87</x:v>
      </x:c>
      <x:c r="J552" s="49" t="s">
        <x:v>2257</x:v>
      </x:c>
      <x:c r="K552" s="49" t="s">
        <x:v>132</x:v>
      </x:c>
      <x:c r="L552" s="49" t="s">
        <x:v>424</x:v>
      </x:c>
      <x:c r="M552" s="61">
        <x:v>0.559</x:v>
      </x:c>
      <x:c r="N552" s="49" t="s">
        <x:v>1888</x:v>
      </x:c>
      <x:c r="O552" s="49" t="s">
        <x:v>273</x:v>
      </x:c>
      <x:c r="P552" s="49" t="s">
        <x:v>30</x:v>
      </x:c>
      <x:c r="Q552" s="65" t="s">
        <x:v>17</x:v>
      </x:c>
      <x:c r="R552" s="50">
        <x:v>0.87</x:v>
      </x:c>
      <x:c r="S552" s="50">
        <x:f t="shared" si="36"/>
        <x:v>0</x:v>
      </x:c>
      <x:c r="T552" s="49" t="s">
        <x:v>2258</x:v>
      </x:c>
      <x:c r="U552" s="49" t="str">
        <x:f t="shared" si="34"/>
        <x:v>走</x:v>
      </x:c>
      <x:c r="V552" s="50">
        <x:f t="shared" si="35"/>
        <x:v>1.01</x:v>
      </x:c>
      <x:c r="W552" s="50">
        <x:f t="shared" si="37"/>
        <x:v>0</x:v>
      </x:c>
      <x:c r="X552" s="62">
        <x:v>0.82</x:v>
      </x:c>
      <x:c r="Y552" s="62">
        <x:v>-0.25</x:v>
      </x:c>
      <x:c r="Z552" s="62">
        <x:v>1.06</x:v>
      </x:c>
      <x:c r="AA552" s="62">
        <x:v>-0.25</x:v>
      </x:c>
      <x:c r="AB552" s="62">
        <x:v>1.06</x:v>
      </x:c>
      <x:c r="AC552" s="62">
        <x:v>0.87</x:v>
      </x:c>
      <x:c r="AD552" s="60">
        <x:v>2.85</x:v>
      </x:c>
      <x:c r="AE552" s="60">
        <x:v>3.46</x:v>
      </x:c>
      <x:c r="AF552" s="60">
        <x:v>2.29</x:v>
      </x:c>
      <x:c r="AG552" s="62">
        <x:v>0.076575756730342</x:v>
      </x:c>
      <x:c r="AH552" s="62">
        <x:v>0.026575756730342</x:v>
      </x:c>
      <x:c r="AI552" s="62">
        <x:v>0.325919649210848</x:v>
      </x:c>
      <x:c r="AJ552" s="62">
        <x:v>0.268459826662115</x:v>
      </x:c>
      <x:c r="AK552" s="62">
        <x:v>0.405620524127038</x:v>
      </x:c>
      <x:c r="AL552" s="62">
        <x:v>1.17</x:v>
      </x:c>
      <x:c r="AM552" s="62">
        <x:v>1.34</x:v>
      </x:c>
      <x:c r="AN552" s="62">
        <x:v>0.000472332718597422</x:v>
      </x:c>
      <x:c r="AO552" s="62">
        <x:v>0.801157203347144</x:v>
      </x:c>
      <x:c r="AP552" s="62">
        <x:v>0.068842796652856</x:v>
      </x:c>
      <x:c r="AQ552" s="62" t="s">
        <x:v>135</x:v>
      </x:c>
      <x:c r="AR552" s="49">
        <x:v>0</x:v>
      </x:c>
      <x:c r="AS552" s="62">
        <x:v>0.406279044947726</x:v>
      </x:c>
      <x:c r="AT552" s="62">
        <x:v>0.325493383428869</x:v>
      </x:c>
      <x:c r="AU552" s="60">
        <x:v>2.73</x:v>
      </x:c>
      <x:c r="AV552" s="60">
        <x:v>3.52</x:v>
      </x:c>
      <x:c r="AW552" s="60">
        <x:v>2.4</x:v>
      </x:c>
      <x:c r="AX552" s="49" t="s">
        <x:v>1890</x:v>
      </x:c>
      <x:c r="AY552" s="49" t="s">
        <x:v>2093</x:v>
      </x:c>
    </x:row>
    <x:row r="553" ht="22" customHeight="1">
      <x:c r="A553" s="49" t="s">
        <x:v>2162</x:v>
      </x:c>
      <x:c r="B553" s="49" t="s">
        <x:v>2246</x:v>
      </x:c>
      <x:c r="C553" s="49" t="s">
        <x:v>333</x:v>
      </x:c>
      <x:c r="D553" s="49" t="s">
        <x:v>116</x:v>
      </x:c>
      <x:c r="E553" s="49" t="s">
        <x:v>156</x:v>
      </x:c>
      <x:c r="F553" s="49" t="s">
        <x:v>2259</x:v>
      </x:c>
      <x:c r="G553" s="60">
        <x:v>0.85</x:v>
      </x:c>
      <x:c r="H553" s="60">
        <x:v>0.25</x:v>
      </x:c>
      <x:c r="I553" s="60">
        <x:v>1.03</x:v>
      </x:c>
      <x:c r="J553" s="49" t="s">
        <x:v>916</x:v>
      </x:c>
      <x:c r="K553" s="49" t="s">
        <x:v>276</x:v>
      </x:c>
      <x:c r="L553" s="49" t="s">
        <x:v>2260</x:v>
      </x:c>
      <x:c r="M553" s="61">
        <x:v>0.532</x:v>
      </x:c>
      <x:c r="N553" s="49" t="s">
        <x:v>1888</x:v>
      </x:c>
      <x:c r="O553" s="49" t="s">
        <x:v>273</x:v>
      </x:c>
      <x:c r="P553" s="49" t="s">
        <x:v>30</x:v>
      </x:c>
      <x:c r="Q553" s="63" t="s">
        <x:v>14</x:v>
      </x:c>
      <x:c r="R553" s="50">
        <x:v>1.03</x:v>
      </x:c>
      <x:c r="S553" s="50">
        <x:f t="shared" si="36"/>
        <x:v>0.515</x:v>
      </x:c>
      <x:c r="T553" s="49" t="s">
        <x:v>2261</x:v>
      </x:c>
      <x:c r="U553" s="49" t="str">
        <x:f t="shared" si="34"/>
        <x:v>半黑</x:v>
      </x:c>
      <x:c r="V553" s="50">
        <x:f t="shared" si="35"/>
        <x:v>0.85</x:v>
      </x:c>
      <x:c r="W553" s="50">
        <x:f t="shared" si="37"/>
        <x:v>-0.5</x:v>
      </x:c>
      <x:c r="X553" s="62">
        <x:v>0.83</x:v>
      </x:c>
      <x:c r="Y553" s="62">
        <x:v>0.25</x:v>
      </x:c>
      <x:c r="Z553" s="62">
        <x:v>1.05</x:v>
      </x:c>
      <x:c r="AA553" s="62">
        <x:v>0.25</x:v>
      </x:c>
      <x:c r="AB553" s="62">
        <x:v>1.05</x:v>
      </x:c>
      <x:c r="AC553" s="62">
        <x:v>1.03</x:v>
      </x:c>
      <x:c r="AD553" s="60">
        <x:v>2.07</x:v>
      </x:c>
      <x:c r="AE553" s="60">
        <x:v>3.33</x:v>
      </x:c>
      <x:c r="AF553" s="60">
        <x:v>3.4</x:v>
      </x:c>
      <x:c r="AG553" s="62">
        <x:v>0.0775097347987375</x:v>
      </x:c>
      <x:c r="AH553" s="62">
        <x:v>0.0275097347987375</x:v>
      </x:c>
      <x:c r="AI553" s="62">
        <x:v>0.448340995758936</x:v>
      </x:c>
      <x:c r="AJ553" s="62">
        <x:v>0.278698456823123</x:v>
      </x:c>
      <x:c r="AK553" s="62">
        <x:v>0.272960547417941</x:v>
      </x:c>
      <x:c r="AL553" s="62">
        <x:v>1.33</x:v>
      </x:c>
      <x:c r="AM553" s="62">
        <x:v>0.97</x:v>
      </x:c>
      <x:c r="AN553" s="62">
        <x:v>0.000855525086821628</x:v>
      </x:c>
      <x:c r="AO553" s="62">
        <x:v>1.09206517405025</x:v>
      </x:c>
      <x:c r="AP553" s="62">
        <x:v>-0.0620651740502545</x:v>
      </x:c>
      <x:c r="AQ553" s="62" t="s">
        <x:v>289</x:v>
      </x:c>
      <x:c r="AR553" s="49">
        <x:v>0.25</x:v>
      </x:c>
      <x:c r="AS553" s="62">
        <x:v>0.411601125071718</x:v>
      </x:c>
      <x:c r="AT553" s="62">
        <x:v>0.449495254290727</x:v>
      </x:c>
      <x:c r="AU553" s="60">
        <x:v>2.12</x:v>
      </x:c>
      <x:c r="AV553" s="60">
        <x:v>3.36</x:v>
      </x:c>
      <x:c r="AW553" s="60">
        <x:v>3.35</x:v>
      </x:c>
      <x:c r="AX553" s="49" t="s">
        <x:v>1890</x:v>
      </x:c>
      <x:c r="AY553" s="49" t="s">
        <x:v>2093</x:v>
      </x:c>
    </x:row>
    <x:row r="554" ht="22" customHeight="1">
      <x:c r="A554" s="49" t="s">
        <x:v>2162</x:v>
      </x:c>
      <x:c r="B554" s="49" t="s">
        <x:v>2246</x:v>
      </x:c>
      <x:c r="C554" s="49" t="s">
        <x:v>333</x:v>
      </x:c>
      <x:c r="D554" s="49" t="s">
        <x:v>116</x:v>
      </x:c>
      <x:c r="E554" s="49" t="s">
        <x:v>156</x:v>
      </x:c>
      <x:c r="F554" s="49" t="s">
        <x:v>2262</x:v>
      </x:c>
      <x:c r="G554" s="60">
        <x:v>0.8</x:v>
      </x:c>
      <x:c r="H554" s="60">
        <x:v>-0.25</x:v>
      </x:c>
      <x:c r="I554" s="60">
        <x:v>1.08</x:v>
      </x:c>
      <x:c r="J554" s="49" t="s">
        <x:v>423</x:v>
      </x:c>
      <x:c r="K554" s="49" t="s">
        <x:v>189</x:v>
      </x:c>
      <x:c r="L554" s="49" t="s">
        <x:v>1633</x:v>
      </x:c>
      <x:c r="M554" s="61">
        <x:v>0.529</x:v>
      </x:c>
      <x:c r="N554" s="49" t="s">
        <x:v>1888</x:v>
      </x:c>
      <x:c r="O554" s="49" t="s">
        <x:v>169</x:v>
      </x:c>
      <x:c r="P554" s="49" t="s">
        <x:v>30</x:v>
      </x:c>
      <x:c r="Q554" s="63" t="s">
        <x:v>11</x:v>
      </x:c>
      <x:c r="R554" s="50">
        <x:v>1.08</x:v>
      </x:c>
      <x:c r="S554" s="50">
        <x:f t="shared" si="36"/>
        <x:v>1.08</x:v>
      </x:c>
      <x:c r="T554" s="49" t="s">
        <x:v>2263</x:v>
      </x:c>
      <x:c r="U554" s="49" t="str">
        <x:f t="shared" si="34"/>
        <x:v>黑</x:v>
      </x:c>
      <x:c r="V554" s="50">
        <x:f t="shared" si="35"/>
        <x:v>0.8</x:v>
      </x:c>
      <x:c r="W554" s="50">
        <x:f t="shared" si="37"/>
        <x:v>-1</x:v>
      </x:c>
      <x:c r="X554" s="62">
        <x:v>1.05</x:v>
      </x:c>
      <x:c r="Y554" s="62">
        <x:v>0</x:v>
      </x:c>
      <x:c r="Z554" s="62">
        <x:v>0.83</x:v>
      </x:c>
      <x:c r="AA554" s="62">
        <x:v>0</x:v>
      </x:c>
      <x:c r="AB554" s="62">
        <x:v>0.83</x:v>
      </x:c>
      <x:c r="AC554" s="62">
        <x:v>1.08</x:v>
      </x:c>
      <x:c r="AD554" s="60">
        <x:v>2.7</x:v>
      </x:c>
      <x:c r="AE554" s="60">
        <x:v>3.35</x:v>
      </x:c>
      <x:c r="AF554" s="60">
        <x:v>2.44</x:v>
      </x:c>
      <x:c r="AG554" s="62">
        <x:v>0.0787138986307081</x:v>
      </x:c>
      <x:c r="AH554" s="62">
        <x:v>0.0287138986307081</x:v>
      </x:c>
      <x:c r="AI554" s="62">
        <x:v>0.343344394505818</x:v>
      </x:c>
      <x:c r="AJ554" s="62">
        <x:v>0.276725332885286</x:v>
      </x:c>
      <x:c r="AK554" s="62">
        <x:v>0.379930272608897</x:v>
      </x:c>
      <x:c r="AL554" s="62">
        <x:v>1.16</x:v>
      </x:c>
      <x:c r="AM554" s="62">
        <x:v>1.24</x:v>
      </x:c>
      <x:c r="AN554" s="62">
        <x:v>0.00094208974766075</x:v>
      </x:c>
      <x:c r="AO554" s="62">
        <x:v>1.26067192923739</x:v>
      </x:c>
      <x:c r="AP554" s="62">
        <x:v>-0.180671929237389</x:v>
      </x:c>
      <x:c r="AQ554" s="62" t="s">
        <x:v>99</x:v>
      </x:c>
      <x:c r="AR554" s="49">
        <x:v>-0.25</x:v>
      </x:c>
      <x:c r="AS554" s="62">
        <x:v>0.381226381778193</x:v>
      </x:c>
      <x:c r="AT554" s="62">
        <x:v>0.480601398192504</x:v>
      </x:c>
      <x:c r="AU554" s="60">
        <x:v>2.88</x:v>
      </x:c>
      <x:c r="AV554" s="60">
        <x:v>3.32</x:v>
      </x:c>
      <x:c r="AW554" s="60">
        <x:v>2.39</x:v>
      </x:c>
      <x:c r="AX554" s="49" t="s">
        <x:v>1890</x:v>
      </x:c>
      <x:c r="AY554" s="49" t="s">
        <x:v>2093</x:v>
      </x:c>
    </x:row>
    <x:row r="555" ht="22" customHeight="1">
      <x:c r="A555" s="49" t="s">
        <x:v>2162</x:v>
      </x:c>
      <x:c r="B555" s="49" t="s">
        <x:v>2246</x:v>
      </x:c>
      <x:c r="C555" s="49" t="s">
        <x:v>333</x:v>
      </x:c>
      <x:c r="D555" s="49" t="s">
        <x:v>116</x:v>
      </x:c>
      <x:c r="E555" s="49" t="s">
        <x:v>145</x:v>
      </x:c>
      <x:c r="F555" s="49" t="s">
        <x:v>2264</x:v>
      </x:c>
      <x:c r="G555" s="60">
        <x:v>0.85</x:v>
      </x:c>
      <x:c r="H555" s="60">
        <x:v>0.25</x:v>
      </x:c>
      <x:c r="I555" s="60">
        <x:v>1.03</x:v>
      </x:c>
      <x:c r="J555" s="49" t="s">
        <x:v>916</x:v>
      </x:c>
      <x:c r="K555" s="49" t="s">
        <x:v>276</x:v>
      </x:c>
      <x:c r="L555" s="49" t="s">
        <x:v>2265</x:v>
      </x:c>
      <x:c r="M555" s="61">
        <x:v>0.532</x:v>
      </x:c>
      <x:c r="N555" s="49" t="s">
        <x:v>1888</x:v>
      </x:c>
      <x:c r="O555" s="49" t="s">
        <x:v>191</x:v>
      </x:c>
      <x:c r="P555" s="49" t="s">
        <x:v>30</x:v>
      </x:c>
      <x:c r="Q555" s="63" t="s">
        <x:v>11</x:v>
      </x:c>
      <x:c r="R555" s="50">
        <x:v>1.03</x:v>
      </x:c>
      <x:c r="S555" s="50">
        <x:f t="shared" si="36"/>
        <x:v>1.03</x:v>
      </x:c>
      <x:c r="T555" s="49" t="s">
        <x:v>2266</x:v>
      </x:c>
      <x:c r="U555" s="49" t="str">
        <x:f t="shared" si="34"/>
        <x:v>黑</x:v>
      </x:c>
      <x:c r="V555" s="50">
        <x:f t="shared" si="35"/>
        <x:v>0.85</x:v>
      </x:c>
      <x:c r="W555" s="50">
        <x:f t="shared" si="37"/>
        <x:v>-1</x:v>
      </x:c>
      <x:c r="X555" s="62">
        <x:v>0.82</x:v>
      </x:c>
      <x:c r="Y555" s="62">
        <x:v>0.25</x:v>
      </x:c>
      <x:c r="Z555" s="62">
        <x:v>1</x:v>
      </x:c>
      <x:c r="AA555" s="62">
        <x:v>0.25</x:v>
      </x:c>
      <x:c r="AB555" s="62">
        <x:v>1</x:v>
      </x:c>
      <x:c r="AC555" s="62">
        <x:v>1.03</x:v>
      </x:c>
      <x:c r="AD555" s="60">
        <x:v>2.04</x:v>
      </x:c>
      <x:c r="AE555" s="60">
        <x:v>3.5</x:v>
      </x:c>
      <x:c r="AF555" s="60">
        <x:v>3.19</x:v>
      </x:c>
      <x:c r="AG555" s="62">
        <x:v>0.0893899879701097</x:v>
      </x:c>
      <x:c r="AH555" s="62">
        <x:v>0.0393899879701097</x:v>
      </x:c>
      <x:c r="AI555" s="62">
        <x:v>0.449972997589934</x:v>
      </x:c>
      <x:c r="AJ555" s="62">
        <x:v>0.262269975738133</x:v>
      </x:c>
      <x:c r="AK555" s="62">
        <x:v>0.287757026671933</x:v>
      </x:c>
      <x:c r="AL555" s="62">
        <x:v>1.44</x:v>
      </x:c>
      <x:c r="AM555" s="62">
        <x:v>1.1</x:v>
      </x:c>
      <x:c r="AN555" s="62">
        <x:v>0.000952585927345762</x:v>
      </x:c>
      <x:c r="AO555" s="62">
        <x:v>1.06834033858211</x:v>
      </x:c>
      <x:c r="AP555" s="62">
        <x:v>-0.0383403385821086</x:v>
      </x:c>
      <x:c r="AQ555" s="62" t="s">
        <x:v>174</x:v>
      </x:c>
      <x:c r="AR555" s="49">
        <x:v>0.25</x:v>
      </x:c>
      <x:c r="AS555" s="62">
        <x:v>0.419929289043372</x:v>
      </x:c>
      <x:c r="AT555" s="62">
        <x:v>0.44862739883714</x:v>
      </x:c>
      <x:c r="AU555" s="60">
        <x:v>2.09</x:v>
      </x:c>
      <x:c r="AV555" s="60">
        <x:v>3.44</x:v>
      </x:c>
      <x:c r="AW555" s="60">
        <x:v>3.24</x:v>
      </x:c>
      <x:c r="AX555" s="49" t="s">
        <x:v>1890</x:v>
      </x:c>
      <x:c r="AY555" s="49" t="s">
        <x:v>2093</x:v>
      </x:c>
    </x:row>
    <x:row r="556" ht="22" customHeight="1">
      <x:c r="A556" s="49" t="s">
        <x:v>2162</x:v>
      </x:c>
      <x:c r="B556" s="49" t="s">
        <x:v>2246</x:v>
      </x:c>
      <x:c r="C556" s="49" t="s">
        <x:v>333</x:v>
      </x:c>
      <x:c r="D556" s="49" t="s">
        <x:v>116</x:v>
      </x:c>
      <x:c r="E556" s="49" t="s">
        <x:v>145</x:v>
      </x:c>
      <x:c r="F556" s="49" t="s">
        <x:v>2267</x:v>
      </x:c>
      <x:c r="G556" s="60">
        <x:v>0.93</x:v>
      </x:c>
      <x:c r="H556" s="60">
        <x:v>0</x:v>
      </x:c>
      <x:c r="I556" s="60">
        <x:v>0.95</x:v>
      </x:c>
      <x:c r="J556" s="49" t="s">
        <x:v>2268</x:v>
      </x:c>
      <x:c r="K556" s="49" t="s">
        <x:v>132</x:v>
      </x:c>
      <x:c r="L556" s="49" t="s">
        <x:v>148</x:v>
      </x:c>
      <x:c r="M556" s="61">
        <x:v>0.559</x:v>
      </x:c>
      <x:c r="N556" s="49" t="s">
        <x:v>1888</x:v>
      </x:c>
      <x:c r="O556" s="49" t="s">
        <x:v>114</x:v>
      </x:c>
      <x:c r="P556" s="49" t="s">
        <x:v>30</x:v>
      </x:c>
      <x:c r="Q556" s="64" t="s">
        <x:v>23</x:v>
      </x:c>
      <x:c r="R556" s="50">
        <x:v>0.93</x:v>
      </x:c>
      <x:c r="S556" s="50">
        <x:f t="shared" si="36"/>
        <x:v>-1</x:v>
      </x:c>
      <x:c r="T556" s="49" t="s">
        <x:v>2269</x:v>
      </x:c>
      <x:c r="U556" s="49" t="str">
        <x:f t="shared" si="34"/>
        <x:v>红</x:v>
      </x:c>
      <x:c r="V556" s="50">
        <x:f t="shared" si="35"/>
        <x:v>0.95</x:v>
      </x:c>
      <x:c r="W556" s="50">
        <x:f t="shared" si="37"/>
        <x:v>0.95</x:v>
      </x:c>
      <x:c r="X556" s="62">
        <x:v>1.02</x:v>
      </x:c>
      <x:c r="Y556" s="62">
        <x:v>0.25</x:v>
      </x:c>
      <x:c r="Z556" s="62">
        <x:v>0.8</x:v>
      </x:c>
      <x:c r="AA556" s="62">
        <x:v>-0.25</x:v>
      </x:c>
      <x:c r="AB556" s="62">
        <x:v>1.02</x:v>
      </x:c>
      <x:c r="AC556" s="62">
        <x:v>0.93</x:v>
      </x:c>
      <x:c r="AD556" s="60">
        <x:v>2.28</x:v>
      </x:c>
      <x:c r="AE556" s="60">
        <x:v>3.48</x:v>
      </x:c>
      <x:c r="AF556" s="60">
        <x:v>2.76</x:v>
      </x:c>
      <x:c r="AG556" s="62">
        <x:v>0.0882716536468608</x:v>
      </x:c>
      <x:c r="AH556" s="62">
        <x:v>0.0382716536468609</x:v>
      </x:c>
      <x:c r="AI556" s="62">
        <x:v>0.403021148036254</x:v>
      </x:c>
      <x:c r="AJ556" s="62">
        <x:v>0.26404833836858</x:v>
      </x:c>
      <x:c r="AK556" s="62">
        <x:v>0.332930513595166</x:v>
      </x:c>
      <x:c r="AL556" s="62">
        <x:v>1.37</x:v>
      </x:c>
      <x:c r="AM556" s="62">
        <x:v>1.22</x:v>
      </x:c>
      <x:c r="AN556" s="62">
        <x:v>0.000319093308625093</x:v>
      </x:c>
      <x:c r="AO556" s="62">
        <x:v>0.825624491101068</x:v>
      </x:c>
      <x:c r="AP556" s="62">
        <x:v>0.104375508898932</x:v>
      </x:c>
      <x:c r="AQ556" s="62" t="s">
        <x:v>135</x:v>
      </x:c>
      <x:c r="AR556" s="49">
        <x:v>0</x:v>
      </x:c>
      <x:c r="AS556" s="62">
        <x:v>0.403357956314167</x:v>
      </x:c>
      <x:c r="AT556" s="62">
        <x:v>0.333022207413451</x:v>
      </x:c>
      <x:c r="AU556" s="60">
        <x:v>2.46</x:v>
      </x:c>
      <x:c r="AV556" s="60">
        <x:v>3.54</x:v>
      </x:c>
      <x:c r="AW556" s="60">
        <x:v>2.57</x:v>
      </x:c>
      <x:c r="AX556" s="49" t="s">
        <x:v>1890</x:v>
      </x:c>
      <x:c r="AY556" s="49" t="s">
        <x:v>2093</x:v>
      </x:c>
    </x:row>
    <x:row r="557" ht="22" customHeight="1">
      <x:c r="A557" s="49" t="s">
        <x:v>2162</x:v>
      </x:c>
      <x:c r="B557" s="49" t="s">
        <x:v>2246</x:v>
      </x:c>
      <x:c r="C557" s="49" t="s">
        <x:v>333</x:v>
      </x:c>
      <x:c r="D557" s="49" t="s">
        <x:v>116</x:v>
      </x:c>
      <x:c r="E557" s="49" t="s">
        <x:v>145</x:v>
      </x:c>
      <x:c r="F557" s="49" t="s">
        <x:v>2270</x:v>
      </x:c>
      <x:c r="G557" s="60">
        <x:v>0.83</x:v>
      </x:c>
      <x:c r="H557" s="60">
        <x:v>0.25</x:v>
      </x:c>
      <x:c r="I557" s="60">
        <x:v>1.05</x:v>
      </x:c>
      <x:c r="J557" s="49" t="s">
        <x:v>401</x:v>
      </x:c>
      <x:c r="K557" s="49" t="s">
        <x:v>106</x:v>
      </x:c>
      <x:c r="L557" s="49" t="s">
        <x:v>2271</x:v>
      </x:c>
      <x:c r="M557" s="61">
        <x:v>0.584</x:v>
      </x:c>
      <x:c r="N557" s="49" t="s">
        <x:v>1888</x:v>
      </x:c>
      <x:c r="O557" s="49" t="s">
        <x:v>126</x:v>
      </x:c>
      <x:c r="P557" s="49" t="s">
        <x:v>30</x:v>
      </x:c>
      <x:c r="Q557" s="64" t="s">
        <x:v>20</x:v>
      </x:c>
      <x:c r="R557" s="50">
        <x:v>0.83</x:v>
      </x:c>
      <x:c r="S557" s="50">
        <x:f t="shared" si="36"/>
        <x:v>-0.5</x:v>
      </x:c>
      <x:c r="T557" s="49" t="s">
        <x:v>2272</x:v>
      </x:c>
      <x:c r="U557" s="49" t="str">
        <x:f t="shared" si="34"/>
        <x:v>半红</x:v>
      </x:c>
      <x:c r="V557" s="50">
        <x:f t="shared" si="35"/>
        <x:v>1.05</x:v>
      </x:c>
      <x:c r="W557" s="50">
        <x:f t="shared" si="37"/>
        <x:v>0.525</x:v>
      </x:c>
      <x:c r="X557" s="62">
        <x:v>0.83</x:v>
      </x:c>
      <x:c r="Y557" s="62">
        <x:v>0.25</x:v>
      </x:c>
      <x:c r="Z557" s="62">
        <x:v>0.99</x:v>
      </x:c>
      <x:c r="AA557" s="62">
        <x:v>-0.25</x:v>
      </x:c>
      <x:c r="AB557" s="62">
        <x:v>0.83</x:v>
      </x:c>
      <x:c r="AC557" s="62">
        <x:v>0.83</x:v>
      </x:c>
      <x:c r="AD557" s="60">
        <x:v>2.04</x:v>
      </x:c>
      <x:c r="AE557" s="60">
        <x:v>3.36</x:v>
      </x:c>
      <x:c r="AF557" s="60">
        <x:v>3.32</x:v>
      </x:c>
      <x:c r="AG557" s="62">
        <x:v>0.0890199453275287</x:v>
      </x:c>
      <x:c r="AH557" s="62">
        <x:v>0.0390199453275287</x:v>
      </x:c>
      <x:c r="AI557" s="62">
        <x:v>0.450125895797017</x:v>
      </x:c>
      <x:c r="AJ557" s="62">
        <x:v>0.273290722448189</x:v>
      </x:c>
      <x:c r="AK557" s="62">
        <x:v>0.276583381754794</x:v>
      </x:c>
      <x:c r="AL557" s="62">
        <x:v>1.36</x:v>
      </x:c>
      <x:c r="AM557" s="62">
        <x:v>1</x:v>
      </x:c>
      <x:c r="AN557" s="62">
        <x:v>0.000611614536231765</x:v>
      </x:c>
      <x:c r="AO557" s="62">
        <x:v>0.915583116465565</x:v>
      </x:c>
      <x:c r="AP557" s="62">
        <x:v>-0.0855831164655646</x:v>
      </x:c>
      <x:c r="AQ557" s="62" t="s">
        <x:v>99</x:v>
      </x:c>
      <x:c r="AR557" s="49">
        <x:v>-0.25</x:v>
      </x:c>
      <x:c r="AS557" s="62">
        <x:v>0.450598663542574</x:v>
      </x:c>
      <x:c r="AT557" s="62">
        <x:v>0.412560528641528</x:v>
      </x:c>
      <x:c r="AU557" s="60">
        <x:v>2.06</x:v>
      </x:c>
      <x:c r="AV557" s="60">
        <x:v>3.4</x:v>
      </x:c>
      <x:c r="AW557" s="60">
        <x:v>3.34</x:v>
      </x:c>
      <x:c r="AX557" s="49" t="s">
        <x:v>1890</x:v>
      </x:c>
      <x:c r="AY557" s="49" t="s">
        <x:v>2093</x:v>
      </x:c>
    </x:row>
    <x:row r="558" ht="22" customHeight="1">
      <x:c r="A558" s="49" t="s">
        <x:v>2162</x:v>
      </x:c>
      <x:c r="B558" s="49" t="s">
        <x:v>2246</x:v>
      </x:c>
      <x:c r="C558" s="49" t="s">
        <x:v>333</x:v>
      </x:c>
      <x:c r="D558" s="49" t="s">
        <x:v>116</x:v>
      </x:c>
      <x:c r="E558" s="49" t="s">
        <x:v>145</x:v>
      </x:c>
      <x:c r="F558" s="49" t="s">
        <x:v>2273</x:v>
      </x:c>
      <x:c r="G558" s="60">
        <x:v>0.81</x:v>
      </x:c>
      <x:c r="H558" s="60">
        <x:v>0</x:v>
      </x:c>
      <x:c r="I558" s="60">
        <x:v>1.07</x:v>
      </x:c>
      <x:c r="J558" s="49" t="s">
        <x:v>2274</x:v>
      </x:c>
      <x:c r="K558" s="49" t="s">
        <x:v>106</x:v>
      </x:c>
      <x:c r="L558" s="49" t="s">
        <x:v>413</x:v>
      </x:c>
      <x:c r="M558" s="61">
        <x:v>0.584</x:v>
      </x:c>
      <x:c r="N558" s="49" t="s">
        <x:v>1888</x:v>
      </x:c>
      <x:c r="O558" s="49" t="s">
        <x:v>191</x:v>
      </x:c>
      <x:c r="P558" s="49" t="s">
        <x:v>30</x:v>
      </x:c>
      <x:c r="Q558" s="64" t="s">
        <x:v>23</x:v>
      </x:c>
      <x:c r="R558" s="50">
        <x:v>0.81</x:v>
      </x:c>
      <x:c r="S558" s="50">
        <x:f t="shared" si="36"/>
        <x:v>-1</x:v>
      </x:c>
      <x:c r="T558" s="49" t="s">
        <x:v>2275</x:v>
      </x:c>
      <x:c r="U558" s="49" t="str">
        <x:f t="shared" si="34"/>
        <x:v>红</x:v>
      </x:c>
      <x:c r="V558" s="50">
        <x:f t="shared" si="35"/>
        <x:v>1.07</x:v>
      </x:c>
      <x:c r="W558" s="50">
        <x:f t="shared" si="37"/>
        <x:v>1.07</x:v>
      </x:c>
      <x:c r="X558" s="62">
        <x:v>0.84</x:v>
      </x:c>
      <x:c r="Y558" s="62">
        <x:v>0</x:v>
      </x:c>
      <x:c r="Z558" s="62">
        <x:v>0.98</x:v>
      </x:c>
      <x:c r="AA558" s="62">
        <x:v>0</x:v>
      </x:c>
      <x:c r="AB558" s="62">
        <x:v>0.84</x:v>
      </x:c>
      <x:c r="AC558" s="62">
        <x:v>0.81</x:v>
      </x:c>
      <x:c r="AD558" s="60">
        <x:v>2.42</x:v>
      </x:c>
      <x:c r="AE558" s="60">
        <x:v>3.4</x:v>
      </x:c>
      <x:c r="AF558" s="60">
        <x:v>2.62</x:v>
      </x:c>
      <x:c r="AG558" s="62">
        <x:v>0.0890201768676684</x:v>
      </x:c>
      <x:c r="AH558" s="62">
        <x:v>0.0390201768676684</x:v>
      </x:c>
      <x:c r="AI558" s="62">
        <x:v>0.379444889335673</x:v>
      </x:c>
      <x:c r="AJ558" s="62">
        <x:v>0.270075480056568</x:v>
      </x:c>
      <x:c r="AK558" s="62">
        <x:v>0.350479630607759</x:v>
      </x:c>
      <x:c r="AL558" s="62">
        <x:v>1.28</x:v>
      </x:c>
      <x:c r="AM558" s="62">
        <x:v>1.22</x:v>
      </x:c>
      <x:c r="AN558" s="62">
        <x:v>0.000197095351646179</x:v>
      </x:c>
      <x:c r="AO558" s="62">
        <x:v>0.924624896217366</x:v>
      </x:c>
      <x:c r="AP558" s="62">
        <x:v>-0.114624896217366</x:v>
      </x:c>
      <x:c r="AQ558" s="62" t="s">
        <x:v>150</x:v>
      </x:c>
      <x:c r="AR558" s="49">
        <x:v>0</x:v>
      </x:c>
      <x:c r="AS558" s="62">
        <x:v>0.379347826737653</x:v>
      </x:c>
      <x:c r="AT558" s="62">
        <x:v>0.350754444927586</x:v>
      </x:c>
      <x:c r="AU558" s="60">
        <x:v>2.34</x:v>
      </x:c>
      <x:c r="AV558" s="60">
        <x:v>3.42</x:v>
      </x:c>
      <x:c r="AW558" s="60">
        <x:v>2.77</x:v>
      </x:c>
      <x:c r="AX558" s="49" t="s">
        <x:v>1890</x:v>
      </x:c>
      <x:c r="AY558" s="49" t="s">
        <x:v>2093</x:v>
      </x:c>
    </x:row>
    <x:row r="559" ht="22" customHeight="1">
      <x:c r="A559" s="49" t="s">
        <x:v>2162</x:v>
      </x:c>
      <x:c r="B559" s="49" t="s">
        <x:v>2246</x:v>
      </x:c>
      <x:c r="C559" s="49" t="s">
        <x:v>333</x:v>
      </x:c>
      <x:c r="D559" s="49" t="s">
        <x:v>116</x:v>
      </x:c>
      <x:c r="E559" s="49" t="s">
        <x:v>145</x:v>
      </x:c>
      <x:c r="F559" s="49" t="s">
        <x:v>2276</x:v>
      </x:c>
      <x:c r="G559" s="60">
        <x:v>0.79</x:v>
      </x:c>
      <x:c r="H559" s="60">
        <x:v>0.5</x:v>
      </x:c>
      <x:c r="I559" s="60">
        <x:v>1.09</x:v>
      </x:c>
      <x:c r="J559" s="49" t="s">
        <x:v>2277</x:v>
      </x:c>
      <x:c r="K559" s="49" t="s">
        <x:v>106</x:v>
      </x:c>
      <x:c r="L559" s="49" t="s">
        <x:v>427</x:v>
      </x:c>
      <x:c r="M559" s="61">
        <x:v>0.584</x:v>
      </x:c>
      <x:c r="N559" s="49" t="s">
        <x:v>1888</x:v>
      </x:c>
      <x:c r="O559" s="49" t="s">
        <x:v>161</x:v>
      </x:c>
      <x:c r="P559" s="49" t="s">
        <x:v>30</x:v>
      </x:c>
      <x:c r="Q559" s="63" t="s">
        <x:v>11</x:v>
      </x:c>
      <x:c r="R559" s="50">
        <x:v>0.79</x:v>
      </x:c>
      <x:c r="S559" s="50">
        <x:f t="shared" si="36"/>
        <x:v>0.79</x:v>
      </x:c>
      <x:c r="T559" s="49" t="s">
        <x:v>2278</x:v>
      </x:c>
      <x:c r="U559" s="49" t="str">
        <x:f t="shared" ref="U559:U622" si="38">IF(Q559="","",IF(Q559="待结算","待结算",IF(Q559="红","黑",IF(Q559="半红","半黑",IF(Q559="走","走",IF(Q559="半黑","半红","红"))))))</x:f>
        <x:v>黑</x:v>
      </x:c>
      <x:c r="V559" s="50" t="n">
        <x:f t="shared" ref="V559:V622" si="39">IF(OR(Q559="",Q559="待结算"),"",IF(L559=LEFT(F559,FIND(" vs ",F559)-1),I559,G559))</x:f>
        <x:v>1.09</x:v>
      </x:c>
      <x:c r="W559" s="50">
        <x:f t="shared" si="37"/>
        <x:v>-1</x:v>
      </x:c>
      <x:c r="X559" s="62">
        <x:v>0.86</x:v>
      </x:c>
      <x:c r="Y559" s="62">
        <x:v>0.5</x:v>
      </x:c>
      <x:c r="Z559" s="62">
        <x:v>0.96</x:v>
      </x:c>
      <x:c r="AA559" s="62">
        <x:v>-0.5</x:v>
      </x:c>
      <x:c r="AB559" s="62">
        <x:v>0.86</x:v>
      </x:c>
      <x:c r="AC559" s="62">
        <x:v>0.79</x:v>
      </x:c>
      <x:c r="AD559" s="60">
        <x:v>1.85</x:v>
      </x:c>
      <x:c r="AE559" s="60">
        <x:v>3.53</x:v>
      </x:c>
      <x:c r="AF559" s="60">
        <x:v>3.83</x:v>
      </x:c>
      <x:c r="AG559" s="62">
        <x:v>0.0849232652648357</x:v>
      </x:c>
      <x:c r="AH559" s="62">
        <x:v>0.0349232652648357</x:v>
      </x:c>
      <x:c r="AI559" s="62">
        <x:v>0.498229282979374</x:v>
      </x:c>
      <x:c r="AJ559" s="62">
        <x:v>0.261111663884375</x:v>
      </x:c>
      <x:c r="AK559" s="62">
        <x:v>0.240659053136251</x:v>
      </x:c>
      <x:c r="AL559" s="62">
        <x:v>1.49</x:v>
      </x:c>
      <x:c r="AM559" s="62">
        <x:v>0.95</x:v>
      </x:c>
      <x:c r="AN559" s="62">
        <x:v>0.000531190380468866</x:v>
      </x:c>
      <x:c r="AO559" s="62">
        <x:v>1.00991005111058</x:v>
      </x:c>
      <x:c r="AP559" s="62">
        <x:v>-0.219910051110576</x:v>
      </x:c>
      <x:c r="AQ559" s="62" t="s">
        <x:v>99</x:v>
      </x:c>
      <x:c r="AR559" s="49">
        <x:v>-0.5</x:v>
      </x:c>
      <x:c r="AS559" s="62">
        <x:v>0.49753470283282</x:v>
      </x:c>
      <x:c r="AT559" s="62">
        <x:v>0.502465297167179</x:v>
      </x:c>
      <x:c r="AU559" s="60">
        <x:v>1.78</x:v>
      </x:c>
      <x:c r="AV559" s="60">
        <x:v>3.61</x:v>
      </x:c>
      <x:c r="AW559" s="60">
        <x:v>4.21</x:v>
      </x:c>
      <x:c r="AX559" s="49" t="s">
        <x:v>1890</x:v>
      </x:c>
      <x:c r="AY559" s="49" t="s">
        <x:v>2093</x:v>
      </x:c>
    </x:row>
    <x:row r="560" ht="22" customHeight="1">
      <x:c r="A560" s="49" t="s">
        <x:v>2162</x:v>
      </x:c>
      <x:c r="B560" s="49" t="s">
        <x:v>2246</x:v>
      </x:c>
      <x:c r="C560" s="49" t="s">
        <x:v>333</x:v>
      </x:c>
      <x:c r="D560" s="49" t="s">
        <x:v>116</x:v>
      </x:c>
      <x:c r="E560" s="49" t="s">
        <x:v>609</x:v>
      </x:c>
      <x:c r="F560" s="49" t="s">
        <x:v>2279</x:v>
      </x:c>
      <x:c r="G560" s="60">
        <x:v>1</x:v>
      </x:c>
      <x:c r="H560" s="60">
        <x:v>1</x:v>
      </x:c>
      <x:c r="I560" s="60">
        <x:v>0.89</x:v>
      </x:c>
      <x:c r="J560" s="49" t="s">
        <x:v>2280</x:v>
      </x:c>
      <x:c r="K560" s="49" t="s">
        <x:v>132</x:v>
      </x:c>
      <x:c r="L560" s="49" t="s">
        <x:v>711</x:v>
      </x:c>
      <x:c r="M560" s="61">
        <x:v>0.559</x:v>
      </x:c>
      <x:c r="N560" s="49" t="s">
        <x:v>1888</x:v>
      </x:c>
      <x:c r="O560" s="49" t="s">
        <x:v>231</x:v>
      </x:c>
      <x:c r="P560" s="49" t="s">
        <x:v>30</x:v>
      </x:c>
      <x:c r="Q560" s="65" t="s">
        <x:v>17</x:v>
      </x:c>
      <x:c r="R560" s="50">
        <x:v>1</x:v>
      </x:c>
      <x:c r="S560" s="50">
        <x:f t="shared" si="36"/>
        <x:v>0</x:v>
      </x:c>
      <x:c r="T560" s="49" t="s">
        <x:v>2281</x:v>
      </x:c>
      <x:c r="U560" s="49" t="str">
        <x:f t="shared" si="38"/>
        <x:v>走</x:v>
      </x:c>
      <x:c r="V560" s="50">
        <x:f t="shared" si="39"/>
        <x:v>0.89</x:v>
      </x:c>
      <x:c r="W560" s="50">
        <x:f t="shared" si="37"/>
        <x:v>0</x:v>
      </x:c>
      <x:c r="X560" s="62">
        <x:v>1.06</x:v>
      </x:c>
      <x:c r="Y560" s="62">
        <x:v>1.25</x:v>
      </x:c>
      <x:c r="Z560" s="62">
        <x:v>0.82</x:v>
      </x:c>
      <x:c r="AA560" s="62">
        <x:v>-1.25</x:v>
      </x:c>
      <x:c r="AB560" s="62">
        <x:v>1.06</x:v>
      </x:c>
      <x:c r="AC560" s="62">
        <x:v>1</x:v>
      </x:c>
      <x:c r="AD560" s="60">
        <x:v>1.45</x:v>
      </x:c>
      <x:c r="AE560" s="60">
        <x:v>4.7</x:v>
      </x:c>
      <x:c r="AF560" s="60">
        <x:v>6.32</x:v>
      </x:c>
      <x:c r="AG560" s="62">
        <x:v>0.0606489779618675</x:v>
      </x:c>
      <x:c r="AH560" s="62">
        <x:v>0.0106489779618675</x:v>
      </x:c>
      <x:c r="AI560" s="62">
        <x:v>0.650219994308605</x:v>
      </x:c>
      <x:c r="AJ560" s="62">
        <x:v>0.200599785478187</x:v>
      </x:c>
      <x:c r="AK560" s="62">
        <x:v>0.149180220213208</x:v>
      </x:c>
      <x:c r="AL560" s="62">
        <x:v>2.08</x:v>
      </x:c>
      <x:c r="AM560" s="62">
        <x:v>0.88</x:v>
      </x:c>
      <x:c r="AN560" s="62">
        <x:v>0.000586902700972383</x:v>
      </x:c>
      <x:c r="AO560" s="62">
        <x:v>0.852327342670727</x:v>
      </x:c>
      <x:c r="AP560" s="62">
        <x:v>0.147672657329273</x:v>
      </x:c>
      <x:c r="AQ560" s="62" t="s">
        <x:v>165</x:v>
      </x:c>
      <x:c r="AR560" s="49">
        <x:v>-1</x:v>
      </x:c>
      <x:c r="AS560" s="62">
        <x:v>0.409454322066072</x:v>
      </x:c>
      <x:c r="AT560" s="62">
        <x:v>0.348989114271619</x:v>
      </x:c>
      <x:c r="AU560" s="60">
        <x:v>1.61</x:v>
      </x:c>
      <x:c r="AV560" s="60">
        <x:v>4.26</x:v>
      </x:c>
      <x:c r="AW560" s="60">
        <x:v>5.14</x:v>
      </x:c>
      <x:c r="AX560" s="49" t="s">
        <x:v>1890</x:v>
      </x:c>
      <x:c r="AY560" s="49" t="s">
        <x:v>2093</x:v>
      </x:c>
    </x:row>
    <x:row r="561" ht="22" customHeight="1">
      <x:c r="A561" s="49" t="s">
        <x:v>2162</x:v>
      </x:c>
      <x:c r="B561" s="49" t="s">
        <x:v>2246</x:v>
      </x:c>
      <x:c r="C561" s="49" t="s">
        <x:v>89</x:v>
      </x:c>
      <x:c r="D561" s="49" t="s">
        <x:v>90</x:v>
      </x:c>
      <x:c r="E561" s="49" t="s">
        <x:v>2282</x:v>
      </x:c>
      <x:c r="F561" s="49" t="s">
        <x:v>2283</x:v>
      </x:c>
      <x:c r="G561" s="60">
        <x:v>1</x:v>
      </x:c>
      <x:c r="H561" s="60">
        <x:v>-0.5</x:v>
      </x:c>
      <x:c r="I561" s="60">
        <x:v>0.82</x:v>
      </x:c>
      <x:c r="J561" s="49" t="s">
        <x:v>667</x:v>
      </x:c>
      <x:c r="K561" s="49" t="s">
        <x:v>106</x:v>
      </x:c>
      <x:c r="L561" s="49" t="s">
        <x:v>2284</x:v>
      </x:c>
      <x:c r="M561" s="61">
        <x:v>0.576</x:v>
      </x:c>
      <x:c r="N561" s="49" t="s">
        <x:v>1888</x:v>
      </x:c>
      <x:c r="O561" s="49" t="s">
        <x:v>231</x:v>
      </x:c>
      <x:c r="P561" s="49" t="s">
        <x:v>30</x:v>
      </x:c>
      <x:c r="Q561" s="64" t="s">
        <x:v>23</x:v>
      </x:c>
      <x:c r="R561" s="50">
        <x:v>0.82</x:v>
      </x:c>
      <x:c r="S561" s="50">
        <x:f t="shared" si="36"/>
        <x:v>-1</x:v>
      </x:c>
      <x:c r="T561" s="49" t="s">
        <x:v>2285</x:v>
      </x:c>
      <x:c r="U561" s="49" t="str">
        <x:f t="shared" si="38"/>
        <x:v>红</x:v>
      </x:c>
      <x:c r="V561" s="50">
        <x:f t="shared" si="39"/>
        <x:v>1</x:v>
      </x:c>
      <x:c r="W561" s="50">
        <x:f t="shared" si="37"/>
        <x:v>1</x:v>
      </x:c>
      <x:c r="X561" s="62">
        <x:v>0.95</x:v>
      </x:c>
      <x:c r="Y561" s="62">
        <x:v>-0.5</x:v>
      </x:c>
      <x:c r="Z561" s="62">
        <x:v>0.75</x:v>
      </x:c>
      <x:c r="AA561" s="62">
        <x:v>-0.5</x:v>
      </x:c>
      <x:c r="AB561" s="62">
        <x:v>0.75</x:v>
      </x:c>
      <x:c r="AC561" s="62">
        <x:v>0.82</x:v>
      </x:c>
      <x:c r="AD561" s="60">
        <x:v>4.14</x:v>
      </x:c>
      <x:c r="AE561" s="60">
        <x:v>3.48</x:v>
      </x:c>
      <x:c r="AF561" s="60">
        <x:v>1.75</x:v>
      </x:c>
      <x:c r="AG561" s="62">
        <x:v>0.100330786987459</x:v>
      </x:c>
      <x:c r="AH561" s="62">
        <x:v>0.0503307869874586</x:v>
      </x:c>
      <x:c r="AI561" s="62">
        <x:v>0.219521162705193</x:v>
      </x:c>
      <x:c r="AJ561" s="62">
        <x:v>0.261154486666523</x:v>
      </x:c>
      <x:c r="AK561" s="62">
        <x:v>0.519324350628285</x:v>
      </x:c>
      <x:c r="AL561" s="62">
        <x:v>0.88</x:v>
      </x:c>
      <x:c r="AM561" s="62">
        <x:v>1.51</x:v>
      </x:c>
      <x:c r="AN561" s="62">
        <x:v>0.000709612764282677</x:v>
      </x:c>
      <x:c r="AO561" s="62">
        <x:v>0.922218282488815</x:v>
      </x:c>
      <x:c r="AP561" s="62">
        <x:v>-0.102218282488815</x:v>
      </x:c>
      <x:c r="AQ561" s="62" t="s">
        <x:v>99</x:v>
      </x:c>
      <x:c r="AR561" s="49">
        <x:v>-0.5</x:v>
      </x:c>
      <x:c r="AS561" s="62">
        <x:v>0.520232280126499</x:v>
      </x:c>
      <x:c r="AT561" s="62">
        <x:v>0.479767719873501</x:v>
      </x:c>
      <x:c r="AU561" s="60">
        <x:v>4.22</x:v>
      </x:c>
      <x:c r="AV561" s="60">
        <x:v>3.35</x:v>
      </x:c>
      <x:c r="AW561" s="60">
        <x:v>1.76</x:v>
      </x:c>
      <x:c r="AX561" s="49" t="s">
        <x:v>1890</x:v>
      </x:c>
      <x:c r="AY561" s="49" t="s">
        <x:v>2093</x:v>
      </x:c>
    </x:row>
    <x:row r="562" ht="22" customHeight="1">
      <x:c r="A562" s="49" t="s">
        <x:v>2162</x:v>
      </x:c>
      <x:c r="B562" s="49" t="s">
        <x:v>2286</x:v>
      </x:c>
      <x:c r="C562" s="49" t="s">
        <x:v>333</x:v>
      </x:c>
      <x:c r="D562" s="49" t="s">
        <x:v>116</x:v>
      </x:c>
      <x:c r="E562" s="49" t="s">
        <x:v>613</x:v>
      </x:c>
      <x:c r="F562" s="49" t="s">
        <x:v>2287</x:v>
      </x:c>
      <x:c r="G562" s="60">
        <x:v>0.8</x:v>
      </x:c>
      <x:c r="H562" s="60">
        <x:v>0.75</x:v>
      </x:c>
      <x:c r="I562" s="60">
        <x:v>1.09</x:v>
      </x:c>
      <x:c r="J562" s="49" t="s">
        <x:v>2065</x:v>
      </x:c>
      <x:c r="K562" s="49" t="s">
        <x:v>106</x:v>
      </x:c>
      <x:c r="L562" s="49" t="s">
        <x:v>2288</x:v>
      </x:c>
      <x:c r="M562" s="61">
        <x:v>0.584</x:v>
      </x:c>
      <x:c r="N562" s="49" t="s">
        <x:v>1888</x:v>
      </x:c>
      <x:c r="O562" s="49" t="s">
        <x:v>149</x:v>
      </x:c>
      <x:c r="P562" s="49" t="s">
        <x:v>30</x:v>
      </x:c>
      <x:c r="Q562" s="64" t="s">
        <x:v>23</x:v>
      </x:c>
      <x:c r="R562" s="50">
        <x:v>0.8</x:v>
      </x:c>
      <x:c r="S562" s="50">
        <x:f t="shared" si="36"/>
        <x:v>-1</x:v>
      </x:c>
      <x:c r="T562" s="49" t="s">
        <x:v>2289</x:v>
      </x:c>
      <x:c r="U562" s="49" t="str">
        <x:f t="shared" si="38"/>
        <x:v>红</x:v>
      </x:c>
      <x:c r="V562" s="50">
        <x:f t="shared" si="39"/>
        <x:v>1.09</x:v>
      </x:c>
      <x:c r="W562" s="50">
        <x:f t="shared" si="37"/>
        <x:v>1.09</x:v>
      </x:c>
      <x:c r="X562" s="62">
        <x:v>0.85</x:v>
      </x:c>
      <x:c r="Y562" s="62">
        <x:v>0.75</x:v>
      </x:c>
      <x:c r="Z562" s="62">
        <x:v>1.03</x:v>
      </x:c>
      <x:c r="AA562" s="62">
        <x:v>-0.75</x:v>
      </x:c>
      <x:c r="AB562" s="62">
        <x:v>0.85</x:v>
      </x:c>
      <x:c r="AC562" s="62">
        <x:v>0.8</x:v>
      </x:c>
      <x:c r="AD562" s="60">
        <x:v>1.71</x:v>
      </x:c>
      <x:c r="AE562" s="60">
        <x:v>3.63</x:v>
      </x:c>
      <x:c r="AF562" s="60">
        <x:v>4.93</x:v>
      </x:c>
      <x:c r="AG562" s="62">
        <x:v>0.0631171718936308</x:v>
      </x:c>
      <x:c r="AH562" s="62">
        <x:v>0.0131171718936307</x:v>
      </x:c>
      <x:c r="AI562" s="62">
        <x:v>0.550076075429941</x:v>
      </x:c>
      <x:c r="AJ562" s="62">
        <x:v>0.259126746276915</x:v>
      </x:c>
      <x:c r="AK562" s="62">
        <x:v>0.190797178293144</x:v>
      </x:c>
      <x:c r="AL562" s="62">
        <x:v>1.53</x:v>
      </x:c>
      <x:c r="AM562" s="62">
        <x:v>0.78</x:v>
      </x:c>
      <x:c r="AN562" s="62">
        <x:v>0.000873625086920695</x:v>
      </x:c>
      <x:c r="AO562" s="62">
        <x:v>1.06861529014199</x:v>
      </x:c>
      <x:c r="AP562" s="62">
        <x:v>-0.268615290141988</x:v>
      </x:c>
      <x:c r="AQ562" s="62" t="s">
        <x:v>99</x:v>
      </x:c>
      <x:c r="AR562" s="49">
        <x:v>-0.75</x:v>
      </x:c>
      <x:c r="AS562" s="62">
        <x:v>0.41998657572584</x:v>
      </x:c>
      <x:c r="AT562" s="62">
        <x:v>0.448804076475009</x:v>
      </x:c>
      <x:c r="AU562" s="60">
        <x:v>1.63</x:v>
      </x:c>
      <x:c r="AV562" s="60">
        <x:v>3.95</x:v>
      </x:c>
      <x:c r="AW562" s="60">
        <x:v>5.34</x:v>
      </x:c>
      <x:c r="AX562" s="49" t="s">
        <x:v>1890</x:v>
      </x:c>
      <x:c r="AY562" s="49" t="s">
        <x:v>2093</x:v>
      </x:c>
    </x:row>
    <x:row r="563" ht="22" customHeight="1">
      <x:c r="A563" s="49" t="s">
        <x:v>2162</x:v>
      </x:c>
      <x:c r="B563" s="49" t="s">
        <x:v>2290</x:v>
      </x:c>
      <x:c r="C563" s="49" t="s">
        <x:v>333</x:v>
      </x:c>
      <x:c r="D563" s="49" t="s">
        <x:v>116</x:v>
      </x:c>
      <x:c r="E563" s="49" t="s">
        <x:v>730</x:v>
      </x:c>
      <x:c r="F563" s="49" t="s">
        <x:v>2291</x:v>
      </x:c>
      <x:c r="G563" s="60">
        <x:v>0.84</x:v>
      </x:c>
      <x:c r="H563" s="60">
        <x:v>0.5</x:v>
      </x:c>
      <x:c r="I563" s="60">
        <x:v>1.02</x:v>
      </x:c>
      <x:c r="J563" s="49" t="s">
        <x:v>874</x:v>
      </x:c>
      <x:c r="K563" s="49" t="s">
        <x:v>106</x:v>
      </x:c>
      <x:c r="L563" s="49" t="s">
        <x:v>736</x:v>
      </x:c>
      <x:c r="M563" s="61">
        <x:v>0.584</x:v>
      </x:c>
      <x:c r="N563" s="49" t="s">
        <x:v>1888</x:v>
      </x:c>
      <x:c r="O563" s="49" t="s">
        <x:v>231</x:v>
      </x:c>
      <x:c r="P563" s="49" t="s">
        <x:v>30</x:v>
      </x:c>
      <x:c r="Q563" s="63" t="s">
        <x:v>11</x:v>
      </x:c>
      <x:c r="R563" s="50">
        <x:v>0.84</x:v>
      </x:c>
      <x:c r="S563" s="50">
        <x:f t="shared" si="36"/>
        <x:v>0.84</x:v>
      </x:c>
      <x:c r="T563" s="49" t="s">
        <x:v>2292</x:v>
      </x:c>
      <x:c r="U563" s="49" t="str">
        <x:f t="shared" si="38"/>
        <x:v>黑</x:v>
      </x:c>
      <x:c r="V563" s="50">
        <x:f t="shared" si="39"/>
        <x:v>1.02</x:v>
      </x:c>
      <x:c r="W563" s="50">
        <x:f t="shared" si="37"/>
        <x:v>-1</x:v>
      </x:c>
      <x:c r="X563" s="62">
        <x:v>0.98</x:v>
      </x:c>
      <x:c r="Y563" s="62">
        <x:v>0.5</x:v>
      </x:c>
      <x:c r="Z563" s="62">
        <x:v>0.78</x:v>
      </x:c>
      <x:c r="AA563" s="62">
        <x:v>-0.5</x:v>
      </x:c>
      <x:c r="AB563" s="62">
        <x:v>0.98</x:v>
      </x:c>
      <x:c r="AC563" s="62">
        <x:v>0.84</x:v>
      </x:c>
      <x:c r="AD563" s="60">
        <x:v>1.76</x:v>
      </x:c>
      <x:c r="AE563" s="60">
        <x:v>3.72</x:v>
      </x:c>
      <x:c r="AF563" s="60">
        <x:v>3.79</x:v>
      </x:c>
      <x:c r="AG563" s="62">
        <x:v>0.100851265226957</x:v>
      </x:c>
      <x:c r="AH563" s="62">
        <x:v>0.0508512652269569</x:v>
      </x:c>
      <x:c r="AI563" s="62">
        <x:v>0.516129504619935</x:v>
      </x:c>
      <x:c r="AJ563" s="62">
        <x:v>0.244190303261045</x:v>
      </x:c>
      <x:c r="AK563" s="62">
        <x:v>0.23968019211902</x:v>
      </x:c>
      <x:c r="AL563" s="62">
        <x:v>1.66</x:v>
      </x:c>
      <x:c r="AM563" s="62">
        <x:v>1.05</x:v>
      </x:c>
      <x:c r="AN563" s="62">
        <x:v>0.000152863640994133</x:v>
      </x:c>
      <x:c r="AO563" s="62">
        <x:v>0.93721798975451</x:v>
      </x:c>
      <x:c r="AP563" s="62">
        <x:v>-0.0972179897545101</x:v>
      </x:c>
      <x:c r="AQ563" s="62" t="s">
        <x:v>99</x:v>
      </x:c>
      <x:c r="AR563" s="49">
        <x:v>-0.5</x:v>
      </x:c>
      <x:c r="AS563" s="62">
        <x:v>0.516204167671767</x:v>
      </x:c>
      <x:c r="AT563" s="62">
        <x:v>0.483795832328233</x:v>
      </x:c>
      <x:c r="AU563" s="60">
        <x:v>1.83</x:v>
      </x:c>
      <x:c r="AV563" s="60">
        <x:v>3.84</x:v>
      </x:c>
      <x:c r="AW563" s="60">
        <x:v>3.45</x:v>
      </x:c>
      <x:c r="AX563" s="49" t="s">
        <x:v>1890</x:v>
      </x:c>
      <x:c r="AY563" s="49" t="s">
        <x:v>2093</x:v>
      </x:c>
    </x:row>
    <x:row r="564" ht="22" customHeight="1">
      <x:c r="A564" s="49" t="s">
        <x:v>2162</x:v>
      </x:c>
      <x:c r="B564" s="49" t="s">
        <x:v>2290</x:v>
      </x:c>
      <x:c r="C564" s="49" t="s">
        <x:v>89</x:v>
      </x:c>
      <x:c r="D564" s="49" t="s">
        <x:v>116</x:v>
      </x:c>
      <x:c r="E564" s="49" t="s">
        <x:v>1483</x:v>
      </x:c>
      <x:c r="F564" s="49" t="s">
        <x:v>2293</x:v>
      </x:c>
      <x:c r="G564" s="60">
        <x:v>0.91</x:v>
      </x:c>
      <x:c r="H564" s="60">
        <x:v>0.5</x:v>
      </x:c>
      <x:c r="I564" s="60">
        <x:v>0.98</x:v>
      </x:c>
      <x:c r="J564" s="49" t="s">
        <x:v>802</x:v>
      </x:c>
      <x:c r="K564" s="49" t="s">
        <x:v>132</x:v>
      </x:c>
      <x:c r="L564" s="49" t="s">
        <x:v>2294</x:v>
      </x:c>
      <x:c r="M564" s="61">
        <x:v>0.555</x:v>
      </x:c>
      <x:c r="N564" s="49" t="s">
        <x:v>1888</x:v>
      </x:c>
      <x:c r="O564" s="49" t="s">
        <x:v>126</x:v>
      </x:c>
      <x:c r="P564" s="49" t="s">
        <x:v>30</x:v>
      </x:c>
      <x:c r="Q564" s="63" t="s">
        <x:v>11</x:v>
      </x:c>
      <x:c r="R564" s="50">
        <x:v>0.98</x:v>
      </x:c>
      <x:c r="S564" s="50">
        <x:f t="shared" si="36"/>
        <x:v>0.98</x:v>
      </x:c>
      <x:c r="T564" s="49" t="s">
        <x:v>2295</x:v>
      </x:c>
      <x:c r="U564" s="49" t="str">
        <x:f t="shared" si="38"/>
        <x:v>黑</x:v>
      </x:c>
      <x:c r="V564" s="50">
        <x:f t="shared" si="39"/>
        <x:v>0.91</x:v>
      </x:c>
      <x:c r="W564" s="50">
        <x:f t="shared" si="37"/>
        <x:v>-1</x:v>
      </x:c>
      <x:c r="X564" s="62">
        <x:v>1.01</x:v>
      </x:c>
      <x:c r="Y564" s="62">
        <x:v>0.75</x:v>
      </x:c>
      <x:c r="Z564" s="62">
        <x:v>0.87</x:v>
      </x:c>
      <x:c r="AA564" s="62">
        <x:v>0.75</x:v>
      </x:c>
      <x:c r="AB564" s="62">
        <x:v>0.87</x:v>
      </x:c>
      <x:c r="AC564" s="62">
        <x:v>0.98</x:v>
      </x:c>
      <x:c r="AD564" s="60">
        <x:v>1.69</x:v>
      </x:c>
      <x:c r="AE564" s="60">
        <x:v>4</x:v>
      </x:c>
      <x:c r="AF564" s="60">
        <x:v>4.25</x:v>
      </x:c>
      <x:c r="AG564" s="62">
        <x:v>0.0770100939784197</x:v>
      </x:c>
      <x:c r="AH564" s="62">
        <x:v>0.0270100939784197</x:v>
      </x:c>
      <x:c r="AI564" s="62">
        <x:v>0.549406156580755</x:v>
      </x:c>
      <x:c r="AJ564" s="62">
        <x:v>0.232124101155369</x:v>
      </x:c>
      <x:c r="AK564" s="62">
        <x:v>0.218469742263877</x:v>
      </x:c>
      <x:c r="AL564" s="62">
        <x:v>1.79</x:v>
      </x:c>
      <x:c r="AM564" s="62">
        <x:v>1.04</x:v>
      </x:c>
      <x:c r="AN564" s="62">
        <x:v>0.000157681099850904</x:v>
      </x:c>
      <x:c r="AO564" s="62">
        <x:v>1.21991779560575</x:v>
      </x:c>
      <x:c r="AP564" s="62">
        <x:v>-0.239917795605754</x:v>
      </x:c>
      <x:c r="AQ564" s="62" t="s">
        <x:v>289</x:v>
      </x:c>
      <x:c r="AR564" s="49">
        <x:v>0.5</x:v>
      </x:c>
      <x:c r="AS564" s="62">
        <x:v>0.450467130800728</x:v>
      </x:c>
      <x:c r="AT564" s="62">
        <x:v>0.549532869199273</x:v>
      </x:c>
      <x:c r="AU564" s="60">
        <x:v>1.84</x:v>
      </x:c>
      <x:c r="AV564" s="60">
        <x:v>3.92</x:v>
      </x:c>
      <x:c r="AW564" s="60">
        <x:v>3.74</x:v>
      </x:c>
      <x:c r="AX564" s="49" t="s">
        <x:v>1890</x:v>
      </x:c>
      <x:c r="AY564" s="49" t="s">
        <x:v>2093</x:v>
      </x:c>
    </x:row>
    <x:row r="565" ht="22" customHeight="1">
      <x:c r="A565" s="49" t="s">
        <x:v>2162</x:v>
      </x:c>
      <x:c r="B565" s="49" t="s">
        <x:v>2296</x:v>
      </x:c>
      <x:c r="C565" s="49" t="s">
        <x:v>89</x:v>
      </x:c>
      <x:c r="D565" s="49" t="s">
        <x:v>116</x:v>
      </x:c>
      <x:c r="E565" s="49" t="s">
        <x:v>347</x:v>
      </x:c>
      <x:c r="F565" s="49" t="s">
        <x:v>2297</x:v>
      </x:c>
      <x:c r="G565" s="60">
        <x:v>0.82</x:v>
      </x:c>
      <x:c r="H565" s="60">
        <x:v>0</x:v>
      </x:c>
      <x:c r="I565" s="60">
        <x:v>1.06</x:v>
      </x:c>
      <x:c r="J565" s="49" t="s">
        <x:v>185</x:v>
      </x:c>
      <x:c r="K565" s="49" t="s">
        <x:v>106</x:v>
      </x:c>
      <x:c r="L565" s="49" t="s">
        <x:v>2298</x:v>
      </x:c>
      <x:c r="M565" s="61">
        <x:v>0.576</x:v>
      </x:c>
      <x:c r="N565" s="49" t="s">
        <x:v>1888</x:v>
      </x:c>
      <x:c r="O565" s="49" t="s">
        <x:v>273</x:v>
      </x:c>
      <x:c r="P565" s="49" t="s">
        <x:v>30</x:v>
      </x:c>
      <x:c r="Q565" s="65" t="s">
        <x:v>17</x:v>
      </x:c>
      <x:c r="R565" s="50">
        <x:v>0.82</x:v>
      </x:c>
      <x:c r="S565" s="50">
        <x:f t="shared" si="36"/>
        <x:v>0</x:v>
      </x:c>
      <x:c r="T565" s="49" t="s">
        <x:v>2299</x:v>
      </x:c>
      <x:c r="U565" s="49" t="str">
        <x:f t="shared" si="38"/>
        <x:v>走</x:v>
      </x:c>
      <x:c r="V565" s="50">
        <x:f t="shared" si="39"/>
        <x:v>1.06</x:v>
      </x:c>
      <x:c r="W565" s="50">
        <x:f t="shared" si="37"/>
        <x:v>0</x:v>
      </x:c>
      <x:c r="X565" s="62">
        <x:v>0.76</x:v>
      </x:c>
      <x:c r="Y565" s="62">
        <x:v>0</x:v>
      </x:c>
      <x:c r="Z565" s="62">
        <x:v>1</x:v>
      </x:c>
      <x:c r="AA565" s="62">
        <x:v>0</x:v>
      </x:c>
      <x:c r="AB565" s="62">
        <x:v>0.76</x:v>
      </x:c>
      <x:c r="AC565" s="62">
        <x:v>0.82</x:v>
      </x:c>
      <x:c r="AD565" s="60">
        <x:v>2.43</x:v>
      </x:c>
      <x:c r="AE565" s="60">
        <x:v>3.22</x:v>
      </x:c>
      <x:c r="AF565" s="60">
        <x:v>2.7</x:v>
      </x:c>
      <x:c r="AG565" s="62">
        <x:v>0.0924520103264064</x:v>
      </x:c>
      <x:c r="AH565" s="62">
        <x:v>0.0424520103264064</x:v>
      </x:c>
      <x:c r="AI565" s="62">
        <x:v>0.376696303228826</x:v>
      </x:c>
      <x:c r="AJ565" s="62">
        <x:v>0.284277023865232</x:v>
      </x:c>
      <x:c r="AK565" s="62">
        <x:v>0.339026672905943</x:v>
      </x:c>
      <x:c r="AL565" s="62">
        <x:v>1.18</x:v>
      </x:c>
      <x:c r="AM565" s="62">
        <x:v>1.1</x:v>
      </x:c>
      <x:c r="AN565" s="62">
        <x:v>0.000915112900866534</x:v>
      </x:c>
      <x:c r="AO565" s="62">
        <x:v>0.894918582651562</x:v>
      </x:c>
      <x:c r="AP565" s="62">
        <x:v>-0.0749185826515617</x:v>
      </x:c>
      <x:c r="AQ565" s="62" t="s">
        <x:v>150</x:v>
      </x:c>
      <x:c r="AR565" s="49">
        <x:v>0</x:v>
      </x:c>
      <x:c r="AS565" s="62">
        <x:v>0.377390392367134</x:v>
      </x:c>
      <x:c r="AT565" s="62">
        <x:v>0.337733675043512</x:v>
      </x:c>
      <x:c r="AU565" s="60">
        <x:v>2.44</x:v>
      </x:c>
      <x:c r="AV565" s="60">
        <x:v>3.23</x:v>
      </x:c>
      <x:c r="AW565" s="60">
        <x:v>2.76</x:v>
      </x:c>
      <x:c r="AX565" s="49" t="s">
        <x:v>1890</x:v>
      </x:c>
      <x:c r="AY565" s="49" t="s">
        <x:v>2093</x:v>
      </x:c>
    </x:row>
    <x:row r="566" ht="22" customHeight="1">
      <x:c r="A566" s="49" t="s">
        <x:v>2162</x:v>
      </x:c>
      <x:c r="B566" s="49" t="s">
        <x:v>2300</x:v>
      </x:c>
      <x:c r="C566" s="49" t="s">
        <x:v>89</x:v>
      </x:c>
      <x:c r="D566" s="49" t="s">
        <x:v>116</x:v>
      </x:c>
      <x:c r="E566" s="49" t="s">
        <x:v>816</x:v>
      </x:c>
      <x:c r="F566" s="49" t="s">
        <x:v>2301</x:v>
      </x:c>
      <x:c r="G566" s="60">
        <x:v>0.88</x:v>
      </x:c>
      <x:c r="H566" s="60">
        <x:v>0.5</x:v>
      </x:c>
      <x:c r="I566" s="60">
        <x:v>0.96</x:v>
      </x:c>
      <x:c r="J566" s="49" t="s">
        <x:v>2302</x:v>
      </x:c>
      <x:c r="K566" s="49" t="s">
        <x:v>544</x:v>
      </x:c>
      <x:c r="L566" s="49" t="s">
        <x:v>2303</x:v>
      </x:c>
      <x:c r="M566" s="61">
        <x:v>0.576</x:v>
      </x:c>
      <x:c r="N566" s="49" t="s">
        <x:v>1888</x:v>
      </x:c>
      <x:c r="O566" s="49" t="s">
        <x:v>201</x:v>
      </x:c>
      <x:c r="P566" s="49" t="s">
        <x:v>30</x:v>
      </x:c>
      <x:c r="Q566" s="64" t="s">
        <x:v>23</x:v>
      </x:c>
      <x:c r="R566" s="50">
        <x:v>0.82</x:v>
      </x:c>
      <x:c r="S566" s="50">
        <x:f t="shared" si="36"/>
        <x:v>-1</x:v>
      </x:c>
      <x:c r="T566" s="49" t="s">
        <x:v>2304</x:v>
      </x:c>
      <x:c r="U566" s="49" t="str">
        <x:f t="shared" si="38"/>
        <x:v>红</x:v>
      </x:c>
      <x:c r="V566" s="50">
        <x:f t="shared" si="39"/>
        <x:v>0.88</x:v>
      </x:c>
      <x:c r="W566" s="50">
        <x:f t="shared" si="37"/>
        <x:v>0.88</x:v>
      </x:c>
      <x:c r="X566" s="62">
        <x:v>0.78</x:v>
      </x:c>
      <x:c r="Y566" s="62">
        <x:v>0.5</x:v>
      </x:c>
      <x:c r="Z566" s="62">
        <x:v>0.98</x:v>
      </x:c>
      <x:c r="AA566" s="62">
        <x:v>0.5</x:v>
      </x:c>
      <x:c r="AB566" s="62">
        <x:v>0.98</x:v>
      </x:c>
      <x:c r="AC566" s="62">
        <x:v>0.82</x:v>
      </x:c>
      <x:c r="AD566" s="60">
        <x:v>1.91</x:v>
      </x:c>
      <x:c r="AE566" s="60">
        <x:v>3.71</x:v>
      </x:c>
      <x:c r="AF566" s="60">
        <x:v>3.27</x:v>
      </x:c>
      <x:c r="AG566" s="62">
        <x:v>0.0989123859533416</x:v>
      </x:c>
      <x:c r="AH566" s="62">
        <x:v>0.0489123859533416</x:v>
      </x:c>
      <x:c r="AI566" s="62">
        <x:v>0.476434897009445</x:v>
      </x:c>
      <x:c r="AJ566" s="62">
        <x:v>0.245280499538555</x:v>
      </x:c>
      <x:c r="AK566" s="62">
        <x:v>0.278284603452</x:v>
      </x:c>
      <x:c r="AL566" s="62">
        <x:v>1.63</x:v>
      </x:c>
      <x:c r="AM566" s="62">
        <x:v>1.19</x:v>
      </x:c>
      <x:c r="AN566" s="62">
        <x:v>0.000389177413001787</x:v>
      </x:c>
      <x:c r="AO566" s="62">
        <x:v>0.909162331499515</x:v>
      </x:c>
      <x:c r="AP566" s="62">
        <x:v>-0.0891623314995152</x:v>
      </x:c>
      <x:c r="AQ566" s="62" t="s">
        <x:v>289</x:v>
      </x:c>
      <x:c r="AR566" s="49">
        <x:v>0.5</x:v>
      </x:c>
      <x:c r="AS566" s="62">
        <x:v>0.523789927918057</x:v>
      </x:c>
      <x:c r="AT566" s="62">
        <x:v>0.476210072081943</x:v>
      </x:c>
      <x:c r="AU566" s="60">
        <x:v>1.78</x:v>
      </x:c>
      <x:c r="AV566" s="60">
        <x:v>3.79</x:v>
      </x:c>
      <x:c r="AW566" s="60">
        <x:v>3.63</x:v>
      </x:c>
      <x:c r="AX566" s="49" t="s">
        <x:v>1890</x:v>
      </x:c>
      <x:c r="AY566" s="49" t="s">
        <x:v>2093</x:v>
      </x:c>
    </x:row>
    <x:row r="567" ht="22" customHeight="1">
      <x:c r="A567" s="49" t="s">
        <x:v>2162</x:v>
      </x:c>
      <x:c r="B567" s="49" t="s">
        <x:v>2300</x:v>
      </x:c>
      <x:c r="C567" s="49" t="s">
        <x:v>89</x:v>
      </x:c>
      <x:c r="D567" s="49" t="s">
        <x:v>116</x:v>
      </x:c>
      <x:c r="E567" s="49" t="s">
        <x:v>816</x:v>
      </x:c>
      <x:c r="F567" s="49" t="s">
        <x:v>2305</x:v>
      </x:c>
      <x:c r="G567" s="60">
        <x:v>0.88</x:v>
      </x:c>
      <x:c r="H567" s="60">
        <x:v>0.5</x:v>
      </x:c>
      <x:c r="I567" s="60">
        <x:v>0.96</x:v>
      </x:c>
      <x:c r="J567" s="49" t="s">
        <x:v>2302</x:v>
      </x:c>
      <x:c r="K567" s="49" t="s">
        <x:v>544</x:v>
      </x:c>
      <x:c r="L567" s="49" t="s">
        <x:v>2303</x:v>
      </x:c>
      <x:c r="M567" s="61">
        <x:v>0.576</x:v>
      </x:c>
      <x:c r="N567" s="49" t="s">
        <x:v>1888</x:v>
      </x:c>
      <x:c r="O567" s="49" t="s">
        <x:v>201</x:v>
      </x:c>
      <x:c r="P567" s="49" t="s">
        <x:v>30</x:v>
      </x:c>
      <x:c r="Q567" s="63" t="s">
        <x:v>11</x:v>
      </x:c>
      <x:c r="R567" s="50">
        <x:v>0.82</x:v>
      </x:c>
      <x:c r="S567" s="50">
        <x:f t="shared" si="36"/>
        <x:v>0.82</x:v>
      </x:c>
      <x:c r="T567" s="49" t="s">
        <x:v>2304</x:v>
      </x:c>
      <x:c r="U567" s="49" t="str">
        <x:f t="shared" si="38"/>
        <x:v>黑</x:v>
      </x:c>
      <x:c r="V567" s="50">
        <x:f t="shared" si="39"/>
        <x:v>0.96</x:v>
      </x:c>
      <x:c r="W567" s="50">
        <x:f t="shared" si="37"/>
        <x:v>-1</x:v>
      </x:c>
      <x:c r="X567" s="62">
        <x:v>0.78</x:v>
      </x:c>
      <x:c r="Y567" s="62">
        <x:v>0.5</x:v>
      </x:c>
      <x:c r="Z567" s="62">
        <x:v>0.98</x:v>
      </x:c>
      <x:c r="AA567" s="62">
        <x:v>-0.5</x:v>
      </x:c>
      <x:c r="AB567" s="62">
        <x:v>0.78</x:v>
      </x:c>
      <x:c r="AC567" s="62">
        <x:v>0.82</x:v>
      </x:c>
      <x:c r="AD567" s="60">
        <x:v>1.91</x:v>
      </x:c>
      <x:c r="AE567" s="60">
        <x:v>3.71</x:v>
      </x:c>
      <x:c r="AF567" s="60">
        <x:v>3.27</x:v>
      </x:c>
      <x:c r="AG567" s="62">
        <x:v>0.0989123859533416</x:v>
      </x:c>
      <x:c r="AH567" s="62">
        <x:v>0.0489123859533416</x:v>
      </x:c>
      <x:c r="AI567" s="62">
        <x:v>0.476434897009445</x:v>
      </x:c>
      <x:c r="AJ567" s="62">
        <x:v>0.245280499538555</x:v>
      </x:c>
      <x:c r="AK567" s="62">
        <x:v>0.278284603452</x:v>
      </x:c>
      <x:c r="AL567" s="62">
        <x:v>1.63</x:v>
      </x:c>
      <x:c r="AM567" s="62">
        <x:v>1.19</x:v>
      </x:c>
      <x:c r="AN567" s="62">
        <x:v>0.000389177413001787</x:v>
      </x:c>
      <x:c r="AO567" s="62">
        <x:v>1.0999135856747</x:v>
      </x:c>
      <x:c r="AP567" s="62">
        <x:v>-0.279913585674697</x:v>
      </x:c>
      <x:c r="AQ567" s="62" t="s">
        <x:v>99</x:v>
      </x:c>
      <x:c r="AR567" s="49">
        <x:v>-0.5</x:v>
      </x:c>
      <x:c r="AS567" s="62">
        <x:v>0.476210072081943</x:v>
      </x:c>
      <x:c r="AT567" s="62">
        <x:v>0.523789927918057</x:v>
      </x:c>
      <x:c r="AU567" s="60">
        <x:v>1.78</x:v>
      </x:c>
      <x:c r="AV567" s="60">
        <x:v>3.79</x:v>
      </x:c>
      <x:c r="AW567" s="60">
        <x:v>3.63</x:v>
      </x:c>
      <x:c r="AX567" s="49" t="s">
        <x:v>1890</x:v>
      </x:c>
      <x:c r="AY567" s="49" t="s">
        <x:v>2093</x:v>
      </x:c>
    </x:row>
    <x:row r="568" ht="22" customHeight="1">
      <x:c r="A568" s="49" t="s">
        <x:v>2162</x:v>
      </x:c>
      <x:c r="B568" s="49" t="s">
        <x:v>2306</x:v>
      </x:c>
      <x:c r="C568" s="49" t="s">
        <x:v>333</x:v>
      </x:c>
      <x:c r="D568" s="49" t="s">
        <x:v>116</x:v>
      </x:c>
      <x:c r="E568" s="49" t="s">
        <x:v>597</x:v>
      </x:c>
      <x:c r="F568" s="49" t="s">
        <x:v>2307</x:v>
      </x:c>
      <x:c r="G568" s="60">
        <x:v>1.05</x:v>
      </x:c>
      <x:c r="H568" s="60">
        <x:v>0.25</x:v>
      </x:c>
      <x:c r="I568" s="60">
        <x:v>0.84</x:v>
      </x:c>
      <x:c r="J568" s="49" t="s">
        <x:v>555</x:v>
      </x:c>
      <x:c r="K568" s="49" t="s">
        <x:v>556</x:v>
      </x:c>
      <x:c r="L568" s="49" t="s">
        <x:v>600</x:v>
      </x:c>
      <x:c r="M568" s="61">
        <x:v>0.559</x:v>
      </x:c>
      <x:c r="N568" s="49" t="s">
        <x:v>1888</x:v>
      </x:c>
      <x:c r="O568" s="49" t="s">
        <x:v>191</x:v>
      </x:c>
      <x:c r="P568" s="49" t="s">
        <x:v>30</x:v>
      </x:c>
      <x:c r="Q568" s="64" t="s">
        <x:v>23</x:v>
      </x:c>
      <x:c r="R568" s="50">
        <x:v>0.86</x:v>
      </x:c>
      <x:c r="S568" s="50">
        <x:f t="shared" si="36"/>
        <x:v>-1</x:v>
      </x:c>
      <x:c r="T568" s="49" t="s">
        <x:v>2308</x:v>
      </x:c>
      <x:c r="U568" s="49" t="str">
        <x:f t="shared" si="38"/>
        <x:v>红</x:v>
      </x:c>
      <x:c r="V568" s="50">
        <x:f t="shared" si="39"/>
        <x:v>0.84</x:v>
      </x:c>
      <x:c r="W568" s="50">
        <x:f t="shared" si="37"/>
        <x:v>0.84</x:v>
      </x:c>
      <x:c r="X568" s="62">
        <x:v>1.05</x:v>
      </x:c>
      <x:c r="Y568" s="62">
        <x:v>0.25</x:v>
      </x:c>
      <x:c r="Z568" s="62">
        <x:v>0.83</x:v>
      </x:c>
      <x:c r="AA568" s="62">
        <x:v>-0.25</x:v>
      </x:c>
      <x:c r="AB568" s="62">
        <x:v>1.05</x:v>
      </x:c>
      <x:c r="AC568" s="62">
        <x:v>0.86</x:v>
      </x:c>
      <x:c r="AD568" s="60">
        <x:v>2.26</x:v>
      </x:c>
      <x:c r="AE568" s="60">
        <x:v>3.76</x:v>
      </x:c>
      <x:c r="AF568" s="60">
        <x:v>2.79</x:v>
      </x:c>
      <x:c r="AG568" s="62">
        <x:v>0.0668582619828058</x:v>
      </x:c>
      <x:c r="AH568" s="62">
        <x:v>0.0168582619828057</x:v>
      </x:c>
      <x:c r="AI568" s="62">
        <x:v>0.414748511469395</x:v>
      </x:c>
      <x:c r="AJ568" s="62">
        <x:v>0.249290328702349</x:v>
      </x:c>
      <x:c r="AK568" s="62">
        <x:v>0.335961159828256</x:v>
      </x:c>
      <x:c r="AL568" s="62">
        <x:v>1.51</x:v>
      </x:c>
      <x:c r="AM568" s="62">
        <x:v>1.33</x:v>
      </x:c>
      <x:c r="AN568" s="62">
        <x:v>0.00093911283976879</x:v>
      </x:c>
      <x:c r="AO568" s="62">
        <x:v>1.10532604673711</x:v>
      </x:c>
      <x:c r="AP568" s="62">
        <x:v>-0.24532604673711</x:v>
      </x:c>
      <x:c r="AQ568" s="62" t="s">
        <x:v>99</x:v>
      </x:c>
      <x:c r="AR568" s="49">
        <x:v>-0.25</x:v>
      </x:c>
      <x:c r="AS568" s="62">
        <x:v>0.41570529273104</x:v>
      </x:c>
      <x:c r="AT568" s="62">
        <x:v>0.459489887822093</x:v>
      </x:c>
      <x:c r="AU568" s="60">
        <x:v>2.39</x:v>
      </x:c>
      <x:c r="AV568" s="60">
        <x:v>3.83</x:v>
      </x:c>
      <x:c r="AW568" s="60">
        <x:v>2.68</x:v>
      </x:c>
      <x:c r="AX568" s="49" t="s">
        <x:v>1890</x:v>
      </x:c>
      <x:c r="AY568" s="49" t="s">
        <x:v>2093</x:v>
      </x:c>
    </x:row>
    <x:row r="569" ht="22" customHeight="1">
      <x:c r="A569" s="49" t="s">
        <x:v>2162</x:v>
      </x:c>
      <x:c r="B569" s="49" t="s">
        <x:v>2306</x:v>
      </x:c>
      <x:c r="C569" s="49" t="s">
        <x:v>333</x:v>
      </x:c>
      <x:c r="D569" s="49" t="s">
        <x:v>116</x:v>
      </x:c>
      <x:c r="E569" s="49" t="s">
        <x:v>609</x:v>
      </x:c>
      <x:c r="F569" s="49" t="s">
        <x:v>2309</x:v>
      </x:c>
      <x:c r="G569" s="60">
        <x:v>0.85</x:v>
      </x:c>
      <x:c r="H569" s="60">
        <x:v>0.75</x:v>
      </x:c>
      <x:c r="I569" s="60">
        <x:v>1.04</x:v>
      </x:c>
      <x:c r="J569" s="49" t="s">
        <x:v>1327</x:v>
      </x:c>
      <x:c r="K569" s="49" t="s">
        <x:v>276</x:v>
      </x:c>
      <x:c r="L569" s="49" t="s">
        <x:v>863</x:v>
      </x:c>
      <x:c r="M569" s="61">
        <x:v>0.584</x:v>
      </x:c>
      <x:c r="N569" s="49" t="s">
        <x:v>1888</x:v>
      </x:c>
      <x:c r="O569" s="49" t="s">
        <x:v>191</x:v>
      </x:c>
      <x:c r="P569" s="49" t="s">
        <x:v>30</x:v>
      </x:c>
      <x:c r="Q569" s="64" t="s">
        <x:v>23</x:v>
      </x:c>
      <x:c r="R569" s="50">
        <x:v>0.82</x:v>
      </x:c>
      <x:c r="S569" s="50">
        <x:f t="shared" si="36"/>
        <x:v>-1</x:v>
      </x:c>
      <x:c r="T569" s="49" t="s">
        <x:v>2310</x:v>
      </x:c>
      <x:c r="U569" s="49" t="str">
        <x:f t="shared" si="38"/>
        <x:v>红</x:v>
      </x:c>
      <x:c r="V569" s="50">
        <x:f t="shared" si="39"/>
        <x:v>1.04</x:v>
      </x:c>
      <x:c r="W569" s="50">
        <x:f t="shared" si="37"/>
        <x:v>1.04</x:v>
      </x:c>
      <x:c r="X569" s="62">
        <x:v>1.05</x:v>
      </x:c>
      <x:c r="Y569" s="62">
        <x:v>0.75</x:v>
      </x:c>
      <x:c r="Z569" s="62">
        <x:v>0.83</x:v>
      </x:c>
      <x:c r="AA569" s="62">
        <x:v>-0.75</x:v>
      </x:c>
      <x:c r="AB569" s="62">
        <x:v>1.05</x:v>
      </x:c>
      <x:c r="AC569" s="62">
        <x:v>0.82</x:v>
      </x:c>
      <x:c r="AD569" s="60">
        <x:v>1.74</x:v>
      </x:c>
      <x:c r="AE569" s="60">
        <x:v>3.76</x:v>
      </x:c>
      <x:c r="AF569" s="60">
        <x:v>4.47</x:v>
      </x:c>
      <x:c r="AG569" s="62">
        <x:v>0.06438373701911</x:v>
      </x:c>
      <x:c r="AH569" s="62">
        <x:v>0.01438373701911</x:v>
      </x:c>
      <x:c r="AI569" s="62">
        <x:v>0.539948726845159</x:v>
      </x:c>
      <x:c r="AJ569" s="62">
        <x:v>0.249869889550685</x:v>
      </x:c>
      <x:c r="AK569" s="62">
        <x:v>0.210181383604156</x:v>
      </x:c>
      <x:c r="AL569" s="62">
        <x:v>1.61</x:v>
      </x:c>
      <x:c r="AM569" s="62">
        <x:v>0.9</x:v>
      </x:c>
      <x:c r="AN569" s="62">
        <x:v>0.000559349700438915</x:v>
      </x:c>
      <x:c r="AO569" s="62">
        <x:v>1.10710303920166</x:v>
      </x:c>
      <x:c r="AP569" s="62">
        <x:v>-0.287103039201658</x:v>
      </x:c>
      <x:c r="AQ569" s="62" t="s">
        <x:v>99</x:v>
      </x:c>
      <x:c r="AR569" s="49">
        <x:v>-0.75</x:v>
      </x:c>
      <x:c r="AS569" s="62">
        <x:v>0.41490510251144</x:v>
      </x:c>
      <x:c r="AT569" s="62">
        <x:v>0.459342699970691</x:v>
      </x:c>
      <x:c r="AU569" s="60">
        <x:v>1.62</x:v>
      </x:c>
      <x:c r="AV569" s="60">
        <x:v>3.94</x:v>
      </x:c>
      <x:c r="AW569" s="60">
        <x:v>5.47</x:v>
      </x:c>
      <x:c r="AX569" s="49" t="s">
        <x:v>1890</x:v>
      </x:c>
      <x:c r="AY569" s="49" t="s">
        <x:v>2093</x:v>
      </x:c>
    </x:row>
    <x:row r="570" ht="22" customHeight="1">
      <x:c r="A570" s="49" t="s">
        <x:v>2162</x:v>
      </x:c>
      <x:c r="B570" s="49" t="s">
        <x:v>2306</x:v>
      </x:c>
      <x:c r="C570" s="49" t="s">
        <x:v>333</x:v>
      </x:c>
      <x:c r="D570" s="49" t="s">
        <x:v>116</x:v>
      </x:c>
      <x:c r="E570" s="49" t="s">
        <x:v>865</x:v>
      </x:c>
      <x:c r="F570" s="49" t="s">
        <x:v>2311</x:v>
      </x:c>
      <x:c r="G570" s="60">
        <x:v>0.95</x:v>
      </x:c>
      <x:c r="H570" s="60">
        <x:v>0</x:v>
      </x:c>
      <x:c r="I570" s="60">
        <x:v>0.94</x:v>
      </x:c>
      <x:c r="J570" s="49" t="s">
        <x:v>578</x:v>
      </x:c>
      <x:c r="K570" s="49" t="s">
        <x:v>544</x:v>
      </x:c>
      <x:c r="L570" s="49" t="s">
        <x:v>2312</x:v>
      </x:c>
      <x:c r="M570" s="61">
        <x:v>0.529</x:v>
      </x:c>
      <x:c r="N570" s="49" t="s">
        <x:v>1888</x:v>
      </x:c>
      <x:c r="O570" s="49" t="s">
        <x:v>169</x:v>
      </x:c>
      <x:c r="P570" s="49" t="s">
        <x:v>30</x:v>
      </x:c>
      <x:c r="Q570" s="63" t="s">
        <x:v>11</x:v>
      </x:c>
      <x:c r="R570" s="50">
        <x:v>1.12</x:v>
      </x:c>
      <x:c r="S570" s="50">
        <x:f t="shared" si="36"/>
        <x:v>1.12</x:v>
      </x:c>
      <x:c r="T570" s="49" t="s">
        <x:v>2313</x:v>
      </x:c>
      <x:c r="U570" s="49" t="str">
        <x:f t="shared" si="38"/>
        <x:v>黑</x:v>
      </x:c>
      <x:c r="V570" s="50">
        <x:f t="shared" si="39"/>
        <x:v>0.95</x:v>
      </x:c>
      <x:c r="W570" s="50">
        <x:f t="shared" si="37"/>
        <x:v>-1</x:v>
      </x:c>
      <x:c r="X570" s="62">
        <x:v>1.06</x:v>
      </x:c>
      <x:c r="Y570" s="62">
        <x:v>0</x:v>
      </x:c>
      <x:c r="Z570" s="62">
        <x:v>0.82</x:v>
      </x:c>
      <x:c r="AA570" s="62">
        <x:v>0</x:v>
      </x:c>
      <x:c r="AB570" s="62">
        <x:v>0.82</x:v>
      </x:c>
      <x:c r="AC570" s="62">
        <x:v>1.12</x:v>
      </x:c>
      <x:c r="AD570" s="60">
        <x:v>2.78</x:v>
      </x:c>
      <x:c r="AE570" s="60">
        <x:v>3.14</x:v>
      </x:c>
      <x:c r="AF570" s="60">
        <x:v>2.47</x:v>
      </x:c>
      <x:c r="AG570" s="62">
        <x:v>0.0830418673905868</x:v>
      </x:c>
      <x:c r="AH570" s="62">
        <x:v>0.0330418673905868</x:v>
      </x:c>
      <x:c r="AI570" s="62">
        <x:v>0.33213141711917</x:v>
      </x:c>
      <x:c r="AJ570" s="62">
        <x:v>0.294052655920793</x:v>
      </x:c>
      <x:c r="AK570" s="62">
        <x:v>0.373815926960037</x:v>
      </x:c>
      <x:c r="AL570" s="62">
        <x:v>1.04</x:v>
      </x:c>
      <x:c r="AM570" s="62">
        <x:v>1.12</x:v>
      </x:c>
      <x:c r="AN570" s="62">
        <x:v>0.000469679961635429</x:v>
      </x:c>
      <x:c r="AO570" s="62">
        <x:v>0.891278962868953</x:v>
      </x:c>
      <x:c r="AP570" s="62">
        <x:v>0.228721037131047</x:v>
      </x:c>
      <x:c r="AQ570" s="62" t="s">
        <x:v>135</x:v>
      </x:c>
      <x:c r="AR570" s="49">
        <x:v>0</x:v>
      </x:c>
      <x:c r="AS570" s="62">
        <x:v>0.373175068163558</x:v>
      </x:c>
      <x:c r="AT570" s="62">
        <x:v>0.332603087721367</x:v>
      </x:c>
      <x:c r="AU570" s="60">
        <x:v>2.82</x:v>
      </x:c>
      <x:c r="AV570" s="60">
        <x:v>3.06</x:v>
      </x:c>
      <x:c r="AW570" s="60">
        <x:v>2.54</x:v>
      </x:c>
      <x:c r="AX570" s="49" t="s">
        <x:v>1890</x:v>
      </x:c>
      <x:c r="AY570" s="49" t="s">
        <x:v>2093</x:v>
      </x:c>
    </x:row>
    <x:row r="571" ht="22" customHeight="1">
      <x:c r="A571" s="49" t="s">
        <x:v>2162</x:v>
      </x:c>
      <x:c r="B571" s="49" t="s">
        <x:v>2306</x:v>
      </x:c>
      <x:c r="C571" s="49" t="s">
        <x:v>333</x:v>
      </x:c>
      <x:c r="D571" s="49" t="s">
        <x:v>116</x:v>
      </x:c>
      <x:c r="E571" s="49" t="s">
        <x:v>613</x:v>
      </x:c>
      <x:c r="F571" s="49" t="s">
        <x:v>2314</x:v>
      </x:c>
      <x:c r="G571" s="60">
        <x:v>0.84</x:v>
      </x:c>
      <x:c r="H571" s="60">
        <x:v>0.5</x:v>
      </x:c>
      <x:c r="I571" s="60">
        <x:v>1.05</x:v>
      </x:c>
      <x:c r="J571" s="49" t="s">
        <x:v>1907</x:v>
      </x:c>
      <x:c r="K571" s="49" t="s">
        <x:v>106</x:v>
      </x:c>
      <x:c r="L571" s="49" t="s">
        <x:v>2315</x:v>
      </x:c>
      <x:c r="M571" s="61">
        <x:v>0.584</x:v>
      </x:c>
      <x:c r="N571" s="49" t="s">
        <x:v>1888</x:v>
      </x:c>
      <x:c r="O571" s="49" t="s">
        <x:v>317</x:v>
      </x:c>
      <x:c r="P571" s="49" t="s">
        <x:v>30</x:v>
      </x:c>
      <x:c r="Q571" s="63" t="s">
        <x:v>11</x:v>
      </x:c>
      <x:c r="R571" s="50">
        <x:v>0.84</x:v>
      </x:c>
      <x:c r="S571" s="50">
        <x:f t="shared" si="36"/>
        <x:v>0.84</x:v>
      </x:c>
      <x:c r="T571" s="49" t="s">
        <x:v>2316</x:v>
      </x:c>
      <x:c r="U571" s="49" t="str">
        <x:f t="shared" si="38"/>
        <x:v>黑</x:v>
      </x:c>
      <x:c r="V571" s="50">
        <x:f t="shared" si="39"/>
        <x:v>1.05</x:v>
      </x:c>
      <x:c r="W571" s="50">
        <x:f t="shared" si="37"/>
        <x:v>-1</x:v>
      </x:c>
      <x:c r="X571" s="62">
        <x:v>0.83</x:v>
      </x:c>
      <x:c r="Y571" s="62">
        <x:v>0.5</x:v>
      </x:c>
      <x:c r="Z571" s="62">
        <x:v>1.05</x:v>
      </x:c>
      <x:c r="AA571" s="62">
        <x:v>-0.5</x:v>
      </x:c>
      <x:c r="AB571" s="62">
        <x:v>0.83</x:v>
      </x:c>
      <x:c r="AC571" s="62">
        <x:v>0.84</x:v>
      </x:c>
      <x:c r="AD571" s="60">
        <x:v>1.77</x:v>
      </x:c>
      <x:c r="AE571" s="60">
        <x:v>3.78</x:v>
      </x:c>
      <x:c r="AF571" s="60">
        <x:v>4.29</x:v>
      </x:c>
      <x:c r="AG571" s="62">
        <x:v>0.0626222490629269</x:v>
      </x:c>
      <x:c r="AH571" s="62">
        <x:v>0.0126222490629269</x:v>
      </x:c>
      <x:c r="AI571" s="62">
        <x:v>0.531676945321491</x:v>
      </x:c>
      <x:c r="AJ571" s="62">
        <x:v>0.248959839475936</x:v>
      </x:c>
      <x:c r="AK571" s="62">
        <x:v>0.219363215202573</x:v>
      </x:c>
      <x:c r="AL571" s="62">
        <x:v>1.61</x:v>
      </x:c>
      <x:c r="AM571" s="62">
        <x:v>0.94</x:v>
      </x:c>
      <x:c r="AN571" s="62">
        <x:v>0.000740021182084574</x:v>
      </x:c>
      <x:c r="AO571" s="62">
        <x:v>0.884427158165599</x:v>
      </x:c>
      <x:c r="AP571" s="62">
        <x:v>-0.0444271581655986</x:v>
      </x:c>
      <x:c r="AQ571" s="62" t="s">
        <x:v>174</x:v>
      </x:c>
      <x:c r="AR571" s="49">
        <x:v>-0.5</x:v>
      </x:c>
      <x:c r="AS571" s="62">
        <x:v>0.530665245226806</x:v>
      </x:c>
      <x:c r="AT571" s="62">
        <x:v>0.469334754773194</x:v>
      </x:c>
      <x:c r="AU571" s="60">
        <x:v>1.81</x:v>
      </x:c>
      <x:c r="AV571" s="60">
        <x:v>3.77</x:v>
      </x:c>
      <x:c r="AW571" s="60">
        <x:v>4.24</x:v>
      </x:c>
      <x:c r="AX571" s="49" t="s">
        <x:v>1890</x:v>
      </x:c>
      <x:c r="AY571" s="49" t="s">
        <x:v>2093</x:v>
      </x:c>
    </x:row>
    <x:row r="572" ht="22" customHeight="1">
      <x:c r="A572" s="49" t="s">
        <x:v>2162</x:v>
      </x:c>
      <x:c r="B572" s="49" t="s">
        <x:v>2317</x:v>
      </x:c>
      <x:c r="C572" s="49" t="s">
        <x:v>333</x:v>
      </x:c>
      <x:c r="D572" s="49" t="s">
        <x:v>116</x:v>
      </x:c>
      <x:c r="E572" s="49" t="s">
        <x:v>894</x:v>
      </x:c>
      <x:c r="F572" s="49" t="s">
        <x:v>2318</x:v>
      </x:c>
      <x:c r="G572" s="60">
        <x:v>1.06</x:v>
      </x:c>
      <x:c r="H572" s="60">
        <x:v>0.5</x:v>
      </x:c>
      <x:c r="I572" s="60">
        <x:v>0.82</x:v>
      </x:c>
      <x:c r="J572" s="49" t="s">
        <x:v>2319</x:v>
      </x:c>
      <x:c r="K572" s="49" t="s">
        <x:v>189</x:v>
      </x:c>
      <x:c r="L572" s="49" t="s">
        <x:v>897</x:v>
      </x:c>
      <x:c r="M572" s="61">
        <x:v>0.584</x:v>
      </x:c>
      <x:c r="N572" s="49" t="s">
        <x:v>1888</x:v>
      </x:c>
      <x:c r="O572" s="49" t="s">
        <x:v>197</x:v>
      </x:c>
      <x:c r="P572" s="49" t="s">
        <x:v>30</x:v>
      </x:c>
      <x:c r="Q572" s="63" t="s">
        <x:v>11</x:v>
      </x:c>
      <x:c r="R572" s="50">
        <x:v>0.84</x:v>
      </x:c>
      <x:c r="S572" s="50">
        <x:f t="shared" si="36"/>
        <x:v>0.84</x:v>
      </x:c>
      <x:c r="T572" s="49" t="s">
        <x:v>2320</x:v>
      </x:c>
      <x:c r="U572" s="49" t="str">
        <x:f t="shared" si="38"/>
        <x:v>黑</x:v>
      </x:c>
      <x:c r="V572" s="50">
        <x:f t="shared" si="39"/>
        <x:v>0.82</x:v>
      </x:c>
      <x:c r="W572" s="50">
        <x:f t="shared" si="37"/>
        <x:v>-1</x:v>
      </x:c>
      <x:c r="X572" s="62">
        <x:v>0.85</x:v>
      </x:c>
      <x:c r="Y572" s="62">
        <x:v>0.25</x:v>
      </x:c>
      <x:c r="Z572" s="62">
        <x:v>0.97</x:v>
      </x:c>
      <x:c r="AA572" s="62">
        <x:v>-0.25</x:v>
      </x:c>
      <x:c r="AB572" s="62">
        <x:v>0.85</x:v>
      </x:c>
      <x:c r="AC572" s="62">
        <x:v>0.84</x:v>
      </x:c>
      <x:c r="AD572" s="60">
        <x:v>2</x:v>
      </x:c>
      <x:c r="AE572" s="60">
        <x:v>3.32</x:v>
      </x:c>
      <x:c r="AF572" s="60">
        <x:v>3.53</x:v>
      </x:c>
      <x:c r="AG572" s="62">
        <x:v>0.0844909382572783</x:v>
      </x:c>
      <x:c r="AH572" s="62">
        <x:v>0.0344909382572783</x:v>
      </x:c>
      <x:c r="AI572" s="62">
        <x:v>0.461045807172418</x:v>
      </x:c>
      <x:c r="AJ572" s="62">
        <x:v>0.277738438055674</x:v>
      </x:c>
      <x:c r="AK572" s="62">
        <x:v>0.261215754771908</x:v>
      </x:c>
      <x:c r="AL572" s="62">
        <x:v>1.35</x:v>
      </x:c>
      <x:c r="AM572" s="62">
        <x:v>0.94</x:v>
      </x:c>
      <x:c r="AN572" s="62">
        <x:v>0.000929045097379075</x:v>
      </x:c>
      <x:c r="AO572" s="62">
        <x:v>1.16310067354706</x:v>
      </x:c>
      <x:c r="AP572" s="62">
        <x:v>-0.323100673547063</x:v>
      </x:c>
      <x:c r="AQ572" s="62" t="s">
        <x:v>99</x:v>
      </x:c>
      <x:c r="AR572" s="49">
        <x:v>-0.5</x:v>
      </x:c>
      <x:c r="AS572" s="62">
        <x:v>0.462299333650613</x:v>
      </x:c>
      <x:c r="AT572" s="62">
        <x:v>0.537700666349387</x:v>
      </x:c>
      <x:c r="AU572" s="60">
        <x:v>2.08</x:v>
      </x:c>
      <x:c r="AV572" s="60">
        <x:v>3.23</x:v>
      </x:c>
      <x:c r="AW572" s="60">
        <x:v>3.55</x:v>
      </x:c>
      <x:c r="AX572" s="49" t="s">
        <x:v>1890</x:v>
      </x:c>
      <x:c r="AY572" s="49" t="s">
        <x:v>2093</x:v>
      </x:c>
    </x:row>
    <x:row r="573" ht="22" customHeight="1">
      <x:c r="A573" s="49" t="s">
        <x:v>2162</x:v>
      </x:c>
      <x:c r="B573" s="49" t="s">
        <x:v>2321</x:v>
      </x:c>
      <x:c r="C573" s="49" t="s">
        <x:v>333</x:v>
      </x:c>
      <x:c r="D573" s="49" t="s">
        <x:v>116</x:v>
      </x:c>
      <x:c r="E573" s="49" t="s">
        <x:v>927</x:v>
      </x:c>
      <x:c r="F573" s="49" t="s">
        <x:v>2322</x:v>
      </x:c>
      <x:c r="G573" s="60">
        <x:v>0.73</x:v>
      </x:c>
      <x:c r="H573" s="60">
        <x:v>1</x:v>
      </x:c>
      <x:c r="I573" s="60">
        <x:v>0.97</x:v>
      </x:c>
      <x:c r="J573" s="49" t="s">
        <x:v>2323</x:v>
      </x:c>
      <x:c r="K573" s="49" t="s">
        <x:v>106</x:v>
      </x:c>
      <x:c r="L573" s="49" t="s">
        <x:v>2324</x:v>
      </x:c>
      <x:c r="M573" s="61">
        <x:v>0.584</x:v>
      </x:c>
      <x:c r="N573" s="49" t="s">
        <x:v>1888</x:v>
      </x:c>
      <x:c r="O573" s="49" t="s">
        <x:v>149</x:v>
      </x:c>
      <x:c r="P573" s="49" t="s">
        <x:v>30</x:v>
      </x:c>
      <x:c r="Q573" s="64" t="s">
        <x:v>23</x:v>
      </x:c>
      <x:c r="R573" s="50">
        <x:v>0.83</x:v>
      </x:c>
      <x:c r="S573" s="50">
        <x:f t="shared" si="36"/>
        <x:v>-1</x:v>
      </x:c>
      <x:c r="T573" s="49" t="s">
        <x:v>2325</x:v>
      </x:c>
      <x:c r="U573" s="49" t="str">
        <x:f t="shared" si="38"/>
        <x:v>红</x:v>
      </x:c>
      <x:c r="V573" s="50">
        <x:f t="shared" si="39"/>
        <x:v>0.97</x:v>
      </x:c>
      <x:c r="W573" s="50">
        <x:f t="shared" si="37"/>
        <x:v>0.97</x:v>
      </x:c>
      <x:c r="X573" s="62">
        <x:v>0.83</x:v>
      </x:c>
      <x:c r="Y573" s="62">
        <x:v>0.75</x:v>
      </x:c>
      <x:c r="Z573" s="62">
        <x:v>0.87</x:v>
      </x:c>
      <x:c r="AA573" s="62">
        <x:v>-0.75</x:v>
      </x:c>
      <x:c r="AB573" s="62">
        <x:v>0.83</x:v>
      </x:c>
      <x:c r="AC573" s="62">
        <x:v>0.83</x:v>
      </x:c>
      <x:c r="AD573" s="60">
        <x:v>1.67</x:v>
      </x:c>
      <x:c r="AE573" s="60">
        <x:v>3.48</x:v>
      </x:c>
      <x:c r="AF573" s="60">
        <x:v>4.57</x:v>
      </x:c>
      <x:c r="AG573" s="62">
        <x:v>0.104977097792644</x:v>
      </x:c>
      <x:c r="AH573" s="62">
        <x:v>0.0549770977926439</x:v>
      </x:c>
      <x:c r="AI573" s="62">
        <x:v>0.541913851794556</x:v>
      </x:c>
      <x:c r="AJ573" s="62">
        <x:v>0.260056359912904</x:v>
      </x:c>
      <x:c r="AK573" s="62">
        <x:v>0.19802978829254</x:v>
      </x:c>
      <x:c r="AL573" s="62">
        <x:v>1.51</x:v>
      </x:c>
      <x:c r="AM573" s="62">
        <x:v>0.8</x:v>
      </x:c>
      <x:c r="AN573" s="62">
        <x:v>0.000803174721161311</x:v>
      </x:c>
      <x:c r="AO573" s="62">
        <x:v>1.63898823190969</x:v>
      </x:c>
      <x:c r="AP573" s="62">
        <x:v>-0.808988231909691</x:v>
      </x:c>
      <x:c r="AQ573" s="62" t="s">
        <x:v>99</x:v>
      </x:c>
      <x:c r="AR573" s="49">
        <x:v>-1</x:v>
      </x:c>
      <x:c r="AS573" s="62">
        <x:v>0.280186273701286</x:v>
      </x:c>
      <x:c r="AT573" s="62">
        <x:v>0.459222005339035</x:v>
      </x:c>
      <x:c r="AU573" s="60">
        <x:v>1.51</x:v>
      </x:c>
      <x:c r="AV573" s="60">
        <x:v>3.73</x:v>
      </x:c>
      <x:c r="AW573" s="60">
        <x:v>5.97</x:v>
      </x:c>
      <x:c r="AX573" s="49" t="s">
        <x:v>1890</x:v>
      </x:c>
      <x:c r="AY573" s="49" t="s">
        <x:v>2093</x:v>
      </x:c>
    </x:row>
    <x:row r="574" ht="22" customHeight="1">
      <x:c r="A574" s="49" t="s">
        <x:v>2162</x:v>
      </x:c>
      <x:c r="B574" s="49" t="s">
        <x:v>2326</x:v>
      </x:c>
      <x:c r="C574" s="49" t="s">
        <x:v>333</x:v>
      </x:c>
      <x:c r="D574" s="49" t="s">
        <x:v>116</x:v>
      </x:c>
      <x:c r="E574" s="49" t="s">
        <x:v>532</x:v>
      </x:c>
      <x:c r="F574" s="49" t="s">
        <x:v>2327</x:v>
      </x:c>
      <x:c r="G574" s="60">
        <x:v>1.04</x:v>
      </x:c>
      <x:c r="H574" s="60">
        <x:v>0</x:v>
      </x:c>
      <x:c r="I574" s="60">
        <x:v>0.85</x:v>
      </x:c>
      <x:c r="J574" s="49" t="s">
        <x:v>2199</x:v>
      </x:c>
      <x:c r="K574" s="49" t="s">
        <x:v>132</x:v>
      </x:c>
      <x:c r="L574" s="49" t="s">
        <x:v>1720</x:v>
      </x:c>
      <x:c r="M574" s="61">
        <x:v>0.559</x:v>
      </x:c>
      <x:c r="N574" s="49" t="s">
        <x:v>1888</x:v>
      </x:c>
      <x:c r="O574" s="49" t="s">
        <x:v>231</x:v>
      </x:c>
      <x:c r="P574" s="49" t="s">
        <x:v>30</x:v>
      </x:c>
      <x:c r="Q574" s="64" t="s">
        <x:v>23</x:v>
      </x:c>
      <x:c r="R574" s="50">
        <x:v>0.87</x:v>
      </x:c>
      <x:c r="S574" s="50">
        <x:f t="shared" si="36"/>
        <x:v>-1</x:v>
      </x:c>
      <x:c r="T574" s="49" t="s">
        <x:v>2328</x:v>
      </x:c>
      <x:c r="U574" s="49" t="str">
        <x:f t="shared" si="38"/>
        <x:v>红</x:v>
      </x:c>
      <x:c r="V574" s="50">
        <x:f t="shared" si="39"/>
        <x:v>1.04</x:v>
      </x:c>
      <x:c r="W574" s="50">
        <x:f t="shared" si="37"/>
        <x:v>1.04</x:v>
      </x:c>
      <x:c r="X574" s="62">
        <x:v>0.79</x:v>
      </x:c>
      <x:c r="Y574" s="62">
        <x:v>-0.25</x:v>
      </x:c>
      <x:c r="Z574" s="62">
        <x:v>1.09</x:v>
      </x:c>
      <x:c r="AA574" s="62">
        <x:v>-0.25</x:v>
      </x:c>
      <x:c r="AB574" s="62">
        <x:v>1.09</x:v>
      </x:c>
      <x:c r="AC574" s="62">
        <x:v>0.87</x:v>
      </x:c>
      <x:c r="AD574" s="60">
        <x:v>2.88</x:v>
      </x:c>
      <x:c r="AE574" s="60">
        <x:v>3.32</x:v>
      </x:c>
      <x:c r="AF574" s="60">
        <x:v>2.38</x:v>
      </x:c>
      <x:c r="AG574" s="62">
        <x:v>0.0685951087262215</x:v>
      </x:c>
      <x:c r="AH574" s="62">
        <x:v>0.0185951087262215</x:v>
      </x:c>
      <x:c r="AI574" s="62">
        <x:v>0.324933381583709</x:v>
      </x:c>
      <x:c r="AJ574" s="62">
        <x:v>0.28186992137382</x:v>
      </x:c>
      <x:c r="AK574" s="62">
        <x:v>0.393196697042471</x:v>
      </x:c>
      <x:c r="AL574" s="62">
        <x:v>1.09</x:v>
      </x:c>
      <x:c r="AM574" s="62">
        <x:v>1.23</x:v>
      </x:c>
      <x:c r="AN574" s="62">
        <x:v>0.000437599079477005</x:v>
      </x:c>
      <x:c r="AO574" s="62">
        <x:v>0.825151520125888</x:v>
      </x:c>
      <x:c r="AP574" s="62">
        <x:v>0.0448484798741125</x:v>
      </x:c>
      <x:c r="AQ574" s="62" t="s">
        <x:v>174</x:v>
      </x:c>
      <x:c r="AR574" s="49">
        <x:v>0</x:v>
      </x:c>
      <x:c r="AS574" s="62">
        <x:v>0.39374782166403</x:v>
      </x:c>
      <x:c r="AT574" s="62">
        <x:v>0.324901613592331</x:v>
      </x:c>
      <x:c r="AU574" s="60">
        <x:v>2.79</x:v>
      </x:c>
      <x:c r="AV574" s="60">
        <x:v>3.32</x:v>
      </x:c>
      <x:c r="AW574" s="60">
        <x:v>2.54</x:v>
      </x:c>
      <x:c r="AX574" s="49" t="s">
        <x:v>1890</x:v>
      </x:c>
      <x:c r="AY574" s="49" t="s">
        <x:v>2093</x:v>
      </x:c>
    </x:row>
    <x:row r="575" ht="22" customHeight="1">
      <x:c r="A575" s="49" t="s">
        <x:v>2162</x:v>
      </x:c>
      <x:c r="B575" s="49" t="s">
        <x:v>2326</x:v>
      </x:c>
      <x:c r="C575" s="49" t="s">
        <x:v>333</x:v>
      </x:c>
      <x:c r="D575" s="49" t="s">
        <x:v>116</x:v>
      </x:c>
      <x:c r="E575" s="49" t="s">
        <x:v>532</x:v>
      </x:c>
      <x:c r="F575" s="49" t="s">
        <x:v>2329</x:v>
      </x:c>
      <x:c r="G575" s="60">
        <x:v>0.78</x:v>
      </x:c>
      <x:c r="H575" s="60">
        <x:v>0.25</x:v>
      </x:c>
      <x:c r="I575" s="60">
        <x:v>1.12</x:v>
      </x:c>
      <x:c r="J575" s="49" t="s">
        <x:v>2330</x:v>
      </x:c>
      <x:c r="K575" s="49" t="s">
        <x:v>106</x:v>
      </x:c>
      <x:c r="L575" s="49" t="s">
        <x:v>2331</x:v>
      </x:c>
      <x:c r="M575" s="61">
        <x:v>0.584</x:v>
      </x:c>
      <x:c r="N575" s="49" t="s">
        <x:v>1888</x:v>
      </x:c>
      <x:c r="O575" s="49" t="s">
        <x:v>161</x:v>
      </x:c>
      <x:c r="P575" s="49" t="s">
        <x:v>30</x:v>
      </x:c>
      <x:c r="Q575" s="63" t="s">
        <x:v>11</x:v>
      </x:c>
      <x:c r="R575" s="50">
        <x:v>0.84</x:v>
      </x:c>
      <x:c r="S575" s="50">
        <x:f t="shared" si="36"/>
        <x:v>0.84</x:v>
      </x:c>
      <x:c r="T575" s="49" t="s">
        <x:v>2332</x:v>
      </x:c>
      <x:c r="U575" s="49" t="str">
        <x:f t="shared" si="38"/>
        <x:v>黑</x:v>
      </x:c>
      <x:c r="V575" s="50">
        <x:f t="shared" si="39"/>
        <x:v>1.12</x:v>
      </x:c>
      <x:c r="W575" s="50">
        <x:f t="shared" si="37"/>
        <x:v>-1</x:v>
      </x:c>
      <x:c r="X575" s="62">
        <x:v>0.95</x:v>
      </x:c>
      <x:c r="Y575" s="62">
        <x:v>0.25</x:v>
      </x:c>
      <x:c r="Z575" s="62">
        <x:v>0.93</x:v>
      </x:c>
      <x:c r="AA575" s="62">
        <x:v>-0.25</x:v>
      </x:c>
      <x:c r="AB575" s="62">
        <x:v>0.95</x:v>
      </x:c>
      <x:c r="AC575" s="62">
        <x:v>0.84</x:v>
      </x:c>
      <x:c r="AD575" s="60">
        <x:v>2.09</x:v>
      </x:c>
      <x:c r="AE575" s="60">
        <x:v>3.3</x:v>
      </x:c>
      <x:c r="AF575" s="60">
        <x:v>3.51</x:v>
      </x:c>
      <x:c r="AG575" s="62">
        <x:v>0.066399487452119</x:v>
      </x:c>
      <x:c r="AH575" s="62">
        <x:v>0.016399487452119</x:v>
      </x:c>
      <x:c r="AI575" s="62">
        <x:v>0.448676978141378</x:v>
      </x:c>
      <x:c r="AJ575" s="62">
        <x:v>0.284162086156206</x:v>
      </x:c>
      <x:c r="AK575" s="62">
        <x:v>0.267160935702416</x:v>
      </x:c>
      <x:c r="AL575" s="62">
        <x:v>1.28</x:v>
      </x:c>
      <x:c r="AM575" s="62">
        <x:v>0.92</x:v>
      </x:c>
      <x:c r="AN575" s="62">
        <x:v>0.000878245253758875</x:v>
      </x:c>
      <x:c r="AO575" s="62">
        <x:v>0.916033953377969</x:v>
      </x:c>
      <x:c r="AP575" s="62">
        <x:v>-0.076033953377969</x:v>
      </x:c>
      <x:c r="AQ575" s="62" t="s">
        <x:v>99</x:v>
      </x:c>
      <x:c r="AR575" s="49">
        <x:v>-0.25</x:v>
      </x:c>
      <x:c r="AS575" s="62">
        <x:v>0.447509559837824</x:v>
      </x:c>
      <x:c r="AT575" s="62">
        <x:v>0.409933951272677</x:v>
      </x:c>
      <x:c r="AU575" s="60">
        <x:v>2.08</x:v>
      </x:c>
      <x:c r="AV575" s="60">
        <x:v>3.47</x:v>
      </x:c>
      <x:c r="AW575" s="60">
        <x:v>3.5</x:v>
      </x:c>
      <x:c r="AX575" s="49" t="s">
        <x:v>1890</x:v>
      </x:c>
      <x:c r="AY575" s="49" t="s">
        <x:v>2093</x:v>
      </x:c>
    </x:row>
    <x:row r="576" ht="22" customHeight="1">
      <x:c r="A576" s="49" t="s">
        <x:v>2162</x:v>
      </x:c>
      <x:c r="B576" s="49" t="s">
        <x:v>2326</x:v>
      </x:c>
      <x:c r="C576" s="49" t="s">
        <x:v>333</x:v>
      </x:c>
      <x:c r="D576" s="49" t="s">
        <x:v>116</x:v>
      </x:c>
      <x:c r="E576" s="49" t="s">
        <x:v>532</x:v>
      </x:c>
      <x:c r="F576" s="49" t="s">
        <x:v>2333</x:v>
      </x:c>
      <x:c r="G576" s="60">
        <x:v>0.94</x:v>
      </x:c>
      <x:c r="H576" s="60">
        <x:v>0.25</x:v>
      </x:c>
      <x:c r="I576" s="60">
        <x:v>0.95</x:v>
      </x:c>
      <x:c r="J576" s="49" t="s">
        <x:v>2334</x:v>
      </x:c>
      <x:c r="K576" s="49" t="s">
        <x:v>132</x:v>
      </x:c>
      <x:c r="L576" s="49" t="s">
        <x:v>586</x:v>
      </x:c>
      <x:c r="M576" s="61">
        <x:v>0.559</x:v>
      </x:c>
      <x:c r="N576" s="49" t="s">
        <x:v>1888</x:v>
      </x:c>
      <x:c r="O576" s="49" t="s">
        <x:v>108</x:v>
      </x:c>
      <x:c r="P576" s="49" t="s">
        <x:v>30</x:v>
      </x:c>
      <x:c r="Q576" s="63" t="s">
        <x:v>11</x:v>
      </x:c>
      <x:c r="R576" s="50">
        <x:v>0.88</x:v>
      </x:c>
      <x:c r="S576" s="50">
        <x:f t="shared" si="36"/>
        <x:v>0.88</x:v>
      </x:c>
      <x:c r="T576" s="49" t="s">
        <x:v>2335</x:v>
      </x:c>
      <x:c r="U576" s="49" t="str">
        <x:f t="shared" si="38"/>
        <x:v>黑</x:v>
      </x:c>
      <x:c r="V576" s="50">
        <x:f t="shared" si="39"/>
        <x:v>0.95</x:v>
      </x:c>
      <x:c r="W576" s="50">
        <x:f t="shared" si="37"/>
        <x:v>-1</x:v>
      </x:c>
      <x:c r="X576" s="62">
        <x:v>0.99</x:v>
      </x:c>
      <x:c r="Y576" s="62">
        <x:v>0.5</x:v>
      </x:c>
      <x:c r="Z576" s="62">
        <x:v>0.89</x:v>
      </x:c>
      <x:c r="AA576" s="62">
        <x:v>-0.5</x:v>
      </x:c>
      <x:c r="AB576" s="62">
        <x:v>0.99</x:v>
      </x:c>
      <x:c r="AC576" s="62">
        <x:v>0.88</x:v>
      </x:c>
      <x:c r="AD576" s="60">
        <x:v>1.99</x:v>
      </x:c>
      <x:c r="AE576" s="60">
        <x:v>3.79</x:v>
      </x:c>
      <x:c r="AF576" s="60">
        <x:v>3.33</x:v>
      </x:c>
      <x:c r="AG576" s="62">
        <x:v>0.066665105858434</x:v>
      </x:c>
      <x:c r="AH576" s="62">
        <x:v>0.016665105858434</x:v>
      </x:c>
      <x:c r="AI576" s="62">
        <x:v>0.471106216987999</x:v>
      </x:c>
      <x:c r="AJ576" s="62">
        <x:v>0.24736183952668</x:v>
      </x:c>
      <x:c r="AK576" s="62">
        <x:v>0.281531943485321</x:v>
      </x:c>
      <x:c r="AL576" s="62">
        <x:v>1.6</x:v>
      </x:c>
      <x:c r="AM576" s="62">
        <x:v>1.18</x:v>
      </x:c>
      <x:c r="AN576" s="62">
        <x:v>0.000131274683609573</x:v>
      </x:c>
      <x:c r="AO576" s="62">
        <x:v>0.859991162633224</x:v>
      </x:c>
      <x:c r="AP576" s="62">
        <x:v>0.0200088373667757</x:v>
      </x:c>
      <x:c r="AQ576" s="62" t="s">
        <x:v>174</x:v>
      </x:c>
      <x:c r="AR576" s="49">
        <x:v>-0.25</x:v>
      </x:c>
      <x:c r="AS576" s="62">
        <x:v>0.471097140608876</x:v>
      </x:c>
      <x:c r="AT576" s="62">
        <x:v>0.405139377665415</x:v>
      </x:c>
      <x:c r="AU576" s="60">
        <x:v>2.18</x:v>
      </x:c>
      <x:c r="AV576" s="60">
        <x:v>3.74</x:v>
      </x:c>
      <x:c r="AW576" s="60">
        <x:v>3.05</x:v>
      </x:c>
      <x:c r="AX576" s="49" t="s">
        <x:v>1890</x:v>
      </x:c>
      <x:c r="AY576" s="49" t="s">
        <x:v>2093</x:v>
      </x:c>
    </x:row>
    <x:row r="577" ht="22" customHeight="1">
      <x:c r="A577" s="49" t="s">
        <x:v>2162</x:v>
      </x:c>
      <x:c r="B577" s="49" t="s">
        <x:v>2336</x:v>
      </x:c>
      <x:c r="C577" s="49" t="s">
        <x:v>89</x:v>
      </x:c>
      <x:c r="D577" s="49" t="s">
        <x:v>116</x:v>
      </x:c>
      <x:c r="E577" s="49" t="s">
        <x:v>1483</x:v>
      </x:c>
      <x:c r="F577" s="49" t="s">
        <x:v>2337</x:v>
      </x:c>
      <x:c r="G577" s="60">
        <x:v>0.94</x:v>
      </x:c>
      <x:c r="H577" s="60">
        <x:v>0</x:v>
      </x:c>
      <x:c r="I577" s="60">
        <x:v>0.95</x:v>
      </x:c>
      <x:c r="J577" s="49" t="s">
        <x:v>2338</x:v>
      </x:c>
      <x:c r="K577" s="49" t="s">
        <x:v>544</x:v>
      </x:c>
      <x:c r="L577" s="49" t="s">
        <x:v>2339</x:v>
      </x:c>
      <x:c r="M577" s="61">
        <x:v>0.576</x:v>
      </x:c>
      <x:c r="N577" s="49" t="s">
        <x:v>1888</x:v>
      </x:c>
      <x:c r="O577" s="49" t="s">
        <x:v>191</x:v>
      </x:c>
      <x:c r="P577" s="49" t="s">
        <x:v>30</x:v>
      </x:c>
      <x:c r="Q577" s="63" t="s">
        <x:v>11</x:v>
      </x:c>
      <x:c r="R577" s="50">
        <x:v>0.84</x:v>
      </x:c>
      <x:c r="S577" s="50">
        <x:f t="shared" si="36"/>
        <x:v>0.84</x:v>
      </x:c>
      <x:c r="T577" s="49" t="s">
        <x:v>2340</x:v>
      </x:c>
      <x:c r="U577" s="49" t="str">
        <x:f t="shared" si="38"/>
        <x:v>黑</x:v>
      </x:c>
      <x:c r="V577" s="50">
        <x:f t="shared" si="39"/>
        <x:v>0.94</x:v>
      </x:c>
      <x:c r="W577" s="50">
        <x:f t="shared" si="37"/>
        <x:v>-1</x:v>
      </x:c>
      <x:c r="X577" s="62">
        <x:v>0.94</x:v>
      </x:c>
      <x:c r="Y577" s="62">
        <x:v>0</x:v>
      </x:c>
      <x:c r="Z577" s="62">
        <x:v>0.94</x:v>
      </x:c>
      <x:c r="AA577" s="62">
        <x:v>0</x:v>
      </x:c>
      <x:c r="AB577" s="62">
        <x:v>0.94</x:v>
      </x:c>
      <x:c r="AC577" s="62">
        <x:v>0.84</x:v>
      </x:c>
      <x:c r="AD577" s="60">
        <x:v>2.58</x:v>
      </x:c>
      <x:c r="AE577" s="60">
        <x:v>3.66</x:v>
      </x:c>
      <x:c r="AF577" s="60">
        <x:v>2.4</x:v>
      </x:c>
      <x:c r="AG577" s="62">
        <x:v>0.0774876096073198</x:v>
      </x:c>
      <x:c r="AH577" s="62">
        <x:v>0.0274876096073198</x:v>
      </x:c>
      <x:c r="AI577" s="62">
        <x:v>0.359722836503022</x:v>
      </x:c>
      <x:c r="AJ577" s="62">
        <x:v>0.253575114256229</x:v>
      </x:c>
      <x:c r="AK577" s="62">
        <x:v>0.386702049240749</x:v>
      </x:c>
      <x:c r="AL577" s="62">
        <x:v>1.36</x:v>
      </x:c>
      <x:c r="AM577" s="62">
        <x:v>1.42</x:v>
      </x:c>
      <x:c r="AN577" s="62">
        <x:v>0.000166092305406013</x:v>
      </x:c>
      <x:c r="AO577" s="62">
        <x:v>0.929431288373565</x:v>
      </x:c>
      <x:c r="AP577" s="62">
        <x:v>-0.0894312883735655</x:v>
      </x:c>
      <x:c r="AQ577" s="62" t="s">
        <x:v>150</x:v>
      </x:c>
      <x:c r="AR577" s="49">
        <x:v>0</x:v>
      </x:c>
      <x:c r="AS577" s="62">
        <x:v>0.386785878107543</x:v>
      </x:c>
      <x:c r="AT577" s="62">
        <x:v>0.359490897014194</x:v>
      </x:c>
      <x:c r="AU577" s="60">
        <x:v>2.53</x:v>
      </x:c>
      <x:c r="AV577" s="60">
        <x:v>3.62</x:v>
      </x:c>
      <x:c r="AW577" s="60">
        <x:v>2.53</x:v>
      </x:c>
      <x:c r="AX577" s="49" t="s">
        <x:v>1890</x:v>
      </x:c>
      <x:c r="AY577" s="49" t="s">
        <x:v>2093</x:v>
      </x:c>
    </x:row>
    <x:row r="578" ht="22" customHeight="1">
      <x:c r="A578" s="49" t="s">
        <x:v>2162</x:v>
      </x:c>
      <x:c r="B578" s="49" t="s">
        <x:v>2336</x:v>
      </x:c>
      <x:c r="C578" s="49" t="s">
        <x:v>333</x:v>
      </x:c>
      <x:c r="D578" s="49" t="s">
        <x:v>116</x:v>
      </x:c>
      <x:c r="E578" s="49" t="s">
        <x:v>953</x:v>
      </x:c>
      <x:c r="F578" s="49" t="s">
        <x:v>2341</x:v>
      </x:c>
      <x:c r="G578" s="60">
        <x:v>0.91</x:v>
      </x:c>
      <x:c r="H578" s="60">
        <x:v>0.5</x:v>
      </x:c>
      <x:c r="I578" s="60">
        <x:v>0.91</x:v>
      </x:c>
      <x:c r="J578" s="49" t="s">
        <x:v>2342</x:v>
      </x:c>
      <x:c r="K578" s="49" t="s">
        <x:v>132</x:v>
      </x:c>
      <x:c r="L578" s="49" t="s">
        <x:v>2343</x:v>
      </x:c>
      <x:c r="M578" s="61">
        <x:v>0.559</x:v>
      </x:c>
      <x:c r="N578" s="49" t="s">
        <x:v>1888</x:v>
      </x:c>
      <x:c r="O578" s="49" t="s">
        <x:v>149</x:v>
      </x:c>
      <x:c r="P578" s="49" t="s">
        <x:v>30</x:v>
      </x:c>
      <x:c r="Q578" s="64" t="s">
        <x:v>23</x:v>
      </x:c>
      <x:c r="R578" s="50">
        <x:v>0.93</x:v>
      </x:c>
      <x:c r="S578" s="50">
        <x:f t="shared" si="36"/>
        <x:v>-1</x:v>
      </x:c>
      <x:c r="T578" s="49" t="s">
        <x:v>2344</x:v>
      </x:c>
      <x:c r="U578" s="49" t="str">
        <x:f t="shared" si="38"/>
        <x:v>红</x:v>
      </x:c>
      <x:c r="V578" s="50">
        <x:f t="shared" si="39"/>
        <x:v>0.91</x:v>
      </x:c>
      <x:c r="W578" s="50">
        <x:f t="shared" si="37"/>
        <x:v>0.91</x:v>
      </x:c>
      <x:c r="X578" s="62">
        <x:v>0.96</x:v>
      </x:c>
      <x:c r="Y578" s="62">
        <x:v>0.75</x:v>
      </x:c>
      <x:c r="Z578" s="62">
        <x:v>0.74</x:v>
      </x:c>
      <x:c r="AA578" s="62">
        <x:v>-0.75</x:v>
      </x:c>
      <x:c r="AB578" s="62">
        <x:v>0.96</x:v>
      </x:c>
      <x:c r="AC578" s="62">
        <x:v>0.93</x:v>
      </x:c>
      <x:c r="AD578" s="60">
        <x:v>1.75</x:v>
      </x:c>
      <x:c r="AE578" s="60">
        <x:v>3.37</x:v>
      </x:c>
      <x:c r="AF578" s="60">
        <x:v>4.2</x:v>
      </x:c>
      <x:c r="AG578" s="62">
        <x:v>0.10625971456832</x:v>
      </x:c>
      <x:c r="AH578" s="62">
        <x:v>0.0562597145683199</x:v>
      </x:c>
      <x:c r="AI578" s="62">
        <x:v>0.516541065270149</x:v>
      </x:c>
      <x:c r="AJ578" s="62">
        <x:v>0.268233490867288</x:v>
      </x:c>
      <x:c r="AK578" s="62">
        <x:v>0.215225443862562</x:v>
      </x:c>
      <x:c r="AL578" s="62">
        <x:v>1.45</x:v>
      </x:c>
      <x:c r="AM578" s="62">
        <x:v>0.83</x:v>
      </x:c>
      <x:c r="AN578" s="62">
        <x:v>0.000452561646794977</x:v>
      </x:c>
      <x:c r="AO578" s="62">
        <x:v>0.93366477463396</x:v>
      </x:c>
      <x:c r="AP578" s="62">
        <x:v>-0.00366477463395975</x:v>
      </x:c>
      <x:c r="AQ578" s="62" t="s">
        <x:v>174</x:v>
      </x:c>
      <x:c r="AR578" s="49">
        <x:v>-0.5</x:v>
      </x:c>
      <x:c r="AS578" s="62">
        <x:v>0.517152721153179</x:v>
      </x:c>
      <x:c r="AT578" s="62">
        <x:v>0.482847278846821</x:v>
      </x:c>
      <x:c r="AU578" s="60">
        <x:v>1.89</x:v>
      </x:c>
      <x:c r="AV578" s="60">
        <x:v>3.36</x:v>
      </x:c>
      <x:c r="AW578" s="60">
        <x:v>3.58</x:v>
      </x:c>
      <x:c r="AX578" s="49" t="s">
        <x:v>1890</x:v>
      </x:c>
      <x:c r="AY578" s="49" t="s">
        <x:v>2093</x:v>
      </x:c>
    </x:row>
    <x:row r="579" ht="22" customHeight="1">
      <x:c r="A579" s="49" t="s">
        <x:v>2162</x:v>
      </x:c>
      <x:c r="B579" s="49" t="s">
        <x:v>2336</x:v>
      </x:c>
      <x:c r="C579" s="49" t="s">
        <x:v>333</x:v>
      </x:c>
      <x:c r="D579" s="49" t="s">
        <x:v>116</x:v>
      </x:c>
      <x:c r="E579" s="49" t="s">
        <x:v>613</x:v>
      </x:c>
      <x:c r="F579" s="49" t="s">
        <x:v>2345</x:v>
      </x:c>
      <x:c r="G579" s="60">
        <x:v>0.96</x:v>
      </x:c>
      <x:c r="H579" s="60">
        <x:v>-1.75</x:v>
      </x:c>
      <x:c r="I579" s="60">
        <x:v>0.93</x:v>
      </x:c>
      <x:c r="J579" s="49" t="s">
        <x:v>2346</x:v>
      </x:c>
      <x:c r="K579" s="49" t="s">
        <x:v>544</x:v>
      </x:c>
      <x:c r="L579" s="49" t="s">
        <x:v>2347</x:v>
      </x:c>
      <x:c r="M579" s="61">
        <x:v>0.532</x:v>
      </x:c>
      <x:c r="N579" s="49" t="s">
        <x:v>1888</x:v>
      </x:c>
      <x:c r="O579" s="49" t="s">
        <x:v>558</x:v>
      </x:c>
      <x:c r="P579" s="49" t="s">
        <x:v>30</x:v>
      </x:c>
      <x:c r="Q579" s="64" t="s">
        <x:v>20</x:v>
      </x:c>
      <x:c r="R579" s="50">
        <x:v>1.04</x:v>
      </x:c>
      <x:c r="S579" s="50">
        <x:f t="shared" si="36"/>
        <x:v>-0.5</x:v>
      </x:c>
      <x:c r="T579" s="49" t="s">
        <x:v>2348</x:v>
      </x:c>
      <x:c r="U579" s="49" t="str">
        <x:f t="shared" si="38"/>
        <x:v>半红</x:v>
      </x:c>
      <x:c r="V579" s="50">
        <x:f t="shared" si="39"/>
        <x:v>0.93</x:v>
      </x:c>
      <x:c r="W579" s="50">
        <x:f t="shared" si="37"/>
        <x:v>0.465</x:v>
      </x:c>
      <x:c r="X579" s="62">
        <x:v>0.9</x:v>
      </x:c>
      <x:c r="Y579" s="62">
        <x:v>-1.75</x:v>
      </x:c>
      <x:c r="Z579" s="62">
        <x:v>0.98</x:v>
      </x:c>
      <x:c r="AA579" s="62">
        <x:v>1.75</x:v>
      </x:c>
      <x:c r="AB579" s="62">
        <x:v>0.9</x:v>
      </x:c>
      <x:c r="AC579" s="62">
        <x:v>1.04</x:v>
      </x:c>
      <x:c r="AD579" s="60">
        <x:v>9.16</x:v>
      </x:c>
      <x:c r="AE579" s="60">
        <x:v>5.69</x:v>
      </x:c>
      <x:c r="AF579" s="60">
        <x:v>1.29</x:v>
      </x:c>
      <x:c r="AG579" s="62">
        <x:v>0.0601110285552906</x:v>
      </x:c>
      <x:c r="AH579" s="62">
        <x:v>0.0101110285552906</x:v>
      </x:c>
      <x:c r="AI579" s="62">
        <x:v>0.102980067876128</x:v>
      </x:c>
      <x:c r="AJ579" s="62">
        <x:v>0.16578162069338</x:v>
      </x:c>
      <x:c r="AK579" s="62">
        <x:v>0.731238311430492</x:v>
      </x:c>
      <x:c r="AL579" s="62">
        <x:v>0.78</x:v>
      </x:c>
      <x:c r="AM579" s="62">
        <x:v>2.39</x:v>
      </x:c>
      <x:c r="AN579" s="62">
        <x:v>0.00040831141568258</x:v>
      </x:c>
      <x:c r="AO579" s="62">
        <x:v>0.797243540135065</x:v>
      </x:c>
      <x:c r="AP579" s="62">
        <x:v>0.242756459864935</x:v>
      </x:c>
      <x:c r="AQ579" s="62" t="s">
        <x:v>142</x:v>
      </x:c>
      <x:c r="AR579" s="49">
        <x:v>1.75</x:v>
      </x:c>
      <x:c r="AS579" s="62">
        <x:v>0.496811506917968</x:v>
      </x:c>
      <x:c r="AT579" s="62">
        <x:v>0.396079764555118</x:v>
      </x:c>
      <x:c r="AU579" s="60">
        <x:v>9.53</x:v>
      </x:c>
      <x:c r="AV579" s="60">
        <x:v>6.56</x:v>
      </x:c>
      <x:c r="AW579" s="60">
        <x:v>1.26</x:v>
      </x:c>
      <x:c r="AX579" s="49" t="s">
        <x:v>1890</x:v>
      </x:c>
      <x:c r="AY579" s="49" t="s">
        <x:v>2093</x:v>
      </x:c>
    </x:row>
    <x:row r="580" ht="22" customHeight="1">
      <x:c r="A580" s="49" t="s">
        <x:v>2162</x:v>
      </x:c>
      <x:c r="B580" s="49" t="s">
        <x:v>2349</x:v>
      </x:c>
      <x:c r="C580" s="49" t="s">
        <x:v>89</x:v>
      </x:c>
      <x:c r="D580" s="49" t="s">
        <x:v>116</x:v>
      </x:c>
      <x:c r="E580" s="49" t="s">
        <x:v>622</x:v>
      </x:c>
      <x:c r="F580" s="49" t="s">
        <x:v>2350</x:v>
      </x:c>
      <x:c r="G580" s="60">
        <x:v>0.8</x:v>
      </x:c>
      <x:c r="H580" s="60">
        <x:v>2</x:v>
      </x:c>
      <x:c r="I580" s="60">
        <x:v>1.09</x:v>
      </x:c>
      <x:c r="J580" s="49" t="s">
        <x:v>2351</x:v>
      </x:c>
      <x:c r="K580" s="49" t="s">
        <x:v>106</x:v>
      </x:c>
      <x:c r="L580" s="49" t="s">
        <x:v>1000</x:v>
      </x:c>
      <x:c r="M580" s="61">
        <x:v>0.576</x:v>
      </x:c>
      <x:c r="N580" s="49" t="s">
        <x:v>1888</x:v>
      </x:c>
      <x:c r="O580" s="49" t="s">
        <x:v>273</x:v>
      </x:c>
      <x:c r="P580" s="49" t="s">
        <x:v>30</x:v>
      </x:c>
      <x:c r="Q580" s="64" t="s">
        <x:v>23</x:v>
      </x:c>
      <x:c r="R580" s="50">
        <x:v>0.84</x:v>
      </x:c>
      <x:c r="S580" s="50" t="n">
        <x:f t="shared" ref="S580:S643" si="40">IF(OR(Q580="",Q580="待结算"),"",IF(Q580="红",R580,IF(Q580="半红",R580*0.5,IF(Q580="走",0,IF(Q580="半黑",-0.5,-1)))))</x:f>
        <x:v>-1</x:v>
      </x:c>
      <x:c r="T580" s="49" t="s">
        <x:v>2352</x:v>
      </x:c>
      <x:c r="U580" s="49" t="str">
        <x:f t="shared" si="38"/>
        <x:v>红</x:v>
      </x:c>
      <x:c r="V580" s="50">
        <x:f t="shared" si="39"/>
        <x:v>1.09</x:v>
      </x:c>
      <x:c r="W580" s="50" t="n">
        <x:f t="shared" ref="W580:W643" si="41">IF(OR(U580="",U580="待结算"),"",IF(U580="红",V580,IF(U580="半红",V580*0.5,IF(U580="走",0,IF(U580="半黑",-0.5,-1)))))</x:f>
        <x:v>1.09</x:v>
      </x:c>
      <x:c r="X580" s="62">
        <x:v>1</x:v>
      </x:c>
      <x:c r="Y580" s="62">
        <x:v>2</x:v>
      </x:c>
      <x:c r="Z580" s="62">
        <x:v>0.88</x:v>
      </x:c>
      <x:c r="AA580" s="62">
        <x:v>-2</x:v>
      </x:c>
      <x:c r="AB580" s="62">
        <x:v>1</x:v>
      </x:c>
      <x:c r="AC580" s="62">
        <x:v>0.84</x:v>
      </x:c>
      <x:c r="AD580" s="60">
        <x:v>1.23</x:v>
      </x:c>
      <x:c r="AE580" s="60">
        <x:v>5.89</x:v>
      </x:c>
      <x:c r="AF580" s="60">
        <x:v>11.2</x:v>
      </x:c>
      <x:c r="AG580" s="62">
        <x:v>0.0720731312940099</x:v>
      </x:c>
      <x:c r="AH580" s="62">
        <x:v>0.0220731312940099</x:v>
      </x:c>
      <x:c r="AI580" s="62">
        <x:v>0.758351372074764</x:v>
      </x:c>
      <x:c r="AJ580" s="62">
        <x:v>0.158365396884883</x:v>
      </x:c>
      <x:c r="AK580" s="62">
        <x:v>0.0832832310403535</x:v>
      </x:c>
      <x:c r="AL580" s="62">
        <x:v>2.36</x:v>
      </x:c>
      <x:c r="AM580" s="62">
        <x:v>0.64</x:v>
      </x:c>
      <x:c r="AN580" s="62">
        <x:v>0.000292947193265163</x:v>
      </x:c>
      <x:c r="AO580" s="62">
        <x:v>1.55700701517998</x:v>
      </x:c>
      <x:c r="AP580" s="62">
        <x:v>-0.717007015179976</x:v>
      </x:c>
      <x:c r="AQ580" s="62" t="s">
        <x:v>99</x:v>
      </x:c>
      <x:c r="AR580" s="49">
        <x:v>-2</x:v>
      </x:c>
      <x:c r="AS580" s="62">
        <x:v>0.303853381908507</x:v>
      </x:c>
      <x:c r="AT580" s="62">
        <x:v>0.473101847217706</x:v>
      </x:c>
      <x:c r="AU580" s="60">
        <x:v>1.16</x:v>
      </x:c>
      <x:c r="AV580" s="60">
        <x:v>7.59</x:v>
      </x:c>
      <x:c r="AW580" s="60">
        <x:v>14.12</x:v>
      </x:c>
      <x:c r="AX580" s="49" t="s">
        <x:v>1890</x:v>
      </x:c>
      <x:c r="AY580" s="49" t="s">
        <x:v>2093</x:v>
      </x:c>
    </x:row>
    <x:row r="581" ht="22" customHeight="1">
      <x:c r="A581" s="49" t="s">
        <x:v>2162</x:v>
      </x:c>
      <x:c r="B581" s="49" t="s">
        <x:v>2353</x:v>
      </x:c>
      <x:c r="C581" s="49" t="s">
        <x:v>447</x:v>
      </x:c>
      <x:c r="D581" s="49" t="s">
        <x:v>116</x:v>
      </x:c>
      <x:c r="E581" s="49" t="s">
        <x:v>448</x:v>
      </x:c>
      <x:c r="F581" s="49" t="s">
        <x:v>2354</x:v>
      </x:c>
      <x:c r="G581" s="60">
        <x:v>0.87</x:v>
      </x:c>
      <x:c r="H581" s="60">
        <x:v>0.25</x:v>
      </x:c>
      <x:c r="I581" s="60">
        <x:v>0.95</x:v>
      </x:c>
      <x:c r="J581" s="49" t="s">
        <x:v>2355</x:v>
      </x:c>
      <x:c r="K581" s="49" t="s">
        <x:v>544</x:v>
      </x:c>
      <x:c r="L581" s="49" t="s">
        <x:v>2356</x:v>
      </x:c>
      <x:c r="M581" s="61">
        <x:v>0.584</x:v>
      </x:c>
      <x:c r="N581" s="49" t="s">
        <x:v>1888</x:v>
      </x:c>
      <x:c r="O581" s="49" t="s">
        <x:v>201</x:v>
      </x:c>
      <x:c r="P581" s="49" t="s">
        <x:v>30</x:v>
      </x:c>
      <x:c r="Q581" s="64" t="s">
        <x:v>23</x:v>
      </x:c>
      <x:c r="R581" s="50">
        <x:v>0.93</x:v>
      </x:c>
      <x:c r="S581" s="50">
        <x:f t="shared" si="40"/>
        <x:v>-1</x:v>
      </x:c>
      <x:c r="T581" s="49" t="s">
        <x:v>2357</x:v>
      </x:c>
      <x:c r="U581" s="49" t="str">
        <x:f t="shared" si="38"/>
        <x:v>红</x:v>
      </x:c>
      <x:c r="V581" s="50">
        <x:f t="shared" si="39"/>
        <x:v>0.87</x:v>
      </x:c>
      <x:c r="W581" s="50">
        <x:f t="shared" si="41"/>
        <x:v>0.87</x:v>
      </x:c>
      <x:c r="X581" s="62">
        <x:v>1</x:v>
      </x:c>
      <x:c r="Y581" s="62">
        <x:v>0.25</x:v>
      </x:c>
      <x:c r="Z581" s="62">
        <x:v>0.76</x:v>
      </x:c>
      <x:c r="AA581" s="62">
        <x:v>0.25</x:v>
      </x:c>
      <x:c r="AB581" s="62">
        <x:v>0.76</x:v>
      </x:c>
      <x:c r="AC581" s="62">
        <x:v>0.93</x:v>
      </x:c>
      <x:c r="AD581" s="60">
        <x:v>2.06</x:v>
      </x:c>
      <x:c r="AE581" s="60">
        <x:v>3</x:v>
      </x:c>
      <x:c r="AF581" s="60">
        <x:v>3.48</x:v>
      </x:c>
      <x:c r="AG581" s="62">
        <x:v>0.106126548376297</x:v>
      </x:c>
      <x:c r="AH581" s="62">
        <x:v>0.0561265483762972</x:v>
      </x:c>
      <x:c r="AI581" s="62">
        <x:v>0.438861985472155</x:v>
      </x:c>
      <x:c r="AJ581" s="62">
        <x:v>0.30135189669088</x:v>
      </x:c>
      <x:c r="AK581" s="62">
        <x:v>0.259786117836965</x:v>
      </x:c>
      <x:c r="AL581" s="62">
        <x:v>1.17</x:v>
      </x:c>
      <x:c r="AM581" s="62">
        <x:v>0.83</x:v>
      </x:c>
      <x:c r="AN581" s="62">
        <x:v>0.0010676908495932</x:v>
      </x:c>
      <x:c r="AO581" s="62">
        <x:v>1.06298149282779</x:v>
      </x:c>
      <x:c r="AP581" s="62">
        <x:v>-0.132981492827795</x:v>
      </x:c>
      <x:c r="AQ581" s="62" t="s">
        <x:v>289</x:v>
      </x:c>
      <x:c r="AR581" s="49">
        <x:v>0.25</x:v>
      </x:c>
      <x:c r="AS581" s="62">
        <x:v>0.411461310782107</x:v>
      </x:c>
      <x:c r="AT581" s="62">
        <x:v>0.437375758376045</x:v>
      </x:c>
      <x:c r="AU581" s="60">
        <x:v>2.06</x:v>
      </x:c>
      <x:c r="AV581" s="60">
        <x:v>2.97</x:v>
      </x:c>
      <x:c r="AW581" s="60">
        <x:v>3.56</x:v>
      </x:c>
      <x:c r="AX581" s="49" t="s">
        <x:v>1890</x:v>
      </x:c>
      <x:c r="AY581" s="49" t="s">
        <x:v>2093</x:v>
      </x:c>
    </x:row>
    <x:row r="582" ht="22" customHeight="1">
      <x:c r="A582" s="49" t="s">
        <x:v>2162</x:v>
      </x:c>
      <x:c r="B582" s="49" t="s">
        <x:v>2358</x:v>
      </x:c>
      <x:c r="C582" s="49" t="s">
        <x:v>447</x:v>
      </x:c>
      <x:c r="D582" s="49" t="s">
        <x:v>116</x:v>
      </x:c>
      <x:c r="E582" s="49" t="s">
        <x:v>1006</x:v>
      </x:c>
      <x:c r="F582" s="49" t="s">
        <x:v>2359</x:v>
      </x:c>
      <x:c r="G582" s="60">
        <x:v>0.87</x:v>
      </x:c>
      <x:c r="H582" s="60">
        <x:v>-0.25</x:v>
      </x:c>
      <x:c r="I582" s="60">
        <x:v>1.02</x:v>
      </x:c>
      <x:c r="J582" s="49" t="s">
        <x:v>2108</x:v>
      </x:c>
      <x:c r="K582" s="49" t="s">
        <x:v>189</x:v>
      </x:c>
      <x:c r="L582" s="49" t="s">
        <x:v>2360</x:v>
      </x:c>
      <x:c r="M582" s="61">
        <x:v>0.523</x:v>
      </x:c>
      <x:c r="N582" s="49" t="s">
        <x:v>1888</x:v>
      </x:c>
      <x:c r="O582" s="49" t="s">
        <x:v>169</x:v>
      </x:c>
      <x:c r="P582" s="49" t="s">
        <x:v>30</x:v>
      </x:c>
      <x:c r="Q582" s="63" t="s">
        <x:v>11</x:v>
      </x:c>
      <x:c r="R582" s="50">
        <x:v>1.02</x:v>
      </x:c>
      <x:c r="S582" s="50">
        <x:f t="shared" si="40"/>
        <x:v>1.02</x:v>
      </x:c>
      <x:c r="T582" s="49" t="s">
        <x:v>2361</x:v>
      </x:c>
      <x:c r="U582" s="49" t="str">
        <x:f t="shared" si="38"/>
        <x:v>黑</x:v>
      </x:c>
      <x:c r="V582" s="50">
        <x:f t="shared" si="39"/>
        <x:v>0.87</x:v>
      </x:c>
      <x:c r="W582" s="50">
        <x:f t="shared" si="41"/>
        <x:v>-1</x:v>
      </x:c>
      <x:c r="X582" s="62">
        <x:v>0.92</x:v>
      </x:c>
      <x:c r="Y582" s="62">
        <x:v>0</x:v>
      </x:c>
      <x:c r="Z582" s="62">
        <x:v>0.96</x:v>
      </x:c>
      <x:c r="AA582" s="62">
        <x:v>0</x:v>
      </x:c>
      <x:c r="AB582" s="62">
        <x:v>0.96</x:v>
      </x:c>
      <x:c r="AC582" s="62">
        <x:v>1.02</x:v>
      </x:c>
      <x:c r="AD582" s="60">
        <x:v>2.45</x:v>
      </x:c>
      <x:c r="AE582" s="60">
        <x:v>3.53</x:v>
      </x:c>
      <x:c r="AF582" s="60">
        <x:v>2.59</x:v>
      </x:c>
      <x:c r="AG582" s="62">
        <x:v>0.0775497703866783</x:v>
      </x:c>
      <x:c r="AH582" s="62">
        <x:v>0.0275497703866783</x:v>
      </x:c>
      <x:c r="AI582" s="62">
        <x:v>0.378788318204228</x:v>
      </x:c>
      <x:c r="AJ582" s="62">
        <x:v>0.262898407818799</x:v>
      </x:c>
      <x:c r="AK582" s="62">
        <x:v>0.358313273976973</x:v>
      </x:c>
      <x:c r="AL582" s="62">
        <x:v>1.33</x:v>
      </x:c>
      <x:c r="AM582" s="62">
        <x:v>1.29</x:v>
      </x:c>
      <x:c r="AN582" s="62">
        <x:v>0.000750274599845295</x:v>
      </x:c>
      <x:c r="AO582" s="62">
        <x:v>1.41749529019145</x:v>
      </x:c>
      <x:c r="AP582" s="62">
        <x:v>-0.397495290191454</x:v>
      </x:c>
      <x:c r="AQ582" s="62" t="s">
        <x:v>99</x:v>
      </x:c>
      <x:c r="AR582" s="49">
        <x:v>-0.25</x:v>
      </x:c>
      <x:c r="AS582" s="62">
        <x:v>0.359323491497117</x:v>
      </x:c>
      <x:c r="AT582" s="62">
        <x:v>0.509339356852312</x:v>
      </x:c>
      <x:c r="AU582" s="60">
        <x:v>2.79</x:v>
      </x:c>
      <x:c r="AV582" s="60">
        <x:v>3.63</x:v>
      </x:c>
      <x:c r="AW582" s="60">
        <x:v>2.29</x:v>
      </x:c>
      <x:c r="AX582" s="49" t="s">
        <x:v>1890</x:v>
      </x:c>
      <x:c r="AY582" s="49" t="s">
        <x:v>2093</x:v>
      </x:c>
    </x:row>
    <x:row r="583" ht="22" customHeight="1">
      <x:c r="A583" s="49" t="s">
        <x:v>2162</x:v>
      </x:c>
      <x:c r="B583" s="49" t="s">
        <x:v>2362</x:v>
      </x:c>
      <x:c r="C583" s="49" t="s">
        <x:v>447</x:v>
      </x:c>
      <x:c r="D583" s="49" t="s">
        <x:v>116</x:v>
      </x:c>
      <x:c r="E583" s="49" t="s">
        <x:v>1006</x:v>
      </x:c>
      <x:c r="F583" s="49" t="s">
        <x:v>2363</x:v>
      </x:c>
      <x:c r="G583" s="60">
        <x:v>1.09</x:v>
      </x:c>
      <x:c r="H583" s="60">
        <x:v>0.75</x:v>
      </x:c>
      <x:c r="I583" s="60">
        <x:v>0.8</x:v>
      </x:c>
      <x:c r="J583" s="49" t="s">
        <x:v>2364</x:v>
      </x:c>
      <x:c r="K583" s="49" t="s">
        <x:v>556</x:v>
      </x:c>
      <x:c r="L583" s="49" t="s">
        <x:v>1732</x:v>
      </x:c>
      <x:c r="M583" s="61">
        <x:v>0.523</x:v>
      </x:c>
      <x:c r="N583" s="49" t="s">
        <x:v>1888</x:v>
      </x:c>
      <x:c r="O583" s="49" t="s">
        <x:v>197</x:v>
      </x:c>
      <x:c r="P583" s="49" t="s">
        <x:v>30</x:v>
      </x:c>
      <x:c r="Q583" s="63" t="s">
        <x:v>11</x:v>
      </x:c>
      <x:c r="R583" s="50">
        <x:v>1.05</x:v>
      </x:c>
      <x:c r="S583" s="50">
        <x:f t="shared" si="40"/>
        <x:v>1.05</x:v>
      </x:c>
      <x:c r="T583" s="49" t="s">
        <x:v>2365</x:v>
      </x:c>
      <x:c r="U583" s="49" t="str">
        <x:f t="shared" si="38"/>
        <x:v>黑</x:v>
      </x:c>
      <x:c r="V583" s="50">
        <x:f t="shared" si="39"/>
        <x:v>0.8</x:v>
      </x:c>
      <x:c r="W583" s="50">
        <x:f t="shared" si="41"/>
        <x:v>-1</x:v>
      </x:c>
      <x:c r="X583" s="62">
        <x:v>0.94</x:v>
      </x:c>
      <x:c r="Y583" s="62">
        <x:v>0.75</x:v>
      </x:c>
      <x:c r="Z583" s="62">
        <x:v>0.94</x:v>
      </x:c>
      <x:c r="AA583" s="62">
        <x:v>-0.75</x:v>
      </x:c>
      <x:c r="AB583" s="62">
        <x:v>0.94</x:v>
      </x:c>
      <x:c r="AC583" s="62">
        <x:v>1.05</x:v>
      </x:c>
      <x:c r="AD583" s="60">
        <x:v>1.85</x:v>
      </x:c>
      <x:c r="AE583" s="60">
        <x:v>4</x:v>
      </x:c>
      <x:c r="AF583" s="60">
        <x:v>3.5</x:v>
      </x:c>
      <x:c r="AG583" s="62">
        <x:v>0.0762548262548262</x:v>
      </x:c>
      <x:c r="AH583" s="62">
        <x:v>0.0262548262548262</x:v>
      </x:c>
      <x:c r="AI583" s="62">
        <x:v>0.502242152466368</x:v>
      </x:c>
      <x:c r="AJ583" s="62">
        <x:v>0.232286995515695</x:v>
      </x:c>
      <x:c r="AK583" s="62">
        <x:v>0.265470852017937</x:v>
      </x:c>
      <x:c r="AL583" s="62">
        <x:v>1.79</x:v>
      </x:c>
      <x:c r="AM583" s="62">
        <x:v>1.24</x:v>
      </x:c>
      <x:c r="AN583" s="62">
        <x:v>0.000560470990476893</x:v>
      </x:c>
      <x:c r="AO583" s="62">
        <x:v>1.27308490269092</x:v>
      </x:c>
      <x:c r="AP583" s="62">
        <x:v>-0.223084902690915</x:v>
      </x:c>
      <x:c r="AQ583" s="62" t="s">
        <x:v>99</x:v>
      </x:c>
      <x:c r="AR583" s="49">
        <x:v>-0.75</x:v>
      </x:c>
      <x:c r="AS583" s="62">
        <x:v>0.390366868184667</x:v>
      </x:c>
      <x:c r="AT583" s="62">
        <x:v>0.496970166396634</x:v>
      </x:c>
      <x:c r="AU583" s="60">
        <x:v>1.74</x:v>
      </x:c>
      <x:c r="AV583" s="60">
        <x:v>4.15</x:v>
      </x:c>
      <x:c r="AW583" s="60">
        <x:v>3.8</x:v>
      </x:c>
      <x:c r="AX583" s="49" t="s">
        <x:v>1890</x:v>
      </x:c>
      <x:c r="AY583" s="49" t="s">
        <x:v>2093</x:v>
      </x:c>
    </x:row>
    <x:row r="584" ht="22" customHeight="1">
      <x:c r="A584" s="49" t="s">
        <x:v>2162</x:v>
      </x:c>
      <x:c r="B584" s="49" t="s">
        <x:v>2362</x:v>
      </x:c>
      <x:c r="C584" s="49" t="s">
        <x:v>447</x:v>
      </x:c>
      <x:c r="D584" s="49" t="s">
        <x:v>116</x:v>
      </x:c>
      <x:c r="E584" s="49" t="s">
        <x:v>1006</x:v>
      </x:c>
      <x:c r="F584" s="49" t="s">
        <x:v>2366</x:v>
      </x:c>
      <x:c r="G584" s="60">
        <x:v>0.91</x:v>
      </x:c>
      <x:c r="H584" s="60">
        <x:v>0.75</x:v>
      </x:c>
      <x:c r="I584" s="60">
        <x:v>0.98</x:v>
      </x:c>
      <x:c r="J584" s="49" t="s">
        <x:v>2367</x:v>
      </x:c>
      <x:c r="K584" s="49" t="s">
        <x:v>544</x:v>
      </x:c>
      <x:c r="L584" s="49" t="s">
        <x:v>2368</x:v>
      </x:c>
      <x:c r="M584" s="61">
        <x:v>0.523</x:v>
      </x:c>
      <x:c r="N584" s="49" t="s">
        <x:v>1888</x:v>
      </x:c>
      <x:c r="O584" s="49" t="s">
        <x:v>642</x:v>
      </x:c>
      <x:c r="P584" s="49" t="s">
        <x:v>30</x:v>
      </x:c>
      <x:c r="Q584" s="64" t="s">
        <x:v>23</x:v>
      </x:c>
      <x:c r="R584" s="50">
        <x:v>1.01</x:v>
      </x:c>
      <x:c r="S584" s="50">
        <x:f t="shared" si="40"/>
        <x:v>-1</x:v>
      </x:c>
      <x:c r="T584" s="49" t="s">
        <x:v>2369</x:v>
      </x:c>
      <x:c r="U584" s="49" t="str">
        <x:f t="shared" si="38"/>
        <x:v>红</x:v>
      </x:c>
      <x:c r="V584" s="50">
        <x:f t="shared" si="39"/>
        <x:v>0.98</x:v>
      </x:c>
      <x:c r="W584" s="50">
        <x:f t="shared" si="41"/>
        <x:v>0.98</x:v>
      </x:c>
      <x:c r="X584" s="62">
        <x:v>0.84</x:v>
      </x:c>
      <x:c r="Y584" s="62">
        <x:v>0.75</x:v>
      </x:c>
      <x:c r="Z584" s="62">
        <x:v>1.04</x:v>
      </x:c>
      <x:c r="AA584" s="62">
        <x:v>-0.75</x:v>
      </x:c>
      <x:c r="AB584" s="62">
        <x:v>0.84</x:v>
      </x:c>
      <x:c r="AC584" s="62">
        <x:v>1.01</x:v>
      </x:c>
      <x:c r="AD584" s="60">
        <x:v>1.7</x:v>
      </x:c>
      <x:c r="AE584" s="60">
        <x:v>4.25</x:v>
      </x:c>
      <x:c r="AF584" s="60">
        <x:v>3.85</x:v>
      </x:c>
      <x:c r="AG584" s="62">
        <x:v>0.0832696715049654</x:v>
      </x:c>
      <x:c r="AH584" s="62">
        <x:v>0.0332696715049655</x:v>
      </x:c>
      <x:c r="AI584" s="62">
        <x:v>0.543018335684062</x:v>
      </x:c>
      <x:c r="AJ584" s="62">
        <x:v>0.217207334273625</x:v>
      </x:c>
      <x:c r="AK584" s="62">
        <x:v>0.239774330042313</x:v>
      </x:c>
      <x:c r="AL584" s="62">
        <x:v>1.99</x:v>
      </x:c>
      <x:c r="AM584" s="62">
        <x:v>1.26</x:v>
      </x:c>
      <x:c r="AN584" s="62">
        <x:v>0.000300886124512095</x:v>
      </x:c>
      <x:c r="AO584" s="62">
        <x:v>1.0582746036243</x:v>
      </x:c>
      <x:c r="AP584" s="62">
        <x:v>-0.0482746036243</x:v>
      </x:c>
      <x:c r="AQ584" s="62" t="s">
        <x:v>174</x:v>
      </x:c>
      <x:c r="AR584" s="49">
        <x:v>-0.75</x:v>
      </x:c>
      <x:c r="AS584" s="62">
        <x:v>0.431447957695266</x:v>
      </x:c>
      <x:c r="AT584" s="62">
        <x:v>0.456590416414471</x:v>
      </x:c>
      <x:c r="AU584" s="60">
        <x:v>1.67</x:v>
      </x:c>
      <x:c r="AV584" s="60">
        <x:v>4.25</x:v>
      </x:c>
      <x:c r="AW584" s="60">
        <x:v>4.05</x:v>
      </x:c>
      <x:c r="AX584" s="49" t="s">
        <x:v>1890</x:v>
      </x:c>
      <x:c r="AY584" s="49" t="s">
        <x:v>2093</x:v>
      </x:c>
    </x:row>
    <x:row r="585" ht="22" customHeight="1">
      <x:c r="A585" s="49" t="s">
        <x:v>2162</x:v>
      </x:c>
      <x:c r="B585" s="49" t="s">
        <x:v>2370</x:v>
      </x:c>
      <x:c r="C585" s="49" t="s">
        <x:v>447</x:v>
      </x:c>
      <x:c r="D585" s="49" t="s">
        <x:v>116</x:v>
      </x:c>
      <x:c r="E585" s="49" t="s">
        <x:v>448</x:v>
      </x:c>
      <x:c r="F585" s="49" t="s">
        <x:v>2371</x:v>
      </x:c>
      <x:c r="G585" s="60">
        <x:v>0.79</x:v>
      </x:c>
      <x:c r="H585" s="60">
        <x:v>0.5</x:v>
      </x:c>
      <x:c r="I585" s="60">
        <x:v>1.03</x:v>
      </x:c>
      <x:c r="J585" s="49" t="s">
        <x:v>373</x:v>
      </x:c>
      <x:c r="K585" s="49" t="s">
        <x:v>106</x:v>
      </x:c>
      <x:c r="L585" s="49" t="s">
        <x:v>1004</x:v>
      </x:c>
      <x:c r="M585" s="61">
        <x:v>0.584</x:v>
      </x:c>
      <x:c r="N585" s="49" t="s">
        <x:v>1888</x:v>
      </x:c>
      <x:c r="O585" s="49" t="s">
        <x:v>149</x:v>
      </x:c>
      <x:c r="P585" s="49" t="s">
        <x:v>30</x:v>
      </x:c>
      <x:c r="Q585" s="63" t="s">
        <x:v>11</x:v>
      </x:c>
      <x:c r="R585" s="50">
        <x:v>0.97</x:v>
      </x:c>
      <x:c r="S585" s="50">
        <x:f t="shared" si="40"/>
        <x:v>0.97</x:v>
      </x:c>
      <x:c r="T585" s="49" t="s">
        <x:v>2372</x:v>
      </x:c>
      <x:c r="U585" s="49" t="str">
        <x:f t="shared" si="38"/>
        <x:v>黑</x:v>
      </x:c>
      <x:c r="V585" s="50">
        <x:f t="shared" si="39"/>
        <x:v>0.79</x:v>
      </x:c>
      <x:c r="W585" s="50">
        <x:f t="shared" si="41"/>
        <x:v>-1</x:v>
      </x:c>
      <x:c r="X585" s="62">
        <x:v>0.79</x:v>
      </x:c>
      <x:c r="Y585" s="62">
        <x:v>0.5</x:v>
      </x:c>
      <x:c r="Z585" s="62">
        <x:v>0.97</x:v>
      </x:c>
      <x:c r="AA585" s="62">
        <x:v>0.5</x:v>
      </x:c>
      <x:c r="AB585" s="62">
        <x:v>0.97</x:v>
      </x:c>
      <x:c r="AC585" s="62">
        <x:v>0.97</x:v>
      </x:c>
      <x:c r="AD585" s="60">
        <x:v>1.84</x:v>
      </x:c>
      <x:c r="AE585" s="60">
        <x:v>3.85</x:v>
      </x:c>
      <x:c r="AF585" s="60">
        <x:v>3.35</x:v>
      </x:c>
      <x:c r="AG585" s="62">
        <x:v>0.101725983296392</x:v>
      </x:c>
      <x:c r="AH585" s="62">
        <x:v>0.0517259832963919</x:v>
      </x:c>
      <x:c r="AI585" s="62">
        <x:v>0.493297125700407</x:v>
      </x:c>
      <x:c r="AJ585" s="62">
        <x:v>0.235757587347727</x:v>
      </x:c>
      <x:c r="AK585" s="62">
        <x:v>0.270945286951865</x:v>
      </x:c>
      <x:c r="AL585" s="62">
        <x:v>1.74</x:v>
      </x:c>
      <x:c r="AM585" s="62">
        <x:v>1.23</x:v>
      </x:c>
      <x:c r="AN585" s="62">
        <x:v>0.000289434282508242</x:v>
      </x:c>
      <x:c r="AO585" s="62">
        <x:v>0.974681899660028</x:v>
      </x:c>
      <x:c r="AP585" s="62">
        <x:v>-0.00468189966002786</x:v>
      </x:c>
      <x:c r="AQ585" s="62" t="s">
        <x:v>174</x:v>
      </x:c>
      <x:c r="AR585" s="49">
        <x:v>0.5</x:v>
      </x:c>
      <x:c r="AS585" s="62">
        <x:v>0.506410678181719</x:v>
      </x:c>
      <x:c r="AT585" s="62">
        <x:v>0.493589321818281</x:v>
      </x:c>
      <x:c r="AU585" s="60">
        <x:v>1.79</x:v>
      </x:c>
      <x:c r="AV585" s="60">
        <x:v>3.8</x:v>
      </x:c>
      <x:c r="AW585" s="60">
        <x:v>3.6</x:v>
      </x:c>
      <x:c r="AX585" s="49" t="s">
        <x:v>1890</x:v>
      </x:c>
      <x:c r="AY585" s="49" t="s">
        <x:v>2093</x:v>
      </x:c>
    </x:row>
    <x:row r="586" ht="22" customHeight="1">
      <x:c r="A586" s="49" t="s">
        <x:v>2162</x:v>
      </x:c>
      <x:c r="B586" s="49" t="s">
        <x:v>2373</x:v>
      </x:c>
      <x:c r="C586" s="49" t="s">
        <x:v>447</x:v>
      </x:c>
      <x:c r="D586" s="49" t="s">
        <x:v>116</x:v>
      </x:c>
      <x:c r="E586" s="49" t="s">
        <x:v>1006</x:v>
      </x:c>
      <x:c r="F586" s="49" t="s">
        <x:v>2374</x:v>
      </x:c>
      <x:c r="G586" s="60">
        <x:v>1</x:v>
      </x:c>
      <x:c r="H586" s="60">
        <x:v>0.75</x:v>
      </x:c>
      <x:c r="I586" s="60">
        <x:v>0.89</x:v>
      </x:c>
      <x:c r="J586" s="49" t="s">
        <x:v>2375</x:v>
      </x:c>
      <x:c r="K586" s="49" t="s">
        <x:v>189</x:v>
      </x:c>
      <x:c r="L586" s="49" t="s">
        <x:v>2376</x:v>
      </x:c>
      <x:c r="M586" s="61">
        <x:v>0.584</x:v>
      </x:c>
      <x:c r="N586" s="49" t="s">
        <x:v>1888</x:v>
      </x:c>
      <x:c r="O586" s="49" t="s">
        <x:v>141</x:v>
      </x:c>
      <x:c r="P586" s="49" t="s">
        <x:v>30</x:v>
      </x:c>
      <x:c r="Q586" s="64" t="s">
        <x:v>23</x:v>
      </x:c>
      <x:c r="R586" s="50">
        <x:v>1.06</x:v>
      </x:c>
      <x:c r="S586" s="50">
        <x:f t="shared" si="40"/>
        <x:v>-1</x:v>
      </x:c>
      <x:c r="T586" s="49" t="s">
        <x:v>2377</x:v>
      </x:c>
      <x:c r="U586" s="49" t="str">
        <x:f t="shared" si="38"/>
        <x:v>红</x:v>
      </x:c>
      <x:c r="V586" s="50">
        <x:f t="shared" si="39"/>
        <x:v>1</x:v>
      </x:c>
      <x:c r="W586" s="50">
        <x:f t="shared" si="41"/>
        <x:v>1</x:v>
      </x:c>
      <x:c r="X586" s="62">
        <x:v>0.84</x:v>
      </x:c>
      <x:c r="Y586" s="62">
        <x:v>0.5</x:v>
      </x:c>
      <x:c r="Z586" s="62">
        <x:v>1.04</x:v>
      </x:c>
      <x:c r="AA586" s="62">
        <x:v>0.5</x:v>
      </x:c>
      <x:c r="AB586" s="62">
        <x:v>1.04</x:v>
      </x:c>
      <x:c r="AC586" s="62">
        <x:v>1.06</x:v>
      </x:c>
      <x:c r="AD586" s="60">
        <x:v>1.79</x:v>
      </x:c>
      <x:c r="AE586" s="60">
        <x:v>4.05</x:v>
      </x:c>
      <x:c r="AF586" s="60">
        <x:v>3.65</x:v>
      </x:c>
      <x:c r="AG586" s="62">
        <x:v>0.0795454008637346</x:v>
      </x:c>
      <x:c r="AH586" s="62">
        <x:v>0.0295454008637346</x:v>
      </x:c>
      <x:c r="AI586" s="62">
        <x:v>0.517494880187639</x:v>
      </x:c>
      <x:c r="AJ586" s="62">
        <x:v>0.228719959391574</x:v>
      </x:c>
      <x:c r="AK586" s="62">
        <x:v>0.253785160420787</x:v>
      </x:c>
      <x:c r="AL586" s="62">
        <x:v>1.83</x:v>
      </x:c>
      <x:c r="AM586" s="62">
        <x:v>1.22</x:v>
      </x:c>
      <x:c r="AN586" s="62">
        <x:v>0.0005170418220078</x:v>
      </x:c>
      <x:c r="AO586" s="62">
        <x:v>0.834625354239431</x:v>
      </x:c>
      <x:c r="AP586" s="62">
        <x:v>0.225374645760569</x:v>
      </x:c>
      <x:c r="AQ586" s="62" t="s">
        <x:v>142</x:v>
      </x:c>
      <x:c r="AR586" s="49">
        <x:v>0.75</x:v>
      </x:c>
      <x:c r="AS586" s="62">
        <x:v>0.483227724371533</x:v>
      </x:c>
      <x:c r="AT586" s="62">
        <x:v>0.403314110631905</x:v>
      </x:c>
      <x:c r="AU586" s="60">
        <x:v>1.84</x:v>
      </x:c>
      <x:c r="AV586" s="60">
        <x:v>3.95</x:v>
      </x:c>
      <x:c r="AW586" s="60">
        <x:v>3.55</x:v>
      </x:c>
      <x:c r="AX586" s="49" t="s">
        <x:v>1890</x:v>
      </x:c>
      <x:c r="AY586" s="49" t="s">
        <x:v>2093</x:v>
      </x:c>
    </x:row>
    <x:row r="587" ht="22" customHeight="1">
      <x:c r="A587" s="49" t="s">
        <x:v>2378</x:v>
      </x:c>
      <x:c r="B587" s="49" t="s">
        <x:v>2379</x:v>
      </x:c>
      <x:c r="C587" s="49" t="s">
        <x:v>239</x:v>
      </x:c>
      <x:c r="D587" s="49" t="s">
        <x:v>116</x:v>
      </x:c>
      <x:c r="E587" s="49" t="s">
        <x:v>669</x:v>
      </x:c>
      <x:c r="F587" s="49" t="s">
        <x:v>2380</x:v>
      </x:c>
      <x:c r="G587" s="60">
        <x:v>0.84</x:v>
      </x:c>
      <x:c r="H587" s="60">
        <x:v>0.25</x:v>
      </x:c>
      <x:c r="I587" s="60">
        <x:v>1.04</x:v>
      </x:c>
      <x:c r="J587" s="49" t="s">
        <x:v>1692</x:v>
      </x:c>
      <x:c r="K587" s="49" t="s">
        <x:v>106</x:v>
      </x:c>
      <x:c r="L587" s="49" t="s">
        <x:v>2381</x:v>
      </x:c>
      <x:c r="M587" s="61">
        <x:v>0.579</x:v>
      </x:c>
      <x:c r="N587" s="49" t="s">
        <x:v>1888</x:v>
      </x:c>
      <x:c r="O587" s="49" t="s">
        <x:v>191</x:v>
      </x:c>
      <x:c r="P587" s="49" t="s">
        <x:v>30</x:v>
      </x:c>
      <x:c r="Q587" s="64" t="s">
        <x:v>23</x:v>
      </x:c>
      <x:c r="R587" s="50">
        <x:v>0.84</x:v>
      </x:c>
      <x:c r="S587" s="50">
        <x:f t="shared" si="40"/>
        <x:v>-1</x:v>
      </x:c>
      <x:c r="T587" s="49" t="s">
        <x:v>2382</x:v>
      </x:c>
      <x:c r="U587" s="49" t="str">
        <x:f t="shared" si="38"/>
        <x:v>红</x:v>
      </x:c>
      <x:c r="V587" s="50">
        <x:f t="shared" si="39"/>
        <x:v>1.04</x:v>
      </x:c>
      <x:c r="W587" s="50">
        <x:f t="shared" si="41"/>
        <x:v>1.04</x:v>
      </x:c>
      <x:c r="X587" s="62">
        <x:v>0.84</x:v>
      </x:c>
      <x:c r="Y587" s="62">
        <x:v>0.25</x:v>
      </x:c>
      <x:c r="Z587" s="62">
        <x:v>1.04</x:v>
      </x:c>
      <x:c r="AA587" s="62">
        <x:v>-0.25</x:v>
      </x:c>
      <x:c r="AB587" s="62">
        <x:v>0.84</x:v>
      </x:c>
      <x:c r="AC587" s="62">
        <x:v>0.84</x:v>
      </x:c>
      <x:c r="AD587" s="60">
        <x:v>2.04</x:v>
      </x:c>
      <x:c r="AE587" s="60">
        <x:v>3.28</x:v>
      </x:c>
      <x:c r="AF587" s="60">
        <x:v>3.42</x:v>
      </x:c>
      <x:c r="AG587" s="62">
        <x:v>0.0874717880305738</x:v>
      </x:c>
      <x:c r="AH587" s="62">
        <x:v>0.0374717880305738</x:v>
      </x:c>
      <x:c r="AI587" s="62">
        <x:v>0.450766708457903</x:v>
      </x:c>
      <x:c r="AJ587" s="62">
        <x:v>0.280354904040891</x:v>
      </x:c>
      <x:c r="AK587" s="62">
        <x:v>0.268878387501206</x:v>
      </x:c>
      <x:c r="AL587" s="62">
        <x:v>1.32</x:v>
      </x:c>
      <x:c r="AM587" s="62">
        <x:v>0.95</x:v>
      </x:c>
      <x:c r="AN587" s="62">
        <x:v>0.000615362556677548</x:v>
      </x:c>
      <x:c r="AO587" s="62">
        <x:v>0.905091216253166</x:v>
      </x:c>
      <x:c r="AP587" s="62">
        <x:v>-0.0650912162531659</x:v>
      </x:c>
      <x:c r="AQ587" s="62" t="s">
        <x:v>99</x:v>
      </x:c>
      <x:c r="AR587" s="49">
        <x:v>-0.25</x:v>
      </x:c>
      <x:c r="AS587" s="62">
        <x:v>0.451525292603491</x:v>
      </x:c>
      <x:c r="AT587" s="62">
        <x:v>0.408671576251561</x:v>
      </x:c>
      <x:c r="AU587" s="60">
        <x:v>2.08</x:v>
      </x:c>
      <x:c r="AV587" s="60">
        <x:v>3.24</x:v>
      </x:c>
      <x:c r="AW587" s="60">
        <x:v>3.41</x:v>
      </x:c>
      <x:c r="AX587" s="49" t="s">
        <x:v>1890</x:v>
      </x:c>
      <x:c r="AY587" s="49" t="s">
        <x:v>2093</x:v>
      </x:c>
    </x:row>
    <x:row r="588" ht="22" customHeight="1">
      <x:c r="A588" s="49" t="s">
        <x:v>2378</x:v>
      </x:c>
      <x:c r="B588" s="49" t="s">
        <x:v>2383</x:v>
      </x:c>
      <x:c r="C588" s="49" t="s">
        <x:v>239</x:v>
      </x:c>
      <x:c r="D588" s="49" t="s">
        <x:v>116</x:v>
      </x:c>
      <x:c r="E588" s="49" t="s">
        <x:v>645</x:v>
      </x:c>
      <x:c r="F588" s="49" t="s">
        <x:v>2384</x:v>
      </x:c>
      <x:c r="G588" s="60">
        <x:v>0.81</x:v>
      </x:c>
      <x:c r="H588" s="60">
        <x:v>0.5</x:v>
      </x:c>
      <x:c r="I588" s="60">
        <x:v>0.95</x:v>
      </x:c>
      <x:c r="J588" s="49" t="s">
        <x:v>327</x:v>
      </x:c>
      <x:c r="K588" s="49" t="s">
        <x:v>106</x:v>
      </x:c>
      <x:c r="L588" s="49" t="s">
        <x:v>648</x:v>
      </x:c>
      <x:c r="M588" s="61">
        <x:v>0.579</x:v>
      </x:c>
      <x:c r="N588" s="49" t="s">
        <x:v>1888</x:v>
      </x:c>
      <x:c r="O588" s="49" t="s">
        <x:v>169</x:v>
      </x:c>
      <x:c r="P588" s="49" t="s">
        <x:v>30</x:v>
      </x:c>
      <x:c r="Q588" s="64" t="s">
        <x:v>23</x:v>
      </x:c>
      <x:c r="R588" s="50">
        <x:v>0.81</x:v>
      </x:c>
      <x:c r="S588" s="50">
        <x:f t="shared" si="40"/>
        <x:v>-1</x:v>
      </x:c>
      <x:c r="T588" s="49" t="s">
        <x:v>2385</x:v>
      </x:c>
      <x:c r="U588" s="49" t="str">
        <x:f t="shared" si="38"/>
        <x:v>红</x:v>
      </x:c>
      <x:c r="V588" s="50">
        <x:f t="shared" si="39"/>
        <x:v>0.95</x:v>
      </x:c>
      <x:c r="W588" s="50">
        <x:f t="shared" si="41"/>
        <x:v>0.95</x:v>
      </x:c>
      <x:c r="X588" s="62">
        <x:v>0.86</x:v>
      </x:c>
      <x:c r="Y588" s="62">
        <x:v>0.5</x:v>
      </x:c>
      <x:c r="Z588" s="62">
        <x:v>0.9</x:v>
      </x:c>
      <x:c r="AA588" s="62">
        <x:v>-0.5</x:v>
      </x:c>
      <x:c r="AB588" s="62">
        <x:v>0.86</x:v>
      </x:c>
      <x:c r="AC588" s="62">
        <x:v>0.81</x:v>
      </x:c>
      <x:c r="AD588" s="60">
        <x:v>1.79</x:v>
      </x:c>
      <x:c r="AE588" s="60">
        <x:v>3.44</x:v>
      </x:c>
      <x:c r="AF588" s="60">
        <x:v>3.82</x:v>
      </x:c>
      <x:c r="AG588" s="62">
        <x:v>0.111136997007741</x:v>
      </x:c>
      <x:c r="AH588" s="62">
        <x:v>0.0611369970077414</x:v>
      </x:c>
      <x:c r="AI588" s="62">
        <x:v>0.502781582632517</x:v>
      </x:c>
      <x:c r="AJ588" s="62">
        <x:v>0.261621811893083</x:v>
      </x:c>
      <x:c r="AK588" s="62">
        <x:v>0.2355966054744</x:v>
      </x:c>
      <x:c r="AL588" s="62">
        <x:v>1.49</x:v>
      </x:c>
      <x:c r="AM588" s="62">
        <x:v>0.93</x:v>
      </x:c>
      <x:c r="AN588" s="62">
        <x:v>0.000283573444896472</x:v>
      </x:c>
      <x:c r="AO588" s="62">
        <x:v>0.99013671240511</x:v>
      </x:c>
      <x:c r="AP588" s="62">
        <x:v>-0.18013671240511</x:v>
      </x:c>
      <x:c r="AQ588" s="62" t="s">
        <x:v>99</x:v>
      </x:c>
      <x:c r="AR588" s="49">
        <x:v>-0.5</x:v>
      </x:c>
      <x:c r="AS588" s="62">
        <x:v>0.502478042722746</x:v>
      </x:c>
      <x:c r="AT588" s="62">
        <x:v>0.497521957277254</x:v>
      </x:c>
      <x:c r="AU588" s="60">
        <x:v>1.82</x:v>
      </x:c>
      <x:c r="AV588" s="60">
        <x:v>3.57</x:v>
      </x:c>
      <x:c r="AW588" s="60">
        <x:v>3.59</x:v>
      </x:c>
      <x:c r="AX588" s="49" t="s">
        <x:v>1890</x:v>
      </x:c>
      <x:c r="AY588" s="49" t="s">
        <x:v>2093</x:v>
      </x:c>
    </x:row>
    <x:row r="589" ht="22" customHeight="1">
      <x:c r="A589" s="49" t="s">
        <x:v>2378</x:v>
      </x:c>
      <x:c r="B589" s="49" t="s">
        <x:v>2386</x:v>
      </x:c>
      <x:c r="C589" s="49" t="s">
        <x:v>89</x:v>
      </x:c>
      <x:c r="D589" s="49" t="s">
        <x:v>116</x:v>
      </x:c>
      <x:c r="E589" s="49" t="s">
        <x:v>307</x:v>
      </x:c>
      <x:c r="F589" s="49" t="s">
        <x:v>2387</x:v>
      </x:c>
      <x:c r="G589" s="60">
        <x:v>0.84</x:v>
      </x:c>
      <x:c r="H589" s="60">
        <x:v>0.75</x:v>
      </x:c>
      <x:c r="I589" s="60">
        <x:v>0.86</x:v>
      </x:c>
      <x:c r="J589" s="49" t="s">
        <x:v>689</x:v>
      </x:c>
      <x:c r="K589" s="49" t="s">
        <x:v>106</x:v>
      </x:c>
      <x:c r="L589" s="49" t="s">
        <x:v>316</x:v>
      </x:c>
      <x:c r="M589" s="61">
        <x:v>0.576</x:v>
      </x:c>
      <x:c r="N589" s="49" t="s">
        <x:v>1888</x:v>
      </x:c>
      <x:c r="O589" s="49" t="s">
        <x:v>191</x:v>
      </x:c>
      <x:c r="P589" s="49" t="s">
        <x:v>30</x:v>
      </x:c>
      <x:c r="Q589" s="64" t="s">
        <x:v>23</x:v>
      </x:c>
      <x:c r="R589" s="50">
        <x:v>0.84</x:v>
      </x:c>
      <x:c r="S589" s="50">
        <x:f t="shared" si="40"/>
        <x:v>-1</x:v>
      </x:c>
      <x:c r="T589" s="49" t="s">
        <x:v>2388</x:v>
      </x:c>
      <x:c r="U589" s="49" t="str">
        <x:f t="shared" si="38"/>
        <x:v>红</x:v>
      </x:c>
      <x:c r="V589" s="50">
        <x:f t="shared" si="39"/>
        <x:v>0.86</x:v>
      </x:c>
      <x:c r="W589" s="50">
        <x:f t="shared" si="41"/>
        <x:v>0.86</x:v>
      </x:c>
      <x:c r="X589" s="62">
        <x:v>0.84</x:v>
      </x:c>
      <x:c r="Y589" s="62">
        <x:v>0.75</x:v>
      </x:c>
      <x:c r="Z589" s="62">
        <x:v>0.86</x:v>
      </x:c>
      <x:c r="AA589" s="62">
        <x:v>-0.75</x:v>
      </x:c>
      <x:c r="AB589" s="62">
        <x:v>0.84</x:v>
      </x:c>
      <x:c r="AC589" s="62">
        <x:v>0.84</x:v>
      </x:c>
      <x:c r="AD589" s="60">
        <x:v>1.53</x:v>
      </x:c>
      <x:c r="AE589" s="60">
        <x:v>4.19</x:v>
      </x:c>
      <x:c r="AF589" s="60">
        <x:v>4.7</x:v>
      </x:c>
      <x:c r="AG589" s="62">
        <x:v>0.105024213175512</x:v>
      </x:c>
      <x:c r="AH589" s="62">
        <x:v>0.0550242131755121</x:v>
      </x:c>
      <x:c r="AI589" s="62">
        <x:v>0.591475520127828</x:v>
      </x:c>
      <x:c r="AJ589" s="62">
        <x:v>0.215980321192262</x:v>
      </x:c>
      <x:c r="AK589" s="62">
        <x:v>0.19254415867991</x:v>
      </x:c>
      <x:c r="AL589" s="62">
        <x:v>1.97</x:v>
      </x:c>
      <x:c r="AM589" s="62">
        <x:v>1.03</x:v>
      </x:c>
      <x:c r="AN589" s="62">
        <x:v>0.000600560990900125</x:v>
      </x:c>
      <x:c r="AO589" s="62">
        <x:v>0.861545545365242</x:v>
      </x:c>
      <x:c r="AP589" s="62">
        <x:v>-0.0215455453652417</x:v>
      </x:c>
      <x:c r="AQ589" s="62" t="s">
        <x:v>174</x:v>
      </x:c>
      <x:c r="AR589" s="49">
        <x:v>-0.75</x:v>
      </x:c>
      <x:c r="AS589" s="62">
        <x:v>0.473383926437356</x:v>
      </x:c>
      <x:c r="AT589" s="62">
        <x:v>0.407841813069611</x:v>
      </x:c>
      <x:c r="AU589" s="60">
        <x:v>1.73</x:v>
      </x:c>
      <x:c r="AV589" s="60">
        <x:v>3.87</x:v>
      </x:c>
      <x:c r="AW589" s="60">
        <x:v>3.64</x:v>
      </x:c>
      <x:c r="AX589" s="49" t="s">
        <x:v>1890</x:v>
      </x:c>
      <x:c r="AY589" s="49" t="s">
        <x:v>2093</x:v>
      </x:c>
    </x:row>
    <x:row r="590" ht="22" customHeight="1">
      <x:c r="A590" s="49" t="s">
        <x:v>2378</x:v>
      </x:c>
      <x:c r="B590" s="49" t="s">
        <x:v>2386</x:v>
      </x:c>
      <x:c r="C590" s="49" t="s">
        <x:v>89</x:v>
      </x:c>
      <x:c r="D590" s="49" t="s">
        <x:v>116</x:v>
      </x:c>
      <x:c r="E590" s="49" t="s">
        <x:v>307</x:v>
      </x:c>
      <x:c r="F590" s="49" t="s">
        <x:v>2389</x:v>
      </x:c>
      <x:c r="G590" s="60">
        <x:v>0.9</x:v>
      </x:c>
      <x:c r="H590" s="60">
        <x:v>-0.25</x:v>
      </x:c>
      <x:c r="I590" s="60">
        <x:v>0.8</x:v>
      </x:c>
      <x:c r="J590" s="49" t="s">
        <x:v>1448</x:v>
      </x:c>
      <x:c r="K590" s="49" t="s">
        <x:v>106</x:v>
      </x:c>
      <x:c r="L590" s="49" t="s">
        <x:v>2390</x:v>
      </x:c>
      <x:c r="M590" s="61">
        <x:v>0.576</x:v>
      </x:c>
      <x:c r="N590" s="49" t="s">
        <x:v>1888</x:v>
      </x:c>
      <x:c r="O590" s="49" t="s">
        <x:v>410</x:v>
      </x:c>
      <x:c r="P590" s="49" t="s">
        <x:v>30</x:v>
      </x:c>
      <x:c r="Q590" s="64" t="s">
        <x:v>23</x:v>
      </x:c>
      <x:c r="R590" s="50">
        <x:v>0.8</x:v>
      </x:c>
      <x:c r="S590" s="50">
        <x:f t="shared" si="40"/>
        <x:v>-1</x:v>
      </x:c>
      <x:c r="T590" s="49" t="s">
        <x:v>2391</x:v>
      </x:c>
      <x:c r="U590" s="49" t="str">
        <x:f t="shared" si="38"/>
        <x:v>红</x:v>
      </x:c>
      <x:c r="V590" s="50">
        <x:f t="shared" si="39"/>
        <x:v>0.9</x:v>
      </x:c>
      <x:c r="W590" s="50">
        <x:f t="shared" si="41"/>
        <x:v>0.9</x:v>
      </x:c>
      <x:c r="X590" s="62">
        <x:v>0.9</x:v>
      </x:c>
      <x:c r="Y590" s="62">
        <x:v>-0.25</x:v>
      </x:c>
      <x:c r="Z590" s="62">
        <x:v>0.8</x:v>
      </x:c>
      <x:c r="AA590" s="62">
        <x:v>-0.25</x:v>
      </x:c>
      <x:c r="AB590" s="62">
        <x:v>0.8</x:v>
      </x:c>
      <x:c r="AC590" s="62">
        <x:v>0.8</x:v>
      </x:c>
      <x:c r="AD590" s="60">
        <x:v>2.73</x:v>
      </x:c>
      <x:c r="AE590" s="60">
        <x:v>3.61</x:v>
      </x:c>
      <x:c r="AF590" s="60">
        <x:v>2.13</x:v>
      </x:c>
      <x:c r="AG590" s="62">
        <x:v>0.112792244624791</x:v>
      </x:c>
      <x:c r="AH590" s="62">
        <x:v>0.0627922446247913</x:v>
      </x:c>
      <x:c r="AI590" s="62">
        <x:v>0.329172285365697</x:v>
      </x:c>
      <x:c r="AJ590" s="62">
        <x:v>0.248930841841649</x:v>
      </x:c>
      <x:c r="AK590" s="62">
        <x:v>0.421896872792654</x:v>
      </x:c>
      <x:c r="AL590" s="62">
        <x:v>1.32</x:v>
      </x:c>
      <x:c r="AM590" s="62">
        <x:v>1.53</x:v>
      </x:c>
      <x:c r="AN590" s="62">
        <x:v>0.000676292488604228</x:v>
      </x:c>
      <x:c r="AO590" s="62">
        <x:v>1.07099493559309</x:v>
      </x:c>
      <x:c r="AP590" s="62">
        <x:v>-0.270994935593087</x:v>
      </x:c>
      <x:c r="AQ590" s="62" t="s">
        <x:v>99</x:v>
      </x:c>
      <x:c r="AR590" s="49">
        <x:v>-0.25</x:v>
      </x:c>
      <x:c r="AS590" s="62">
        <x:v>0.422816140366028</x:v>
      </x:c>
      <x:c r="AT590" s="62">
        <x:v>0.452833945019032</x:v>
      </x:c>
      <x:c r="AU590" s="60">
        <x:v>2.85</x:v>
      </x:c>
      <x:c r="AV590" s="60">
        <x:v>3.65</x:v>
      </x:c>
      <x:c r="AW590" s="60">
        <x:v>2.06</x:v>
      </x:c>
      <x:c r="AX590" s="49" t="s">
        <x:v>1890</x:v>
      </x:c>
      <x:c r="AY590" s="49" t="s">
        <x:v>2093</x:v>
      </x:c>
    </x:row>
    <x:row r="591" ht="22" customHeight="1">
      <x:c r="A591" s="49" t="s">
        <x:v>2378</x:v>
      </x:c>
      <x:c r="B591" s="49" t="s">
        <x:v>2386</x:v>
      </x:c>
      <x:c r="C591" s="49" t="s">
        <x:v>89</x:v>
      </x:c>
      <x:c r="D591" s="49" t="s">
        <x:v>116</x:v>
      </x:c>
      <x:c r="E591" s="49" t="s">
        <x:v>938</x:v>
      </x:c>
      <x:c r="F591" s="49" t="s">
        <x:v>2392</x:v>
      </x:c>
      <x:c r="G591" s="60">
        <x:v>0.84</x:v>
      </x:c>
      <x:c r="H591" s="60">
        <x:v>0.75</x:v>
      </x:c>
      <x:c r="I591" s="60">
        <x:v>0.92</x:v>
      </x:c>
      <x:c r="J591" s="49" t="s">
        <x:v>2393</x:v>
      </x:c>
      <x:c r="K591" s="49" t="s">
        <x:v>106</x:v>
      </x:c>
      <x:c r="L591" s="49" t="s">
        <x:v>1751</x:v>
      </x:c>
      <x:c r="M591" s="61">
        <x:v>0.576</x:v>
      </x:c>
      <x:c r="N591" s="49" t="s">
        <x:v>1888</x:v>
      </x:c>
      <x:c r="O591" s="49" t="s">
        <x:v>141</x:v>
      </x:c>
      <x:c r="P591" s="49" t="s">
        <x:v>30</x:v>
      </x:c>
      <x:c r="Q591" s="63" t="s">
        <x:v>11</x:v>
      </x:c>
      <x:c r="R591" s="50">
        <x:v>0.84</x:v>
      </x:c>
      <x:c r="S591" s="50">
        <x:f t="shared" si="40"/>
        <x:v>0.84</x:v>
      </x:c>
      <x:c r="T591" s="49" t="s">
        <x:v>2394</x:v>
      </x:c>
      <x:c r="U591" s="49" t="str">
        <x:f t="shared" si="38"/>
        <x:v>黑</x:v>
      </x:c>
      <x:c r="V591" s="50">
        <x:f t="shared" si="39"/>
        <x:v>0.92</x:v>
      </x:c>
      <x:c r="W591" s="50">
        <x:f t="shared" si="41"/>
        <x:v>-1</x:v>
      </x:c>
      <x:c r="X591" s="62">
        <x:v>0.76</x:v>
      </x:c>
      <x:c r="Y591" s="62">
        <x:v>0.75</x:v>
      </x:c>
      <x:c r="Z591" s="62">
        <x:v>0.94</x:v>
      </x:c>
      <x:c r="AA591" s="62">
        <x:v>-0.75</x:v>
      </x:c>
      <x:c r="AB591" s="62">
        <x:v>0.76</x:v>
      </x:c>
      <x:c r="AC591" s="62">
        <x:v>0.84</x:v>
      </x:c>
      <x:c r="AD591" s="60">
        <x:v>1.73</x:v>
      </x:c>
      <x:c r="AE591" s="60">
        <x:v>3.82</x:v>
      </x:c>
      <x:c r="AF591" s="60">
        <x:v>3.82</x:v>
      </x:c>
      <x:c r="AG591" s="62">
        <x:v>0.101594891505009</x:v>
      </x:c>
      <x:c r="AH591" s="62">
        <x:v>0.0515948915050087</x:v>
      </x:c>
      <x:c r="AI591" s="62">
        <x:v>0.524725274725275</x:v>
      </x:c>
      <x:c r="AJ591" s="62">
        <x:v>0.237637362637363</x:v>
      </x:c>
      <x:c r="AK591" s="62">
        <x:v>0.237637362637363</x:v>
      </x:c>
      <x:c r="AL591" s="62">
        <x:v>1.72</x:v>
      </x:c>
      <x:c r="AM591" s="62">
        <x:v>1.08</x:v>
      </x:c>
      <x:c r="AN591" s="62">
        <x:v>0.000855291289802082</x:v>
      </x:c>
      <x:c r="AO591" s="62">
        <x:v>1.1762642171995</x:v>
      </x:c>
      <x:c r="AP591" s="62">
        <x:v>-0.336264217199504</x:v>
      </x:c>
      <x:c r="AQ591" s="62" t="s">
        <x:v>99</x:v>
      </x:c>
      <x:c r="AR591" s="49">
        <x:v>-0.75</x:v>
      </x:c>
      <x:c r="AS591" s="62">
        <x:v>0.405067465340984</x:v>
      </x:c>
      <x:c r="AT591" s="62">
        <x:v>0.4764663650323</x:v>
      </x:c>
      <x:c r="AU591" s="60">
        <x:v>1.65</x:v>
      </x:c>
      <x:c r="AV591" s="60">
        <x:v>4.05</x:v>
      </x:c>
      <x:c r="AW591" s="60">
        <x:v>3.98</x:v>
      </x:c>
      <x:c r="AX591" s="49" t="s">
        <x:v>1890</x:v>
      </x:c>
      <x:c r="AY591" s="49" t="s">
        <x:v>2093</x:v>
      </x:c>
    </x:row>
    <x:row r="592" ht="22" customHeight="1">
      <x:c r="A592" s="49" t="s">
        <x:v>2378</x:v>
      </x:c>
      <x:c r="B592" s="49" t="s">
        <x:v>2395</x:v>
      </x:c>
      <x:c r="C592" s="49" t="s">
        <x:v>89</x:v>
      </x:c>
      <x:c r="D592" s="49" t="s">
        <x:v>116</x:v>
      </x:c>
      <x:c r="E592" s="49" t="s">
        <x:v>307</x:v>
      </x:c>
      <x:c r="F592" s="49" t="s">
        <x:v>2396</x:v>
      </x:c>
      <x:c r="G592" s="60">
        <x:v>0.8</x:v>
      </x:c>
      <x:c r="H592" s="60">
        <x:v>0.5</x:v>
      </x:c>
      <x:c r="I592" s="60">
        <x:v>0.9</x:v>
      </x:c>
      <x:c r="J592" s="49" t="s">
        <x:v>2397</x:v>
      </x:c>
      <x:c r="K592" s="49" t="s">
        <x:v>106</x:v>
      </x:c>
      <x:c r="L592" s="49" t="s">
        <x:v>2398</x:v>
      </x:c>
      <x:c r="M592" s="61">
        <x:v>0.576</x:v>
      </x:c>
      <x:c r="N592" s="49" t="s">
        <x:v>1888</x:v>
      </x:c>
      <x:c r="O592" s="49" t="s">
        <x:v>410</x:v>
      </x:c>
      <x:c r="P592" s="49" t="s">
        <x:v>30</x:v>
      </x:c>
      <x:c r="Q592" s="63" t="s">
        <x:v>11</x:v>
      </x:c>
      <x:c r="R592" s="50">
        <x:v>0.8</x:v>
      </x:c>
      <x:c r="S592" s="50">
        <x:f t="shared" si="40"/>
        <x:v>0.8</x:v>
      </x:c>
      <x:c r="T592" s="49" t="s">
        <x:v>2399</x:v>
      </x:c>
      <x:c r="U592" s="49" t="str">
        <x:f t="shared" si="38"/>
        <x:v>黑</x:v>
      </x:c>
      <x:c r="V592" s="50">
        <x:f t="shared" si="39"/>
        <x:v>0.9</x:v>
      </x:c>
      <x:c r="W592" s="50">
        <x:f t="shared" si="41"/>
        <x:v>-1</x:v>
      </x:c>
      <x:c r="X592" s="62">
        <x:v>0.8</x:v>
      </x:c>
      <x:c r="Y592" s="62">
        <x:v>0.5</x:v>
      </x:c>
      <x:c r="Z592" s="62">
        <x:v>0.9</x:v>
      </x:c>
      <x:c r="AA592" s="62">
        <x:v>-0.5</x:v>
      </x:c>
      <x:c r="AB592" s="62">
        <x:v>0.8</x:v>
      </x:c>
      <x:c r="AC592" s="62">
        <x:v>0.8</x:v>
      </x:c>
      <x:c r="AD592" s="60">
        <x:v>1.63</x:v>
      </x:c>
      <x:c r="AE592" s="60">
        <x:v>3.97</x:v>
      </x:c>
      <x:c r="AF592" s="60">
        <x:v>4.11</x:v>
      </x:c>
      <x:c r="AG592" s="62">
        <x:v>0.108695103714171</x:v>
      </x:c>
      <x:c r="AH592" s="62">
        <x:v>0.0586951037141706</x:v>
      </x:c>
      <x:c r="AI592" s="62">
        <x:v>0.553350448162078</x:v>
      </x:c>
      <x:c r="AJ592" s="62">
        <x:v>0.227194264610626</x:v>
      </x:c>
      <x:c r="AK592" s="62">
        <x:v>0.219455287227296</x:v>
      </x:c>
      <x:c r="AL592" s="62">
        <x:v>1.85</x:v>
      </x:c>
      <x:c r="AM592" s="62">
        <x:v>1.08</x:v>
      </x:c>
      <x:c r="AN592" s="62">
        <x:v>0.000330860963501963</x:v>
      </x:c>
      <x:c r="AO592" s="62">
        <x:v>0.805798161572274</x:v>
      </x:c>
      <x:c r="AP592" s="62">
        <x:v>-0.0057981615722742</x:v>
      </x:c>
      <x:c r="AQ592" s="62" t="s">
        <x:v>174</x:v>
      </x:c>
      <x:c r="AR592" s="49">
        <x:v>-0.5</x:v>
      </x:c>
      <x:c r="AS592" s="62">
        <x:v>0.553771745525158</x:v>
      </x:c>
      <x:c r="AT592" s="62">
        <x:v>0.446228254474842</x:v>
      </x:c>
      <x:c r="AU592" s="60">
        <x:v>1.77</x:v>
      </x:c>
      <x:c r="AV592" s="60">
        <x:v>3.81</x:v>
      </x:c>
      <x:c r="AW592" s="60">
        <x:v>3.55</x:v>
      </x:c>
      <x:c r="AX592" s="49" t="s">
        <x:v>1890</x:v>
      </x:c>
      <x:c r="AY592" s="49" t="s">
        <x:v>2093</x:v>
      </x:c>
    </x:row>
    <x:row r="593" ht="22" customHeight="1">
      <x:c r="A593" s="49" t="s">
        <x:v>2378</x:v>
      </x:c>
      <x:c r="B593" s="49" t="s">
        <x:v>2400</x:v>
      </x:c>
      <x:c r="C593" s="49" t="s">
        <x:v>239</x:v>
      </x:c>
      <x:c r="D593" s="49" t="s">
        <x:v>116</x:v>
      </x:c>
      <x:c r="E593" s="49" t="s">
        <x:v>669</x:v>
      </x:c>
      <x:c r="F593" s="49" t="s">
        <x:v>2401</x:v>
      </x:c>
      <x:c r="G593" s="60">
        <x:v>1.05</x:v>
      </x:c>
      <x:c r="H593" s="60">
        <x:v>0</x:v>
      </x:c>
      <x:c r="I593" s="60">
        <x:v>0.83</x:v>
      </x:c>
      <x:c r="J593" s="49" t="s">
        <x:v>2402</x:v>
      </x:c>
      <x:c r="K593" s="49" t="s">
        <x:v>106</x:v>
      </x:c>
      <x:c r="L593" s="49" t="s">
        <x:v>672</x:v>
      </x:c>
      <x:c r="M593" s="61">
        <x:v>0.579</x:v>
      </x:c>
      <x:c r="N593" s="49" t="s">
        <x:v>1888</x:v>
      </x:c>
      <x:c r="O593" s="49" t="s">
        <x:v>126</x:v>
      </x:c>
      <x:c r="P593" s="49" t="s">
        <x:v>30</x:v>
      </x:c>
      <x:c r="Q593" s="65" t="s">
        <x:v>17</x:v>
      </x:c>
      <x:c r="R593" s="50">
        <x:v>0.83</x:v>
      </x:c>
      <x:c r="S593" s="50">
        <x:f t="shared" si="40"/>
        <x:v>0</x:v>
      </x:c>
      <x:c r="T593" s="49" t="s">
        <x:v>2403</x:v>
      </x:c>
      <x:c r="U593" s="49" t="str">
        <x:f t="shared" si="38"/>
        <x:v>走</x:v>
      </x:c>
      <x:c r="V593" s="50">
        <x:f t="shared" si="39"/>
        <x:v>1.05</x:v>
      </x:c>
      <x:c r="W593" s="50">
        <x:f t="shared" si="41"/>
        <x:v>0</x:v>
      </x:c>
      <x:c r="X593" s="62">
        <x:v>1.01</x:v>
      </x:c>
      <x:c r="Y593" s="62">
        <x:v>0</x:v>
      </x:c>
      <x:c r="Z593" s="62">
        <x:v>0.87</x:v>
      </x:c>
      <x:c r="AA593" s="62">
        <x:v>0</x:v>
      </x:c>
      <x:c r="AB593" s="62">
        <x:v>0.87</x:v>
      </x:c>
      <x:c r="AC593" s="62">
        <x:v>0.83</x:v>
      </x:c>
      <x:c r="AD593" s="60">
        <x:v>2.68</x:v>
      </x:c>
      <x:c r="AE593" s="60">
        <x:v>3.23</x:v>
      </x:c>
      <x:c r="AF593" s="60">
        <x:v>2.44</x:v>
      </x:c>
      <x:c r="AG593" s="62">
        <x:v>0.0925679171517937</x:v>
      </x:c>
      <x:c r="AH593" s="62">
        <x:v>0.0425679171517937</x:v>
      </x:c>
      <x:c r="AI593" s="62">
        <x:v>0.34152048810927</x:v>
      </x:c>
      <x:c r="AJ593" s="62">
        <x:v>0.283366844623171</x:v>
      </x:c>
      <x:c r="AK593" s="62">
        <x:v>0.375112667267559</x:v>
      </x:c>
      <x:c r="AL593" s="62">
        <x:v>1.12</x:v>
      </x:c>
      <x:c r="AM593" s="62">
        <x:v>1.19</x:v>
      </x:c>
      <x:c r="AN593" s="62">
        <x:v>0.000580711386318267</x:v>
      </x:c>
      <x:c r="AO593" s="62">
        <x:v>0.908191180107255</x:v>
      </x:c>
      <x:c r="AP593" s="62">
        <x:v>-0.0781911801072547</x:v>
      </x:c>
      <x:c r="AQ593" s="62" t="s">
        <x:v>150</x:v>
      </x:c>
      <x:c r="AR593" s="49">
        <x:v>0</x:v>
      </x:c>
      <x:c r="AS593" s="62">
        <x:v>0.375885177541494</x:v>
      </x:c>
      <x:c r="AT593" s="62">
        <x:v>0.341375602976234</x:v>
      </x:c>
      <x:c r="AU593" s="60">
        <x:v>2.71</x:v>
      </x:c>
      <x:c r="AV593" s="60">
        <x:v>3.25</x:v>
      </x:c>
      <x:c r="AW593" s="60">
        <x:v>2.45</x:v>
      </x:c>
      <x:c r="AX593" s="49" t="s">
        <x:v>1890</x:v>
      </x:c>
      <x:c r="AY593" s="49" t="s">
        <x:v>2093</x:v>
      </x:c>
    </x:row>
    <x:row r="594" ht="22" customHeight="1">
      <x:c r="A594" s="49" t="s">
        <x:v>2378</x:v>
      </x:c>
      <x:c r="B594" s="49" t="s">
        <x:v>2404</x:v>
      </x:c>
      <x:c r="C594" s="49" t="s">
        <x:v>333</x:v>
      </x:c>
      <x:c r="D594" s="49" t="s">
        <x:v>116</x:v>
      </x:c>
      <x:c r="E594" s="49" t="s">
        <x:v>568</x:v>
      </x:c>
      <x:c r="F594" s="49" t="s">
        <x:v>2405</x:v>
      </x:c>
      <x:c r="G594" s="60">
        <x:v>0.92</x:v>
      </x:c>
      <x:c r="H594" s="60">
        <x:v>0.25</x:v>
      </x:c>
      <x:c r="I594" s="60">
        <x:v>0.96</x:v>
      </x:c>
      <x:c r="J594" s="49" t="s">
        <x:v>1656</x:v>
      </x:c>
      <x:c r="K594" s="49" t="s">
        <x:v>132</x:v>
      </x:c>
      <x:c r="L594" s="49" t="s">
        <x:v>2406</x:v>
      </x:c>
      <x:c r="M594" s="61">
        <x:v>0.559</x:v>
      </x:c>
      <x:c r="N594" s="49" t="s">
        <x:v>1888</x:v>
      </x:c>
      <x:c r="O594" s="49" t="s">
        <x:v>273</x:v>
      </x:c>
      <x:c r="P594" s="49" t="s">
        <x:v>30</x:v>
      </x:c>
      <x:c r="Q594" s="64" t="s">
        <x:v>20</x:v>
      </x:c>
      <x:c r="R594" s="50">
        <x:v>0.92</x:v>
      </x:c>
      <x:c r="S594" s="50">
        <x:f t="shared" si="40"/>
        <x:v>-0.5</x:v>
      </x:c>
      <x:c r="T594" s="49" t="s">
        <x:v>2407</x:v>
      </x:c>
      <x:c r="U594" s="49" t="str">
        <x:f t="shared" si="38"/>
        <x:v>半红</x:v>
      </x:c>
      <x:c r="V594" s="50">
        <x:f t="shared" si="39"/>
        <x:v>0.96</x:v>
      </x:c>
      <x:c r="W594" s="50">
        <x:f t="shared" si="41"/>
        <x:v>0.48</x:v>
      </x:c>
      <x:c r="X594" s="62">
        <x:v>0.98</x:v>
      </x:c>
      <x:c r="Y594" s="62">
        <x:v>0.5</x:v>
      </x:c>
      <x:c r="Z594" s="62">
        <x:v>0.9</x:v>
      </x:c>
      <x:c r="AA594" s="62">
        <x:v>-0.5</x:v>
      </x:c>
      <x:c r="AB594" s="62">
        <x:v>0.98</x:v>
      </x:c>
      <x:c r="AC594" s="62">
        <x:v>0.92</x:v>
      </x:c>
      <x:c r="AD594" s="60">
        <x:v>2.03</x:v>
      </x:c>
      <x:c r="AE594" s="60">
        <x:v>3.69</x:v>
      </x:c>
      <x:c r="AF594" s="60">
        <x:v>3.15</x:v>
      </x:c>
      <x:c r="AG594" s="62">
        <x:v>0.0810738649258416</x:v>
      </x:c>
      <x:c r="AH594" s="62">
        <x:v>0.0310738649258416</x:v>
      </x:c>
      <x:c r="AI594" s="62">
        <x:v>0.455668066189182</x:v>
      </x:c>
      <x:c r="AJ594" s="62">
        <x:v>0.250679180044455</x:v>
      </x:c>
      <x:c r="AK594" s="62">
        <x:v>0.293652753766362</x:v>
      </x:c>
      <x:c r="AL594" s="62">
        <x:v>1.56</x:v>
      </x:c>
      <x:c r="AM594" s="62">
        <x:v>1.2</x:v>
      </x:c>
      <x:c r="AN594" s="62">
        <x:v>0.000670569114712481</x:v>
      </x:c>
      <x:c r="AO594" s="62">
        <x:v>0.916036207497881</x:v>
      </x:c>
      <x:c r="AP594" s="62">
        <x:v>0.00396379250211898</x:v>
      </x:c>
      <x:c r="AQ594" s="62" t="s">
        <x:v>174</x:v>
      </x:c>
      <x:c r="AR594" s="49">
        <x:v>-0.25</x:v>
      </x:c>
      <x:c r="AS594" s="62">
        <x:v>0.456616348597721</x:v>
      </x:c>
      <x:c r="AT594" s="62">
        <x:v>0.418277108250987</x:v>
      </x:c>
      <x:c r="AU594" s="60">
        <x:v>2.16</x:v>
      </x:c>
      <x:c r="AV594" s="60">
        <x:v>3.64</x:v>
      </x:c>
      <x:c r="AW594" s="60">
        <x:v>3.01</x:v>
      </x:c>
      <x:c r="AX594" s="49" t="s">
        <x:v>1890</x:v>
      </x:c>
      <x:c r="AY594" s="49" t="s">
        <x:v>2093</x:v>
      </x:c>
    </x:row>
    <x:row r="595" ht="22" customHeight="1">
      <x:c r="A595" s="49" t="s">
        <x:v>2378</x:v>
      </x:c>
      <x:c r="B595" s="49" t="s">
        <x:v>2404</x:v>
      </x:c>
      <x:c r="C595" s="49" t="s">
        <x:v>333</x:v>
      </x:c>
      <x:c r="D595" s="49" t="s">
        <x:v>116</x:v>
      </x:c>
      <x:c r="E595" s="49" t="s">
        <x:v>568</x:v>
      </x:c>
      <x:c r="F595" s="49" t="s">
        <x:v>2408</x:v>
      </x:c>
      <x:c r="G595" s="60">
        <x:v>1.02</x:v>
      </x:c>
      <x:c r="H595" s="60">
        <x:v>-0.25</x:v>
      </x:c>
      <x:c r="I595" s="60">
        <x:v>0.86</x:v>
      </x:c>
      <x:c r="J595" s="49" t="s">
        <x:v>1675</x:v>
      </x:c>
      <x:c r="K595" s="49" t="s">
        <x:v>276</x:v>
      </x:c>
      <x:c r="L595" s="49" t="s">
        <x:v>2409</x:v>
      </x:c>
      <x:c r="M595" s="61">
        <x:v>0.532</x:v>
      </x:c>
      <x:c r="N595" s="49" t="s">
        <x:v>1888</x:v>
      </x:c>
      <x:c r="O595" s="49" t="s">
        <x:v>126</x:v>
      </x:c>
      <x:c r="P595" s="49" t="s">
        <x:v>30</x:v>
      </x:c>
      <x:c r="Q595" s="63" t="s">
        <x:v>14</x:v>
      </x:c>
      <x:c r="R595" s="50">
        <x:v>1.02</x:v>
      </x:c>
      <x:c r="S595" s="50">
        <x:f t="shared" si="40"/>
        <x:v>0.51</x:v>
      </x:c>
      <x:c r="T595" s="49" t="s">
        <x:v>2410</x:v>
      </x:c>
      <x:c r="U595" s="49" t="str">
        <x:f t="shared" si="38"/>
        <x:v>半黑</x:v>
      </x:c>
      <x:c r="V595" s="50">
        <x:f t="shared" si="39"/>
        <x:v>0.86</x:v>
      </x:c>
      <x:c r="W595" s="50">
        <x:f t="shared" si="41"/>
        <x:v>-0.5</x:v>
      </x:c>
      <x:c r="X595" s="62">
        <x:v>0.95</x:v>
      </x:c>
      <x:c r="Y595" s="62">
        <x:v>-0.25</x:v>
      </x:c>
      <x:c r="Z595" s="62">
        <x:v>0.93</x:v>
      </x:c>
      <x:c r="AA595" s="62">
        <x:v>0.25</x:v>
      </x:c>
      <x:c r="AB595" s="62">
        <x:v>0.95</x:v>
      </x:c>
      <x:c r="AC595" s="62">
        <x:v>1.02</x:v>
      </x:c>
      <x:c r="AD595" s="60">
        <x:v>3.16</x:v>
      </x:c>
      <x:c r="AE595" s="60">
        <x:v>3.69</x:v>
      </x:c>
      <x:c r="AF595" s="60">
        <x:v>2.02</x:v>
      </x:c>
      <x:c r="AG595" s="62">
        <x:v>0.082507911180127</x:v>
      </x:c>
      <x:c r="AH595" s="62">
        <x:v>0.032507911180127</x:v>
      </x:c>
      <x:c r="AI595" s="62">
        <x:v>0.292335689129088</x:v>
      </x:c>
      <x:c r="AJ595" s="62">
        <x:v>0.250347094213528</x:v>
      </x:c>
      <x:c r="AK595" s="62">
        <x:v>0.457317216657385</x:v>
      </x:c>
      <x:c r="AL595" s="62">
        <x:v>1.2</x:v>
      </x:c>
      <x:c r="AM595" s="62">
        <x:v>1.56</x:v>
      </x:c>
      <x:c r="AN595" s="62">
        <x:v>0.000634085179228211</x:v>
      </x:c>
      <x:c r="AO595" s="62">
        <x:v>1.09165990581471</x:v>
      </x:c>
      <x:c r="AP595" s="62">
        <x:v>-0.0716599058147092</x:v>
      </x:c>
      <x:c r="AQ595" s="62" t="s">
        <x:v>289</x:v>
      </x:c>
      <x:c r="AR595" s="49">
        <x:v>0.25</x:v>
      </x:c>
      <x:c r="AS595" s="62">
        <x:v>0.418277108250987</x:v>
      </x:c>
      <x:c r="AT595" s="62">
        <x:v>0.456616348597721</x:v>
      </x:c>
      <x:c r="AU595" s="60">
        <x:v>3</x:v>
      </x:c>
      <x:c r="AV595" s="60">
        <x:v>3.81</x:v>
      </x:c>
      <x:c r="AW595" s="60">
        <x:v>2.1</x:v>
      </x:c>
      <x:c r="AX595" s="49" t="s">
        <x:v>1890</x:v>
      </x:c>
      <x:c r="AY595" s="49" t="s">
        <x:v>2093</x:v>
      </x:c>
    </x:row>
    <x:row r="596" ht="22" customHeight="1">
      <x:c r="A596" s="49" t="s">
        <x:v>2378</x:v>
      </x:c>
      <x:c r="B596" s="49" t="s">
        <x:v>2411</x:v>
      </x:c>
      <x:c r="C596" s="49" t="s">
        <x:v>89</x:v>
      </x:c>
      <x:c r="D596" s="49" t="s">
        <x:v>116</x:v>
      </x:c>
      <x:c r="E596" s="49" t="s">
        <x:v>510</x:v>
      </x:c>
      <x:c r="F596" s="49" t="s">
        <x:v>2412</x:v>
      </x:c>
      <x:c r="G596" s="60">
        <x:v>1.04</x:v>
      </x:c>
      <x:c r="H596" s="60">
        <x:v>-0.25</x:v>
      </x:c>
      <x:c r="I596" s="60">
        <x:v>0.84</x:v>
      </x:c>
      <x:c r="J596" s="49" t="s">
        <x:v>1164</x:v>
      </x:c>
      <x:c r="K596" s="49" t="s">
        <x:v>106</x:v>
      </x:c>
      <x:c r="L596" s="49" t="s">
        <x:v>2413</x:v>
      </x:c>
      <x:c r="M596" s="61">
        <x:v>0.576</x:v>
      </x:c>
      <x:c r="N596" s="49" t="s">
        <x:v>1888</x:v>
      </x:c>
      <x:c r="O596" s="49" t="s">
        <x:v>231</x:v>
      </x:c>
      <x:c r="P596" s="49" t="s">
        <x:v>30</x:v>
      </x:c>
      <x:c r="Q596" s="64" t="s">
        <x:v>23</x:v>
      </x:c>
      <x:c r="R596" s="50">
        <x:v>0.84</x:v>
      </x:c>
      <x:c r="S596" s="50">
        <x:f t="shared" si="40"/>
        <x:v>-1</x:v>
      </x:c>
      <x:c r="T596" s="49" t="s">
        <x:v>2414</x:v>
      </x:c>
      <x:c r="U596" s="49" t="str">
        <x:f t="shared" si="38"/>
        <x:v>红</x:v>
      </x:c>
      <x:c r="V596" s="50">
        <x:f t="shared" si="39"/>
        <x:v>1.04</x:v>
      </x:c>
      <x:c r="W596" s="50">
        <x:f t="shared" si="41"/>
        <x:v>1.04</x:v>
      </x:c>
      <x:c r="X596" s="62">
        <x:v>0.99</x:v>
      </x:c>
      <x:c r="Y596" s="62">
        <x:v>-0.25</x:v>
      </x:c>
      <x:c r="Z596" s="62">
        <x:v>0.89</x:v>
      </x:c>
      <x:c r="AA596" s="62">
        <x:v>-0.25</x:v>
      </x:c>
      <x:c r="AB596" s="62">
        <x:v>0.89</x:v>
      </x:c>
      <x:c r="AC596" s="62">
        <x:v>0.84</x:v>
      </x:c>
      <x:c r="AD596" s="60">
        <x:v>3.36</x:v>
      </x:c>
      <x:c r="AE596" s="60">
        <x:v>3.59</x:v>
      </x:c>
      <x:c r="AF596" s="60">
        <x:v>1.98</x:v>
      </x:c>
      <x:c r="AG596" s="62">
        <x:v>0.0812210847029791</x:v>
      </x:c>
      <x:c r="AH596" s="62">
        <x:v>0.0312210847029791</x:v>
      </x:c>
      <x:c r="AI596" s="62">
        <x:v>0.275261971700086</x:v>
      </x:c>
      <x:c r="AJ596" s="62">
        <x:v>0.257626803596738</x:v>
      </x:c>
      <x:c r="AK596" s="62">
        <x:v>0.467111224703176</x:v>
      </x:c>
      <x:c r="AL596" s="62">
        <x:v>1.09</x:v>
      </x:c>
      <x:c r="AM596" s="62">
        <x:v>1.5</x:v>
      </x:c>
      <x:c r="AN596" s="62">
        <x:v>0.000381247472546211</x:v>
      </x:c>
      <x:c r="AO596" s="62">
        <x:v>0.866894151936369</x:v>
      </x:c>
      <x:c r="AP596" s="62">
        <x:v>-0.0268941519363688</x:v>
      </x:c>
      <x:c r="AQ596" s="62" t="s">
        <x:v>174</x:v>
      </x:c>
      <x:c r="AR596" s="49">
        <x:v>-0.25</x:v>
      </x:c>
      <x:c r="AS596" s="62">
        <x:v>0.46657258511092</x:v>
      </x:c>
      <x:c r="AT596" s="62">
        <x:v>0.40446904548649</x:v>
      </x:c>
      <x:c r="AU596" s="60">
        <x:v>3.18</x:v>
      </x:c>
      <x:c r="AV596" s="60">
        <x:v>3.68</x:v>
      </x:c>
      <x:c r="AW596" s="60">
        <x:v>2.04</x:v>
      </x:c>
      <x:c r="AX596" s="49" t="s">
        <x:v>1890</x:v>
      </x:c>
      <x:c r="AY596" s="49" t="s">
        <x:v>2093</x:v>
      </x:c>
    </x:row>
    <x:row r="597" ht="22" customHeight="1">
      <x:c r="A597" s="49" t="s">
        <x:v>2378</x:v>
      </x:c>
      <x:c r="B597" s="49" t="s">
        <x:v>2411</x:v>
      </x:c>
      <x:c r="C597" s="49" t="s">
        <x:v>333</x:v>
      </x:c>
      <x:c r="D597" s="49" t="s">
        <x:v>116</x:v>
      </x:c>
      <x:c r="E597" s="49" t="s">
        <x:v>613</x:v>
      </x:c>
      <x:c r="F597" s="49" t="s">
        <x:v>2415</x:v>
      </x:c>
      <x:c r="G597" s="60">
        <x:v>1.05</x:v>
      </x:c>
      <x:c r="H597" s="60">
        <x:v>0.5</x:v>
      </x:c>
      <x:c r="I597" s="60">
        <x:v>0.83</x:v>
      </x:c>
      <x:c r="J597" s="49" t="s">
        <x:v>1731</x:v>
      </x:c>
      <x:c r="K597" s="49" t="s">
        <x:v>189</x:v>
      </x:c>
      <x:c r="L597" s="49" t="s">
        <x:v>1153</x:v>
      </x:c>
      <x:c r="M597" s="61">
        <x:v>0.529</x:v>
      </x:c>
      <x:c r="N597" s="49" t="s">
        <x:v>1888</x:v>
      </x:c>
      <x:c r="O597" s="49" t="s">
        <x:v>201</x:v>
      </x:c>
      <x:c r="P597" s="49" t="s">
        <x:v>30</x:v>
      </x:c>
      <x:c r="Q597" s="63" t="s">
        <x:v>11</x:v>
      </x:c>
      <x:c r="R597" s="50">
        <x:v>1.05</x:v>
      </x:c>
      <x:c r="S597" s="50">
        <x:f t="shared" si="40"/>
        <x:v>1.05</x:v>
      </x:c>
      <x:c r="T597" s="49" t="s">
        <x:v>2416</x:v>
      </x:c>
      <x:c r="U597" s="49" t="str">
        <x:f t="shared" si="38"/>
        <x:v>黑</x:v>
      </x:c>
      <x:c r="V597" s="50">
        <x:f t="shared" si="39"/>
        <x:v>0.83</x:v>
      </x:c>
      <x:c r="W597" s="50">
        <x:f t="shared" si="41"/>
        <x:v>-1</x:v>
      </x:c>
      <x:c r="X597" s="62">
        <x:v>0.83</x:v>
      </x:c>
      <x:c r="Y597" s="62">
        <x:v>0.25</x:v>
      </x:c>
      <x:c r="Z597" s="62">
        <x:v>1.05</x:v>
      </x:c>
      <x:c r="AA597" s="62">
        <x:v>-0.25</x:v>
      </x:c>
      <x:c r="AB597" s="62">
        <x:v>0.83</x:v>
      </x:c>
      <x:c r="AC597" s="62">
        <x:v>1.05</x:v>
      </x:c>
      <x:c r="AD597" s="60">
        <x:v>2.07</x:v>
      </x:c>
      <x:c r="AE597" s="60">
        <x:v>3.04</x:v>
      </x:c>
      <x:c r="AF597" s="60">
        <x:v>3.98</x:v>
      </x:c>
      <x:c r="AG597" s="62">
        <x:v>0.0632954372677013</x:v>
      </x:c>
      <x:c r="AH597" s="62">
        <x:v>0.0132954372677013</x:v>
      </x:c>
      <x:c r="AI597" s="62">
        <x:v>0.454334487394201</x:v>
      </x:c>
      <x:c r="AJ597" s="62">
        <x:v>0.309365917403288</x:v>
      </x:c>
      <x:c r="AK597" s="62">
        <x:v>0.236299595202511</x:v>
      </x:c>
      <x:c r="AL597" s="62">
        <x:v>1.15</x:v>
      </x:c>
      <x:c r="AM597" s="62">
        <x:v>0.74</x:v>
      </x:c>
      <x:c r="AN597" s="62">
        <x:v>0.000251845124275728</x:v>
      </x:c>
      <x:c r="AO597" s="62">
        <x:v>1.20218004662155</x:v>
      </x:c>
      <x:c r="AP597" s="62">
        <x:v>-0.152180046621546</x:v>
      </x:c>
      <x:c r="AQ597" s="62" t="s">
        <x:v>99</x:v>
      </x:c>
      <x:c r="AR597" s="49">
        <x:v>-0.5</x:v>
      </x:c>
      <x:c r="AS597" s="62">
        <x:v>0.454095477585559</x:v>
      </x:c>
      <x:c r="AT597" s="62">
        <x:v>0.545904522414441</x:v>
      </x:c>
      <x:c r="AU597" s="60">
        <x:v>2.05</x:v>
      </x:c>
      <x:c r="AV597" s="60">
        <x:v>3.04</x:v>
      </x:c>
      <x:c r="AW597" s="60">
        <x:v>4.22</x:v>
      </x:c>
      <x:c r="AX597" s="49" t="s">
        <x:v>1890</x:v>
      </x:c>
      <x:c r="AY597" s="49" t="s">
        <x:v>2093</x:v>
      </x:c>
    </x:row>
    <x:row r="598" ht="22" customHeight="1">
      <x:c r="A598" s="49" t="s">
        <x:v>2378</x:v>
      </x:c>
      <x:c r="B598" s="49" t="s">
        <x:v>2417</x:v>
      </x:c>
      <x:c r="C598" s="49" t="s">
        <x:v>89</x:v>
      </x:c>
      <x:c r="D598" s="49" t="s">
        <x:v>116</x:v>
      </x:c>
      <x:c r="E598" s="49" t="s">
        <x:v>580</x:v>
      </x:c>
      <x:c r="F598" s="49" t="s">
        <x:v>2418</x:v>
      </x:c>
      <x:c r="G598" s="60">
        <x:v>0.98</x:v>
      </x:c>
      <x:c r="H598" s="60">
        <x:v>0.5</x:v>
      </x:c>
      <x:c r="I598" s="60">
        <x:v>0.9</x:v>
      </x:c>
      <x:c r="J598" s="49" t="s">
        <x:v>2419</x:v>
      </x:c>
      <x:c r="K598" s="49" t="s">
        <x:v>132</x:v>
      </x:c>
      <x:c r="L598" s="49" t="s">
        <x:v>1870</x:v>
      </x:c>
      <x:c r="M598" s="61">
        <x:v>0.555</x:v>
      </x:c>
      <x:c r="N598" s="49" t="s">
        <x:v>1888</x:v>
      </x:c>
      <x:c r="O598" s="49" t="s">
        <x:v>126</x:v>
      </x:c>
      <x:c r="P598" s="49" t="s">
        <x:v>30</x:v>
      </x:c>
      <x:c r="Q598" s="63" t="s">
        <x:v>11</x:v>
      </x:c>
      <x:c r="R598" s="50">
        <x:v>0.9</x:v>
      </x:c>
      <x:c r="S598" s="50">
        <x:f t="shared" si="40"/>
        <x:v>0.9</x:v>
      </x:c>
      <x:c r="T598" s="49" t="s">
        <x:v>2420</x:v>
      </x:c>
      <x:c r="U598" s="49" t="str">
        <x:f t="shared" si="38"/>
        <x:v>黑</x:v>
      </x:c>
      <x:c r="V598" s="50">
        <x:f t="shared" si="39"/>
        <x:v>0.98</x:v>
      </x:c>
      <x:c r="W598" s="50">
        <x:f t="shared" si="41"/>
        <x:v>-1</x:v>
      </x:c>
      <x:c r="X598" s="62">
        <x:v>0.99</x:v>
      </x:c>
      <x:c r="Y598" s="62">
        <x:v>0.75</x:v>
      </x:c>
      <x:c r="Z598" s="62">
        <x:v>0.89</x:v>
      </x:c>
      <x:c r="AA598" s="62">
        <x:v>0.75</x:v>
      </x:c>
      <x:c r="AB598" s="62">
        <x:v>0.89</x:v>
      </x:c>
      <x:c r="AC598" s="62">
        <x:v>0.9</x:v>
      </x:c>
      <x:c r="AD598" s="60">
        <x:v>1.76</x:v>
      </x:c>
      <x:c r="AE598" s="60">
        <x:v>3.9</x:v>
      </x:c>
      <x:c r="AF598" s="60">
        <x:v>3.89</x:v>
      </x:c>
      <x:c r="AG598" s="62">
        <x:v>0.0816614833324345</x:v>
      </x:c>
      <x:c r="AH598" s="62">
        <x:v>0.0316614833324345</x:v>
      </x:c>
      <x:c r="AI598" s="62">
        <x:v>0.525286170338003</x:v>
      </x:c>
      <x:c r="AJ598" s="62">
        <x:v>0.237052220460227</x:v>
      </x:c>
      <x:c r="AK598" s="62">
        <x:v>0.23766160920177</x:v>
      </x:c>
      <x:c r="AL598" s="62">
        <x:v>1.74</x:v>
      </x:c>
      <x:c r="AM598" s="62">
        <x:v>1.09</x:v>
      </x:c>
      <x:c r="AN598" s="62">
        <x:v>0.000456863880219836</x:v>
      </x:c>
      <x:c r="AO598" s="62">
        <x:v>1.10934100173545</x:v>
      </x:c>
      <x:c r="AP598" s="62">
        <x:v>-0.209341001735448</x:v>
      </x:c>
      <x:c r="AQ598" s="62" t="s">
        <x:v>289</x:v>
      </x:c>
      <x:c r="AR598" s="49">
        <x:v>0.5</x:v>
      </x:c>
      <x:c r="AS598" s="62">
        <x:v>0.474081715178938</x:v>
      </x:c>
      <x:c r="AT598" s="62">
        <x:v>0.525918284821062</x:v>
      </x:c>
      <x:c r="AU598" s="60">
        <x:v>1.95</x:v>
      </x:c>
      <x:c r="AV598" s="60">
        <x:v>3.76</x:v>
      </x:c>
      <x:c r="AW598" s="60">
        <x:v>3.37</x:v>
      </x:c>
      <x:c r="AX598" s="49" t="s">
        <x:v>1890</x:v>
      </x:c>
      <x:c r="AY598" s="49" t="s">
        <x:v>2093</x:v>
      </x:c>
    </x:row>
    <x:row r="599" ht="22" customHeight="1">
      <x:c r="A599" s="49" t="s">
        <x:v>2378</x:v>
      </x:c>
      <x:c r="B599" s="49" t="s">
        <x:v>2417</x:v>
      </x:c>
      <x:c r="C599" s="49" t="s">
        <x:v>333</x:v>
      </x:c>
      <x:c r="D599" s="49" t="s">
        <x:v>116</x:v>
      </x:c>
      <x:c r="E599" s="49" t="s">
        <x:v>156</x:v>
      </x:c>
      <x:c r="F599" s="49" t="s">
        <x:v>2421</x:v>
      </x:c>
      <x:c r="G599" s="60">
        <x:v>1.03</x:v>
      </x:c>
      <x:c r="H599" s="60">
        <x:v>1.25</x:v>
      </x:c>
      <x:c r="I599" s="60">
        <x:v>0.85</x:v>
      </x:c>
      <x:c r="J599" s="49" t="s">
        <x:v>2422</x:v>
      </x:c>
      <x:c r="K599" s="49" t="s">
        <x:v>189</x:v>
      </x:c>
      <x:c r="L599" s="49" t="s">
        <x:v>2423</x:v>
      </x:c>
      <x:c r="M599" s="61">
        <x:v>0.529</x:v>
      </x:c>
      <x:c r="N599" s="49" t="s">
        <x:v>1888</x:v>
      </x:c>
      <x:c r="O599" s="49" t="s">
        <x:v>155</x:v>
      </x:c>
      <x:c r="P599" s="49" t="s">
        <x:v>30</x:v>
      </x:c>
      <x:c r="Q599" s="64" t="s">
        <x:v>23</x:v>
      </x:c>
      <x:c r="R599" s="50">
        <x:v>1.03</x:v>
      </x:c>
      <x:c r="S599" s="50">
        <x:f t="shared" si="40"/>
        <x:v>-1</x:v>
      </x:c>
      <x:c r="T599" s="49" t="s">
        <x:v>2424</x:v>
      </x:c>
      <x:c r="U599" s="49" t="str">
        <x:f t="shared" si="38"/>
        <x:v>红</x:v>
      </x:c>
      <x:c r="V599" s="50">
        <x:f t="shared" si="39"/>
        <x:v>0.85</x:v>
      </x:c>
      <x:c r="W599" s="50">
        <x:f t="shared" si="41"/>
        <x:v>0.85</x:v>
      </x:c>
      <x:c r="X599" s="62">
        <x:v>1</x:v>
      </x:c>
      <x:c r="Y599" s="62">
        <x:v>1</x:v>
      </x:c>
      <x:c r="Z599" s="62">
        <x:v>0.88</x:v>
      </x:c>
      <x:c r="AA599" s="62">
        <x:v>-1</x:v>
      </x:c>
      <x:c r="AB599" s="62">
        <x:v>1</x:v>
      </x:c>
      <x:c r="AC599" s="62">
        <x:v>1.03</x:v>
      </x:c>
      <x:c r="AD599" s="60">
        <x:v>1.52</x:v>
      </x:c>
      <x:c r="AE599" s="60">
        <x:v>4.28</x:v>
      </x:c>
      <x:c r="AF599" s="60">
        <x:v>5.44</x:v>
      </x:c>
      <x:c r="AG599" s="62">
        <x:v>0.0753631260669541</x:v>
      </x:c>
      <x:c r="AH599" s="62">
        <x:v>0.025363126066954</x:v>
      </x:c>
      <x:c r="AI599" s="62">
        <x:v>0.611788446985622</x:v>
      </x:c>
      <x:c r="AJ599" s="62">
        <x:v>0.217270663415455</x:v>
      </x:c>
      <x:c r="AK599" s="62">
        <x:v>0.170940889598924</x:v>
      </x:c>
      <x:c r="AL599" s="62">
        <x:v>1.92</x:v>
      </x:c>
      <x:c r="AM599" s="62">
        <x:v>0.9</x:v>
      </x:c>
      <x:c r="AN599" s="62">
        <x:v>0.000725514208098188</x:v>
      </x:c>
      <x:c r="AO599" s="62">
        <x:v>1.39235004934805</x:v>
      </x:c>
      <x:c r="AP599" s="62">
        <x:v>-0.362350049348053</x:v>
      </x:c>
      <x:c r="AQ599" s="62" t="s">
        <x:v>99</x:v>
      </x:c>
      <x:c r="AR599" s="49">
        <x:v>-1.25</x:v>
      </x:c>
      <x:c r="AS599" s="62">
        <x:v>0.366527461008828</x:v>
      </x:c>
      <x:c r="AT599" s="62">
        <x:v>0.510334528423058</x:v>
      </x:c>
      <x:c r="AU599" s="60">
        <x:v>1.48</x:v>
      </x:c>
      <x:c r="AV599" s="60">
        <x:v>4.58</x:v>
      </x:c>
      <x:c r="AW599" s="60">
        <x:v>5.83</x:v>
      </x:c>
      <x:c r="AX599" s="49" t="s">
        <x:v>1890</x:v>
      </x:c>
      <x:c r="AY599" s="49" t="s">
        <x:v>2093</x:v>
      </x:c>
    </x:row>
    <x:row r="600" ht="22" customHeight="1">
      <x:c r="A600" s="49" t="s">
        <x:v>2378</x:v>
      </x:c>
      <x:c r="B600" s="49" t="s">
        <x:v>2425</x:v>
      </x:c>
      <x:c r="C600" s="49" t="s">
        <x:v>333</x:v>
      </x:c>
      <x:c r="D600" s="49" t="s">
        <x:v>116</x:v>
      </x:c>
      <x:c r="E600" s="49" t="s">
        <x:v>602</x:v>
      </x:c>
      <x:c r="F600" s="49" t="s">
        <x:v>2426</x:v>
      </x:c>
      <x:c r="G600" s="60">
        <x:v>1.11</x:v>
      </x:c>
      <x:c r="H600" s="60">
        <x:v>0</x:v>
      </x:c>
      <x:c r="I600" s="60">
        <x:v>0.78</x:v>
      </x:c>
      <x:c r="J600" s="49" t="s">
        <x:v>2427</x:v>
      </x:c>
      <x:c r="K600" s="49" t="s">
        <x:v>106</x:v>
      </x:c>
      <x:c r="L600" s="49" t="s">
        <x:v>1607</x:v>
      </x:c>
      <x:c r="M600" s="61">
        <x:v>0.584</x:v>
      </x:c>
      <x:c r="N600" s="49" t="s">
        <x:v>1888</x:v>
      </x:c>
      <x:c r="O600" s="49" t="s">
        <x:v>231</x:v>
      </x:c>
      <x:c r="P600" s="49" t="s">
        <x:v>30</x:v>
      </x:c>
      <x:c r="Q600" s="64" t="s">
        <x:v>23</x:v>
      </x:c>
      <x:c r="R600" s="50">
        <x:v>0.78</x:v>
      </x:c>
      <x:c r="S600" s="50">
        <x:f t="shared" si="40"/>
        <x:v>-1</x:v>
      </x:c>
      <x:c r="T600" s="49" t="s">
        <x:v>2428</x:v>
      </x:c>
      <x:c r="U600" s="49" t="str">
        <x:f t="shared" si="38"/>
        <x:v>红</x:v>
      </x:c>
      <x:c r="V600" s="50">
        <x:f t="shared" si="39"/>
        <x:v>1.11</x:v>
      </x:c>
      <x:c r="W600" s="50">
        <x:f t="shared" si="41"/>
        <x:v>1.11</x:v>
      </x:c>
      <x:c r="X600" s="62">
        <x:v>1.08</x:v>
      </x:c>
      <x:c r="Y600" s="62">
        <x:v>0</x:v>
      </x:c>
      <x:c r="Z600" s="62">
        <x:v>0.8</x:v>
      </x:c>
      <x:c r="AA600" s="62">
        <x:v>0</x:v>
      </x:c>
      <x:c r="AB600" s="62">
        <x:v>0.8</x:v>
      </x:c>
      <x:c r="AC600" s="62">
        <x:v>0.78</x:v>
      </x:c>
      <x:c r="AD600" s="60">
        <x:v>2.98</x:v>
      </x:c>
      <x:c r="AE600" s="60">
        <x:v>2.94</x:v>
      </x:c>
      <x:c r="AF600" s="60">
        <x:v>2.55</x:v>
      </x:c>
      <x:c r="AG600" s="62">
        <x:v>0.0678633869655245</x:v>
      </x:c>
      <x:c r="AH600" s="62">
        <x:v>0.0178633869655245</x:v>
      </x:c>
      <x:c r="AI600" s="62">
        <x:v>0.314244756299985</x:v>
      </x:c>
      <x:c r="AJ600" s="62">
        <x:v>0.318520195161209</x:v>
      </x:c>
      <x:c r="AK600" s="62">
        <x:v>0.367235048538806</x:v>
      </x:c>
      <x:c r="AL600" s="62">
        <x:v>0.9</x:v>
      </x:c>
      <x:c r="AM600" s="62">
        <x:v>1</x:v>
      </x:c>
      <x:c r="AN600" s="62">
        <x:v>0.000628526666739236</x:v>
      </x:c>
      <x:c r="AO600" s="62">
        <x:v>0.854689649432103</x:v>
      </x:c>
      <x:c r="AP600" s="62">
        <x:v>-0.0746896494321028</x:v>
      </x:c>
      <x:c r="AQ600" s="62" t="s">
        <x:v>150</x:v>
      </x:c>
      <x:c r="AR600" s="49">
        <x:v>0</x:v>
      </x:c>
      <x:c r="AS600" s="62">
        <x:v>0.367892577762094</x:v>
      </x:c>
      <x:c r="AT600" s="62">
        <x:v>0.314433978316156</x:v>
      </x:c>
      <x:c r="AU600" s="60">
        <x:v>3.08</x:v>
      </x:c>
      <x:c r="AV600" s="60">
        <x:v>3</x:v>
      </x:c>
      <x:c r="AW600" s="60">
        <x:v>2.5</x:v>
      </x:c>
      <x:c r="AX600" s="49" t="s">
        <x:v>1890</x:v>
      </x:c>
      <x:c r="AY600" s="49" t="s">
        <x:v>2093</x:v>
      </x:c>
    </x:row>
    <x:row r="601" ht="22" customHeight="1">
      <x:c r="A601" s="49" t="s">
        <x:v>2378</x:v>
      </x:c>
      <x:c r="B601" s="49" t="s">
        <x:v>2425</x:v>
      </x:c>
      <x:c r="C601" s="49" t="s">
        <x:v>333</x:v>
      </x:c>
      <x:c r="D601" s="49" t="s">
        <x:v>116</x:v>
      </x:c>
      <x:c r="E601" s="49" t="s">
        <x:v>602</x:v>
      </x:c>
      <x:c r="F601" s="49" t="s">
        <x:v>2429</x:v>
      </x:c>
      <x:c r="G601" s="60">
        <x:v>0.83</x:v>
      </x:c>
      <x:c r="H601" s="60">
        <x:v>-1.25</x:v>
      </x:c>
      <x:c r="I601" s="60">
        <x:v>1.05</x:v>
      </x:c>
      <x:c r="J601" s="49" t="s">
        <x:v>2430</x:v>
      </x:c>
      <x:c r="K601" s="49" t="s">
        <x:v>189</x:v>
      </x:c>
      <x:c r="L601" s="49" t="s">
        <x:v>605</x:v>
      </x:c>
      <x:c r="M601" s="61">
        <x:v>0.529</x:v>
      </x:c>
      <x:c r="N601" s="49" t="s">
        <x:v>1888</x:v>
      </x:c>
      <x:c r="O601" s="49" t="s">
        <x:v>161</x:v>
      </x:c>
      <x:c r="P601" s="49" t="s">
        <x:v>30</x:v>
      </x:c>
      <x:c r="Q601" s="64" t="s">
        <x:v>23</x:v>
      </x:c>
      <x:c r="R601" s="50">
        <x:v>1.05</x:v>
      </x:c>
      <x:c r="S601" s="50">
        <x:f t="shared" si="40"/>
        <x:v>-1</x:v>
      </x:c>
      <x:c r="T601" s="49" t="s">
        <x:v>2431</x:v>
      </x:c>
      <x:c r="U601" s="49" t="str">
        <x:f t="shared" si="38"/>
        <x:v>红</x:v>
      </x:c>
      <x:c r="V601" s="50">
        <x:f t="shared" si="39"/>
        <x:v>0.83</x:v>
      </x:c>
      <x:c r="W601" s="50">
        <x:f t="shared" si="41"/>
        <x:v>0.83</x:v>
      </x:c>
      <x:c r="X601" s="62">
        <x:v>1.02</x:v>
      </x:c>
      <x:c r="Y601" s="62">
        <x:v>-0.75</x:v>
      </x:c>
      <x:c r="Z601" s="62">
        <x:v>0.86</x:v>
      </x:c>
      <x:c r="AA601" s="62">
        <x:v>-0.75</x:v>
      </x:c>
      <x:c r="AB601" s="62">
        <x:v>0.86</x:v>
      </x:c>
      <x:c r="AC601" s="62">
        <x:v>1.05</x:v>
      </x:c>
      <x:c r="AD601" s="60">
        <x:v>5.26</x:v>
      </x:c>
      <x:c r="AE601" s="60">
        <x:v>4.05</x:v>
      </x:c>
      <x:c r="AF601" s="60">
        <x:v>1.59</x:v>
      </x:c>
      <x:c r="AG601" s="62">
        <x:v>0.0659584662980413</x:v>
      </x:c>
      <x:c r="AH601" s="62">
        <x:v>0.0159584662980412</x:v>
      </x:c>
      <x:c r="AI601" s="62">
        <x:v>0.178350352712438</x:v>
      </x:c>
      <x:c r="AJ601" s="62">
        <x:v>0.231635272905536</x:v>
      </x:c>
      <x:c r="AK601" s="62">
        <x:v>0.590014374382026</x:v>
      </x:c>
      <x:c r="AL601" s="62">
        <x:v>0.85</x:v>
      </x:c>
      <x:c r="AM601" s="62">
        <x:v>1.76</x:v>
      </x:c>
      <x:c r="AN601" s="62">
        <x:v>0.000474870544683189</x:v>
      </x:c>
      <x:c r="AO601" s="62">
        <x:v>1.60026757305829</x:v>
      </x:c>
      <x:c r="AP601" s="62">
        <x:v>-0.550267573058289</x:v>
      </x:c>
      <x:c r="AQ601" s="62" t="s">
        <x:v>99</x:v>
      </x:c>
      <x:c r="AR601" s="49">
        <x:v>-1.25</x:v>
      </x:c>
      <x:c r="AS601" s="62">
        <x:v>0.335809569716488</x:v>
      </x:c>
      <x:c r="AT601" s="62">
        <x:v>0.537385165139952</x:v>
      </x:c>
      <x:c r="AU601" s="60">
        <x:v>6.06</x:v>
      </x:c>
      <x:c r="AV601" s="60">
        <x:v>4.57</x:v>
      </x:c>
      <x:c r="AW601" s="60">
        <x:v>1.49</x:v>
      </x:c>
      <x:c r="AX601" s="49" t="s">
        <x:v>1890</x:v>
      </x:c>
      <x:c r="AY601" s="49" t="s">
        <x:v>2093</x:v>
      </x:c>
    </x:row>
    <x:row r="602" ht="22" customHeight="1">
      <x:c r="A602" s="49" t="s">
        <x:v>2378</x:v>
      </x:c>
      <x:c r="B602" s="49" t="s">
        <x:v>2425</x:v>
      </x:c>
      <x:c r="C602" s="49" t="s">
        <x:v>89</x:v>
      </x:c>
      <x:c r="D602" s="49" t="s">
        <x:v>116</x:v>
      </x:c>
      <x:c r="E602" s="49" t="s">
        <x:v>347</x:v>
      </x:c>
      <x:c r="F602" s="49" t="s">
        <x:v>2432</x:v>
      </x:c>
      <x:c r="G602" s="60">
        <x:v>0.96</x:v>
      </x:c>
      <x:c r="H602" s="60">
        <x:v>-0.25</x:v>
      </x:c>
      <x:c r="I602" s="60">
        <x:v>0.8</x:v>
      </x:c>
      <x:c r="J602" s="49" t="s">
        <x:v>1597</x:v>
      </x:c>
      <x:c r="K602" s="49" t="s">
        <x:v>106</x:v>
      </x:c>
      <x:c r="L602" s="49" t="s">
        <x:v>2433</x:v>
      </x:c>
      <x:c r="M602" s="61">
        <x:v>0.576</x:v>
      </x:c>
      <x:c r="N602" s="49" t="s">
        <x:v>1888</x:v>
      </x:c>
      <x:c r="O602" s="49" t="s">
        <x:v>653</x:v>
      </x:c>
      <x:c r="P602" s="49" t="s">
        <x:v>30</x:v>
      </x:c>
      <x:c r="Q602" s="63" t="s">
        <x:v>11</x:v>
      </x:c>
      <x:c r="R602" s="50">
        <x:v>0.8</x:v>
      </x:c>
      <x:c r="S602" s="50">
        <x:f t="shared" si="40"/>
        <x:v>0.8</x:v>
      </x:c>
      <x:c r="T602" s="49" t="s">
        <x:v>2434</x:v>
      </x:c>
      <x:c r="U602" s="49" t="str">
        <x:f t="shared" si="38"/>
        <x:v>黑</x:v>
      </x:c>
      <x:c r="V602" s="50">
        <x:f t="shared" si="39"/>
        <x:v>0.96</x:v>
      </x:c>
      <x:c r="W602" s="50">
        <x:f t="shared" si="41"/>
        <x:v>-1</x:v>
      </x:c>
      <x:c r="X602" s="62">
        <x:v>0.8</x:v>
      </x:c>
      <x:c r="Y602" s="62">
        <x:v>-0.25</x:v>
      </x:c>
      <x:c r="Z602" s="62">
        <x:v>0.96</x:v>
      </x:c>
      <x:c r="AA602" s="62">
        <x:v>-0.25</x:v>
      </x:c>
      <x:c r="AB602" s="62">
        <x:v>0.96</x:v>
      </x:c>
      <x:c r="AC602" s="62">
        <x:v>0.8</x:v>
      </x:c>
      <x:c r="AD602" s="60">
        <x:v>2.78</x:v>
      </x:c>
      <x:c r="AE602" s="60">
        <x:v>3.52</x:v>
      </x:c>
      <x:c r="AF602" s="60">
        <x:v>2.24</x:v>
      </x:c>
      <x:c r="AG602" s="62">
        <x:v>0.0902317107353079</x:v>
      </x:c>
      <x:c r="AH602" s="62">
        <x:v>0.0402317107353079</x:v>
      </x:c>
      <x:c r="AI602" s="62">
        <x:v>0.329941081949652</x:v>
      </x:c>
      <x:c r="AJ602" s="62">
        <x:v>0.260578468130691</x:v>
      </x:c>
      <x:c r="AK602" s="62">
        <x:v>0.409480449919657</x:v>
      </x:c>
      <x:c r="AL602" s="62">
        <x:v>1.23</x:v>
      </x:c>
      <x:c r="AM602" s="62">
        <x:v>1.4</x:v>
      </x:c>
      <x:c r="AN602" s="62">
        <x:v>0.000357421479802801</x:v>
      </x:c>
      <x:c r="AO602" s="62">
        <x:v>1.12554586256761</x:v>
      </x:c>
      <x:c r="AP602" s="62">
        <x:v>-0.325545862567614</x:v>
      </x:c>
      <x:c r="AQ602" s="62" t="s">
        <x:v>99</x:v>
      </x:c>
      <x:c r="AR602" s="49">
        <x:v>-0.25</x:v>
      </x:c>
      <x:c r="AS602" s="62">
        <x:v>0.409063326610096</x:v>
      </x:c>
      <x:c r="AT602" s="62">
        <x:v>0.460419534794139</x:v>
      </x:c>
      <x:c r="AU602" s="60">
        <x:v>3.04</x:v>
      </x:c>
      <x:c r="AV602" s="60">
        <x:v>3.56</x:v>
      </x:c>
      <x:c r="AW602" s="60">
        <x:v>2.1</x:v>
      </x:c>
      <x:c r="AX602" s="49" t="s">
        <x:v>1890</x:v>
      </x:c>
      <x:c r="AY602" s="49" t="s">
        <x:v>2093</x:v>
      </x:c>
    </x:row>
    <x:row r="603" ht="22" customHeight="1">
      <x:c r="A603" s="49" t="s">
        <x:v>2378</x:v>
      </x:c>
      <x:c r="B603" s="49" t="s">
        <x:v>2425</x:v>
      </x:c>
      <x:c r="C603" s="49" t="s">
        <x:v>333</x:v>
      </x:c>
      <x:c r="D603" s="49" t="s">
        <x:v>116</x:v>
      </x:c>
      <x:c r="E603" s="49" t="s">
        <x:v>532</x:v>
      </x:c>
      <x:c r="F603" s="49" t="s">
        <x:v>2435</x:v>
      </x:c>
      <x:c r="G603" s="60">
        <x:v>1.09</x:v>
      </x:c>
      <x:c r="H603" s="60">
        <x:v>0</x:v>
      </x:c>
      <x:c r="I603" s="60">
        <x:v>0.79</x:v>
      </x:c>
      <x:c r="J603" s="49" t="s">
        <x:v>2436</x:v>
      </x:c>
      <x:c r="K603" s="49" t="s">
        <x:v>106</x:v>
      </x:c>
      <x:c r="L603" s="49" t="s">
        <x:v>2437</x:v>
      </x:c>
      <x:c r="M603" s="61">
        <x:v>0.584</x:v>
      </x:c>
      <x:c r="N603" s="49" t="s">
        <x:v>1888</x:v>
      </x:c>
      <x:c r="O603" s="49" t="s">
        <x:v>231</x:v>
      </x:c>
      <x:c r="P603" s="49" t="s">
        <x:v>30</x:v>
      </x:c>
      <x:c r="Q603" s="64" t="s">
        <x:v>23</x:v>
      </x:c>
      <x:c r="R603" s="50">
        <x:v>0.79</x:v>
      </x:c>
      <x:c r="S603" s="50">
        <x:f t="shared" si="40"/>
        <x:v>-1</x:v>
      </x:c>
      <x:c r="T603" s="49" t="s">
        <x:v>2438</x:v>
      </x:c>
      <x:c r="U603" s="49" t="str">
        <x:f t="shared" si="38"/>
        <x:v>红</x:v>
      </x:c>
      <x:c r="V603" s="50">
        <x:f t="shared" si="39"/>
        <x:v>1.09</x:v>
      </x:c>
      <x:c r="W603" s="50">
        <x:f t="shared" si="41"/>
        <x:v>1.09</x:v>
      </x:c>
      <x:c r="X603" s="62">
        <x:v>1</x:v>
      </x:c>
      <x:c r="Y603" s="62">
        <x:v>0</x:v>
      </x:c>
      <x:c r="Z603" s="62">
        <x:v>0.88</x:v>
      </x:c>
      <x:c r="AA603" s="62">
        <x:v>0</x:v>
      </x:c>
      <x:c r="AB603" s="62">
        <x:v>0.88</x:v>
      </x:c>
      <x:c r="AC603" s="62">
        <x:v>0.79</x:v>
      </x:c>
      <x:c r="AD603" s="60">
        <x:v>2.61</x:v>
      </x:c>
      <x:c r="AE603" s="60">
        <x:v>3.4</x:v>
      </x:c>
      <x:c r="AF603" s="60">
        <x:v>2.57</x:v>
      </x:c>
      <x:c r="AG603" s="62">
        <x:v>0.0663644678766895</x:v>
      </x:c>
      <x:c r="AH603" s="62">
        <x:v>0.0163644678766895</x:v>
      </x:c>
      <x:c r="AI603" s="62">
        <x:v>0.359297195277902</x:v>
      </x:c>
      <x:c r="AJ603" s="62">
        <x:v>0.275813435198625</x:v>
      </x:c>
      <x:c r="AK603" s="62">
        <x:v>0.364889369523473</x:v>
      </x:c>
      <x:c r="AL603" s="62">
        <x:v>1.2</x:v>
      </x:c>
      <x:c r="AM603" s="62">
        <x:v>1.21</x:v>
      </x:c>
      <x:c r="AN603" s="62">
        <x:v>0.000318741788300173</x:v>
      </x:c>
      <x:c r="AO603" s="62">
        <x:v>0.986713332801305</x:v>
      </x:c>
      <x:c r="AP603" s="62">
        <x:v>-0.196713332801305</x:v>
      </x:c>
      <x:c r="AQ603" s="62" t="s">
        <x:v>150</x:v>
      </x:c>
      <x:c r="AR603" s="49">
        <x:v>0</x:v>
      </x:c>
      <x:c r="AS603" s="62">
        <x:v>0.364451648234975</x:v>
      </x:c>
      <x:c r="AT603" s="62">
        <x:v>0.359609300474861</x:v>
      </x:c>
      <x:c r="AU603" s="60">
        <x:v>2.82</x:v>
      </x:c>
      <x:c r="AV603" s="60">
        <x:v>3.5</x:v>
      </x:c>
      <x:c r="AW603" s="60">
        <x:v>2.4</x:v>
      </x:c>
      <x:c r="AX603" s="49" t="s">
        <x:v>1890</x:v>
      </x:c>
      <x:c r="AY603" s="49" t="s">
        <x:v>2093</x:v>
      </x:c>
    </x:row>
    <x:row r="604" ht="22" customHeight="1">
      <x:c r="A604" s="49" t="s">
        <x:v>2378</x:v>
      </x:c>
      <x:c r="B604" s="49" t="s">
        <x:v>2425</x:v>
      </x:c>
      <x:c r="C604" s="49" t="s">
        <x:v>333</x:v>
      </x:c>
      <x:c r="D604" s="49" t="s">
        <x:v>116</x:v>
      </x:c>
      <x:c r="E604" s="49" t="s">
        <x:v>609</x:v>
      </x:c>
      <x:c r="F604" s="49" t="s">
        <x:v>2439</x:v>
      </x:c>
      <x:c r="G604" s="60">
        <x:v>0.96</x:v>
      </x:c>
      <x:c r="H604" s="60">
        <x:v>1.5</x:v>
      </x:c>
      <x:c r="I604" s="60">
        <x:v>0.92</x:v>
      </x:c>
      <x:c r="J604" s="49" t="s">
        <x:v>2440</x:v>
      </x:c>
      <x:c r="K604" s="49" t="s">
        <x:v>132</x:v>
      </x:c>
      <x:c r="L604" s="49" t="s">
        <x:v>860</x:v>
      </x:c>
      <x:c r="M604" s="61">
        <x:v>0.559</x:v>
      </x:c>
      <x:c r="N604" s="49" t="s">
        <x:v>1888</x:v>
      </x:c>
      <x:c r="O604" s="49" t="s">
        <x:v>2441</x:v>
      </x:c>
      <x:c r="P604" s="49" t="s">
        <x:v>30</x:v>
      </x:c>
      <x:c r="Q604" s="63" t="s">
        <x:v>11</x:v>
      </x:c>
      <x:c r="R604" s="50">
        <x:v>0.96</x:v>
      </x:c>
      <x:c r="S604" s="50">
        <x:f t="shared" si="40"/>
        <x:v>0.96</x:v>
      </x:c>
      <x:c r="T604" s="49" t="s">
        <x:v>2442</x:v>
      </x:c>
      <x:c r="U604" s="49" t="str">
        <x:f t="shared" si="38"/>
        <x:v>黑</x:v>
      </x:c>
      <x:c r="V604" s="50">
        <x:f t="shared" si="39"/>
        <x:v>0.92</x:v>
      </x:c>
      <x:c r="W604" s="50">
        <x:f t="shared" si="41"/>
        <x:v>-1</x:v>
      </x:c>
      <x:c r="X604" s="62">
        <x:v>1.03</x:v>
      </x:c>
      <x:c r="Y604" s="62">
        <x:v>1.75</x:v>
      </x:c>
      <x:c r="Z604" s="62">
        <x:v>0.85</x:v>
      </x:c>
      <x:c r="AA604" s="62">
        <x:v>-1.75</x:v>
      </x:c>
      <x:c r="AB604" s="62">
        <x:v>1.03</x:v>
      </x:c>
      <x:c r="AC604" s="62">
        <x:v>0.96</x:v>
      </x:c>
      <x:c r="AD604" s="60">
        <x:v>1.26</x:v>
      </x:c>
      <x:c r="AE604" s="60">
        <x:v>5.8</x:v>
      </x:c>
      <x:c r="AF604" s="60">
        <x:v>10.24</x:v>
      </x:c>
      <x:c r="AG604" s="62">
        <x:v>0.0637208367542419</x:v>
      </x:c>
      <x:c r="AH604" s="62">
        <x:v>0.0137208367542419</x:v>
      </x:c>
      <x:c r="AI604" s="62">
        <x:v>0.746108157542989</x:v>
      </x:c>
      <x:c r="AJ604" s="62">
        <x:v>0.162085565259339</x:v>
      </x:c>
      <x:c r="AK604" s="62">
        <x:v>0.0918062771976724</x:v>
      </x:c>
      <x:c r="AL604" s="62">
        <x:v>2.37</x:v>
      </x:c>
      <x:c r="AM604" s="62">
        <x:v>0.7</x:v>
      </x:c>
      <x:c r="AN604" s="62">
        <x:v>0.000127961285458391</x:v>
      </x:c>
      <x:c r="AO604" s="62">
        <x:v>0.938206480282006</x:v>
      </x:c>
      <x:c r="AP604" s="62">
        <x:v>0.0217935197179942</x:v>
      </x:c>
      <x:c r="AQ604" s="62" t="s">
        <x:v>174</x:v>
      </x:c>
      <x:c r="AR604" s="49">
        <x:v>-1.5</x:v>
      </x:c>
      <x:c r="AS604" s="62">
        <x:v>0.515940902155327</x:v>
      </x:c>
      <x:c r="AT604" s="62">
        <x:v>0.484059097844672</x:v>
      </x:c>
      <x:c r="AU604" s="60">
        <x:v>1.32</x:v>
      </x:c>
      <x:c r="AV604" s="60">
        <x:v>5.48</x:v>
      </x:c>
      <x:c r="AW604" s="60">
        <x:v>9.04</x:v>
      </x:c>
      <x:c r="AX604" s="49" t="s">
        <x:v>1890</x:v>
      </x:c>
      <x:c r="AY604" s="49" t="s">
        <x:v>2093</x:v>
      </x:c>
    </x:row>
    <x:row r="605" ht="22" customHeight="1">
      <x:c r="A605" s="49" t="s">
        <x:v>2378</x:v>
      </x:c>
      <x:c r="B605" s="49" t="s">
        <x:v>2443</x:v>
      </x:c>
      <x:c r="C605" s="49" t="s">
        <x:v>89</x:v>
      </x:c>
      <x:c r="D605" s="49" t="s">
        <x:v>116</x:v>
      </x:c>
      <x:c r="E605" s="49" t="s">
        <x:v>1863</x:v>
      </x:c>
      <x:c r="F605" s="49" t="s">
        <x:v>2444</x:v>
      </x:c>
      <x:c r="G605" s="60">
        <x:v>0.81</x:v>
      </x:c>
      <x:c r="H605" s="60">
        <x:v>2</x:v>
      </x:c>
      <x:c r="I605" s="60">
        <x:v>1.08</x:v>
      </x:c>
      <x:c r="J605" s="49" t="s">
        <x:v>2445</x:v>
      </x:c>
      <x:c r="K605" s="49" t="s">
        <x:v>106</x:v>
      </x:c>
      <x:c r="L605" s="49" t="s">
        <x:v>2446</x:v>
      </x:c>
      <x:c r="M605" s="61">
        <x:v>0.576</x:v>
      </x:c>
      <x:c r="N605" s="49" t="s">
        <x:v>1888</x:v>
      </x:c>
      <x:c r="O605" s="49" t="s">
        <x:v>2447</x:v>
      </x:c>
      <x:c r="P605" s="49" t="s">
        <x:v>30</x:v>
      </x:c>
      <x:c r="Q605" s="63" t="s">
        <x:v>11</x:v>
      </x:c>
      <x:c r="R605" s="50">
        <x:v>0.81</x:v>
      </x:c>
      <x:c r="S605" s="50">
        <x:f t="shared" si="40"/>
        <x:v>0.81</x:v>
      </x:c>
      <x:c r="T605" s="49" t="s">
        <x:v>2448</x:v>
      </x:c>
      <x:c r="U605" s="49" t="str">
        <x:f t="shared" si="38"/>
        <x:v>黑</x:v>
      </x:c>
      <x:c r="V605" s="50">
        <x:f t="shared" si="39"/>
        <x:v>1.08</x:v>
      </x:c>
      <x:c r="W605" s="50">
        <x:f t="shared" si="41"/>
        <x:v>-1</x:v>
      </x:c>
      <x:c r="X605" s="62">
        <x:v>1.02</x:v>
      </x:c>
      <x:c r="Y605" s="62">
        <x:v>2</x:v>
      </x:c>
      <x:c r="Z605" s="62">
        <x:v>0.86</x:v>
      </x:c>
      <x:c r="AA605" s="62">
        <x:v>-2</x:v>
      </x:c>
      <x:c r="AB605" s="62">
        <x:v>1.02</x:v>
      </x:c>
      <x:c r="AC605" s="62">
        <x:v>0.81</x:v>
      </x:c>
      <x:c r="AD605" s="60">
        <x:v>1.18</x:v>
      </x:c>
      <x:c r="AE605" s="60">
        <x:v>6.58</x:v>
      </x:c>
      <x:c r="AF605" s="60">
        <x:v>13.08</x:v>
      </x:c>
      <x:c r="AG605" s="62">
        <x:v>0.0758859103976008</x:v>
      </x:c>
      <x:c r="AH605" s="62">
        <x:v>0.0258859103976008</x:v>
      </x:c>
      <x:c r="AI605" s="62">
        <x:v>0.787683544257458</x:v>
      </x:c>
      <x:c r="AJ605" s="62">
        <x:v>0.1412563194869</x:v>
      </x:c>
      <x:c r="AK605" s="62">
        <x:v>0.0710601362556422</x:v>
      </x:c>
      <x:c r="AL605" s="62">
        <x:v>2.54</x:v>
      </x:c>
      <x:c r="AM605" s="62">
        <x:v>0.63</x:v>
      </x:c>
      <x:c r="AN605" s="62">
        <x:v>0.00013918776660929</x:v>
      </x:c>
      <x:c r="AO605" s="62">
        <x:v>1.24478637807235</x:v>
      </x:c>
      <x:c r="AP605" s="62">
        <x:v>-0.434786378072349</x:v>
      </x:c>
      <x:c r="AQ605" s="62" t="s">
        <x:v>99</x:v>
      </x:c>
      <x:c r="AR605" s="49">
        <x:v>-2</x:v>
      </x:c>
      <x:c r="AS605" s="62">
        <x:v>0.345745452224305</x:v>
      </x:c>
      <x:c r="AT605" s="62">
        <x:v>0.430379229209279</x:v>
      </x:c>
      <x:c r="AU605" s="60">
        <x:v>1.18</x:v>
      </x:c>
      <x:c r="AV605" s="60">
        <x:v>7.01</x:v>
      </x:c>
      <x:c r="AW605" s="60">
        <x:v>13.68</x:v>
      </x:c>
      <x:c r="AX605" s="49" t="s">
        <x:v>1890</x:v>
      </x:c>
      <x:c r="AY605" s="49" t="s">
        <x:v>2093</x:v>
      </x:c>
    </x:row>
    <x:row r="606" ht="22" customHeight="1">
      <x:c r="A606" s="49" t="s">
        <x:v>2378</x:v>
      </x:c>
      <x:c r="B606" s="49" t="s">
        <x:v>2449</x:v>
      </x:c>
      <x:c r="C606" s="49" t="s">
        <x:v>333</x:v>
      </x:c>
      <x:c r="D606" s="49" t="s">
        <x:v>116</x:v>
      </x:c>
      <x:c r="E606" s="49" t="s">
        <x:v>865</x:v>
      </x:c>
      <x:c r="F606" s="49" t="s">
        <x:v>2450</x:v>
      </x:c>
      <x:c r="G606" s="60">
        <x:v>0.83</x:v>
      </x:c>
      <x:c r="H606" s="60">
        <x:v>-0.25</x:v>
      </x:c>
      <x:c r="I606" s="60">
        <x:v>1.06</x:v>
      </x:c>
      <x:c r="J606" s="49" t="s">
        <x:v>2451</x:v>
      </x:c>
      <x:c r="K606" s="49" t="s">
        <x:v>189</x:v>
      </x:c>
      <x:c r="L606" s="49" t="s">
        <x:v>2452</x:v>
      </x:c>
      <x:c r="M606" s="61">
        <x:v>0.529</x:v>
      </x:c>
      <x:c r="N606" s="49" t="s">
        <x:v>1888</x:v>
      </x:c>
      <x:c r="O606" s="49" t="s">
        <x:v>126</x:v>
      </x:c>
      <x:c r="P606" s="49" t="s">
        <x:v>30</x:v>
      </x:c>
      <x:c r="Q606" s="64" t="s">
        <x:v>20</x:v>
      </x:c>
      <x:c r="R606" s="50">
        <x:v>1.06</x:v>
      </x:c>
      <x:c r="S606" s="50">
        <x:f t="shared" si="40"/>
        <x:v>-0.5</x:v>
      </x:c>
      <x:c r="T606" s="49" t="s">
        <x:v>2453</x:v>
      </x:c>
      <x:c r="U606" s="49" t="str">
        <x:f t="shared" si="38"/>
        <x:v>半红</x:v>
      </x:c>
      <x:c r="V606" s="50">
        <x:f t="shared" si="39"/>
        <x:v>0.83</x:v>
      </x:c>
      <x:c r="W606" s="50">
        <x:f t="shared" si="41"/>
        <x:v>0.415</x:v>
      </x:c>
      <x:c r="X606" s="62">
        <x:v>1.08</x:v>
      </x:c>
      <x:c r="Y606" s="62">
        <x:v>0</x:v>
      </x:c>
      <x:c r="Z606" s="62">
        <x:v>0.8</x:v>
      </x:c>
      <x:c r="AA606" s="62">
        <x:v>0</x:v>
      </x:c>
      <x:c r="AB606" s="62">
        <x:v>0.8</x:v>
      </x:c>
      <x:c r="AC606" s="62">
        <x:v>1.06</x:v>
      </x:c>
      <x:c r="AD606" s="60">
        <x:v>2.67</x:v>
      </x:c>
      <x:c r="AE606" s="60">
        <x:v>3.26</x:v>
      </x:c>
      <x:c r="AF606" s="60">
        <x:v>2.47</x:v>
      </x:c>
      <x:c r="AG606" s="62">
        <x:v>0.086138601058803</x:v>
      </x:c>
      <x:c r="AH606" s="62">
        <x:v>0.036138601058803</x:v>
      </x:c>
      <x:c r="AI606" s="62">
        <x:v>0.344828767563262</x:v>
      </x:c>
      <x:c r="AJ606" s="62">
        <x:v>0.282421107176046</x:v>
      </x:c>
      <x:c r="AK606" s="62">
        <x:v>0.372750125260692</x:v>
      </x:c>
      <x:c r="AL606" s="62">
        <x:v>1.13</x:v>
      </x:c>
      <x:c r="AM606" s="62">
        <x:v>1.19</x:v>
      </x:c>
      <x:c r="AN606" s="62">
        <x:v>0.000700008008144843</x:v>
      </x:c>
      <x:c r="AO606" s="62">
        <x:v>1.29837284761649</x:v>
      </x:c>
      <x:c r="AP606" s="62">
        <x:v>-0.238372847616486</x:v>
      </x:c>
      <x:c r="AQ606" s="62" t="s">
        <x:v>99</x:v>
      </x:c>
      <x:c r="AR606" s="49">
        <x:v>-0.25</x:v>
      </x:c>
      <x:c r="AS606" s="62">
        <x:v>0.37372663650821</x:v>
      </x:c>
      <x:c r="AT606" s="62">
        <x:v>0.485236517273296</x:v>
      </x:c>
      <x:c r="AU606" s="60">
        <x:v>2.86</x:v>
      </x:c>
      <x:c r="AV606" s="60">
        <x:v>3.21</x:v>
      </x:c>
      <x:c r="AW606" s="60">
        <x:v>2.42</x:v>
      </x:c>
      <x:c r="AX606" s="49" t="s">
        <x:v>1890</x:v>
      </x:c>
      <x:c r="AY606" s="49" t="s">
        <x:v>2093</x:v>
      </x:c>
    </x:row>
    <x:row r="607" ht="22" customHeight="1">
      <x:c r="A607" s="49" t="s">
        <x:v>2378</x:v>
      </x:c>
      <x:c r="B607" s="49" t="s">
        <x:v>2454</x:v>
      </x:c>
      <x:c r="C607" s="49" t="s">
        <x:v>89</x:v>
      </x:c>
      <x:c r="D607" s="49" t="s">
        <x:v>116</x:v>
      </x:c>
      <x:c r="E607" s="49" t="s">
        <x:v>622</x:v>
      </x:c>
      <x:c r="F607" s="49" t="s">
        <x:v>2455</x:v>
      </x:c>
      <x:c r="G607" s="60">
        <x:v>0.84</x:v>
      </x:c>
      <x:c r="H607" s="60">
        <x:v>1</x:v>
      </x:c>
      <x:c r="I607" s="60">
        <x:v>1.05</x:v>
      </x:c>
      <x:c r="J607" s="49" t="s">
        <x:v>925</x:v>
      </x:c>
      <x:c r="K607" s="49" t="s">
        <x:v>106</x:v>
      </x:c>
      <x:c r="L607" s="49" t="s">
        <x:v>2456</x:v>
      </x:c>
      <x:c r="M607" s="61">
        <x:v>0.576</x:v>
      </x:c>
      <x:c r="N607" s="49" t="s">
        <x:v>1888</x:v>
      </x:c>
      <x:c r="O607" s="49" t="s">
        <x:v>126</x:v>
      </x:c>
      <x:c r="P607" s="49" t="s">
        <x:v>30</x:v>
      </x:c>
      <x:c r="Q607" s="64" t="s">
        <x:v>23</x:v>
      </x:c>
      <x:c r="R607" s="50">
        <x:v>0.84</x:v>
      </x:c>
      <x:c r="S607" s="50">
        <x:f t="shared" si="40"/>
        <x:v>-1</x:v>
      </x:c>
      <x:c r="T607" s="49" t="s">
        <x:v>2457</x:v>
      </x:c>
      <x:c r="U607" s="49" t="str">
        <x:f t="shared" si="38"/>
        <x:v>红</x:v>
      </x:c>
      <x:c r="V607" s="50">
        <x:f t="shared" si="39"/>
        <x:v>1.05</x:v>
      </x:c>
      <x:c r="W607" s="50">
        <x:f t="shared" si="41"/>
        <x:v>1.05</x:v>
      </x:c>
      <x:c r="X607" s="62">
        <x:v>0.94</x:v>
      </x:c>
      <x:c r="Y607" s="62">
        <x:v>1</x:v>
      </x:c>
      <x:c r="Z607" s="62">
        <x:v>0.94</x:v>
      </x:c>
      <x:c r="AA607" s="62">
        <x:v>-1</x:v>
      </x:c>
      <x:c r="AB607" s="62">
        <x:v>0.94</x:v>
      </x:c>
      <x:c r="AC607" s="62">
        <x:v>0.84</x:v>
      </x:c>
      <x:c r="AD607" s="60">
        <x:v>1.55</x:v>
      </x:c>
      <x:c r="AE607" s="60">
        <x:v>3.85</x:v>
      </x:c>
      <x:c r="AF607" s="60">
        <x:v>5.95</x:v>
      </x:c>
      <x:c r="AG607" s="62">
        <x:v>0.0729687769535967</x:v>
      </x:c>
      <x:c r="AH607" s="62">
        <x:v>0.0229687769535967</x:v>
      </x:c>
      <x:c r="AI607" s="62">
        <x:v>0.601286173633441</x:v>
      </x:c>
      <x:c r="AJ607" s="62">
        <x:v>0.242076251722554</x:v>
      </x:c>
      <x:c r="AK607" s="62">
        <x:v>0.156637574644005</x:v>
      </x:c>
      <x:c r="AL607" s="62">
        <x:v>1.65</x:v>
      </x:c>
      <x:c r="AM607" s="62">
        <x:v>0.7</x:v>
      </x:c>
      <x:c r="AN607" s="62">
        <x:v>0.000826426280994506</x:v>
      </x:c>
      <x:c r="AO607" s="62">
        <x:v>1.18707479451649</x:v>
      </x:c>
      <x:c r="AP607" s="62">
        <x:v>-0.347074794516486</x:v>
      </x:c>
      <x:c r="AQ607" s="62" t="s">
        <x:v>99</x:v>
      </x:c>
      <x:c r="AR607" s="49">
        <x:v>-1</x:v>
      </x:c>
      <x:c r="AS607" s="62">
        <x:v>0.334916640693187</x:v>
      </x:c>
      <x:c r="AT607" s="62">
        <x:v>0.397571102431017</x:v>
      </x:c>
      <x:c r="AU607" s="60">
        <x:v>1.44</x:v>
      </x:c>
      <x:c r="AV607" s="60">
        <x:v>4.32</x:v>
      </x:c>
      <x:c r="AW607" s="60">
        <x:v>7.24</x:v>
      </x:c>
      <x:c r="AX607" s="49" t="s">
        <x:v>1890</x:v>
      </x:c>
      <x:c r="AY607" s="49" t="s">
        <x:v>2093</x:v>
      </x:c>
    </x:row>
    <x:row r="608" ht="22" customHeight="1">
      <x:c r="A608" s="49" t="s">
        <x:v>2378</x:v>
      </x:c>
      <x:c r="B608" s="49" t="s">
        <x:v>2458</x:v>
      </x:c>
      <x:c r="C608" s="49" t="s">
        <x:v>89</x:v>
      </x:c>
      <x:c r="D608" s="49" t="s">
        <x:v>116</x:v>
      </x:c>
      <x:c r="E608" s="49" t="s">
        <x:v>1483</x:v>
      </x:c>
      <x:c r="F608" s="49" t="s">
        <x:v>2459</x:v>
      </x:c>
      <x:c r="G608" s="60">
        <x:v>0.93</x:v>
      </x:c>
      <x:c r="H608" s="60">
        <x:v>0.25</x:v>
      </x:c>
      <x:c r="I608" s="60">
        <x:v>0.96</x:v>
      </x:c>
      <x:c r="J608" s="49" t="s">
        <x:v>2460</x:v>
      </x:c>
      <x:c r="K608" s="49" t="s">
        <x:v>132</x:v>
      </x:c>
      <x:c r="L608" s="49" t="s">
        <x:v>2461</x:v>
      </x:c>
      <x:c r="M608" s="61">
        <x:v>0.555</x:v>
      </x:c>
      <x:c r="N608" s="49" t="s">
        <x:v>1888</x:v>
      </x:c>
      <x:c r="O608" s="49" t="s">
        <x:v>126</x:v>
      </x:c>
      <x:c r="P608" s="49" t="s">
        <x:v>30</x:v>
      </x:c>
      <x:c r="Q608" s="63" t="s">
        <x:v>14</x:v>
      </x:c>
      <x:c r="R608" s="50">
        <x:v>0.96</x:v>
      </x:c>
      <x:c r="S608" s="50">
        <x:f t="shared" si="40"/>
        <x:v>0.48</x:v>
      </x:c>
      <x:c r="T608" s="49" t="s">
        <x:v>2462</x:v>
      </x:c>
      <x:c r="U608" s="49" t="str">
        <x:f t="shared" si="38"/>
        <x:v>半黑</x:v>
      </x:c>
      <x:c r="V608" s="50">
        <x:f t="shared" si="39"/>
        <x:v>0.93</x:v>
      </x:c>
      <x:c r="W608" s="50">
        <x:f t="shared" si="41"/>
        <x:v>-0.5</x:v>
      </x:c>
      <x:c r="X608" s="62">
        <x:v>0.9</x:v>
      </x:c>
      <x:c r="Y608" s="62">
        <x:v>0.75</x:v>
      </x:c>
      <x:c r="Z608" s="62">
        <x:v>0.98</x:v>
      </x:c>
      <x:c r="AA608" s="62">
        <x:v>0.75</x:v>
      </x:c>
      <x:c r="AB608" s="62">
        <x:v>0.98</x:v>
      </x:c>
      <x:c r="AC608" s="62">
        <x:v>0.96</x:v>
      </x:c>
      <x:c r="AD608" s="60">
        <x:v>1.62</x:v>
      </x:c>
      <x:c r="AE608" s="60">
        <x:v>4.3</x:v>
      </x:c>
      <x:c r="AF608" s="60">
        <x:v>4.55</x:v>
      </x:c>
      <x:c r="AG608" s="62">
        <x:v>0.0696223099323874</x:v>
      </x:c>
      <x:c r="AH608" s="62">
        <x:v>0.0196223099323874</x:v>
      </x:c>
      <x:c r="AI608" s="62">
        <x:v>0.57710459559908</x:v>
      </x:c>
      <x:c r="AJ608" s="62">
        <x:v>0.217420801132677</x:v>
      </x:c>
      <x:c r="AK608" s="62">
        <x:v>0.205474603268244</x:v>
      </x:c>
      <x:c r="AL608" s="62">
        <x:v>1.95</x:v>
      </x:c>
      <x:c r="AM608" s="62">
        <x:v>1.08</x:v>
      </x:c>
      <x:c r="AN608" s="62">
        <x:v>0.00077403243616509</x:v>
      </x:c>
      <x:c r="AO608" s="62">
        <x:v>1.82858788901583</x:v>
      </x:c>
      <x:c r="AP608" s="62">
        <x:v>-0.868587889015831</x:v>
      </x:c>
      <x:c r="AQ608" s="62" t="s">
        <x:v>289</x:v>
      </x:c>
      <x:c r="AR608" s="49">
        <x:v>0.25</x:v>
      </x:c>
      <x:c r="AS608" s="62">
        <x:v>0.315002619896174</x:v>
      </x:c>
      <x:c r="AT608" s="62">
        <x:v>0.576009975750401</x:v>
      </x:c>
      <x:c r="AU608" s="60">
        <x:v>2.06</x:v>
      </x:c>
      <x:c r="AV608" s="60">
        <x:v>3.91</x:v>
      </x:c>
      <x:c r="AW608" s="60">
        <x:v>3.09</x:v>
      </x:c>
      <x:c r="AX608" s="49" t="s">
        <x:v>1890</x:v>
      </x:c>
      <x:c r="AY608" s="49" t="s">
        <x:v>2093</x:v>
      </x:c>
    </x:row>
    <x:row r="609" ht="22" customHeight="1">
      <x:c r="A609" s="49" t="s">
        <x:v>2378</x:v>
      </x:c>
      <x:c r="B609" s="49" t="s">
        <x:v>2463</x:v>
      </x:c>
      <x:c r="C609" s="49" t="s">
        <x:v>89</x:v>
      </x:c>
      <x:c r="D609" s="49" t="s">
        <x:v>116</x:v>
      </x:c>
      <x:c r="E609" s="49" t="s">
        <x:v>831</x:v>
      </x:c>
      <x:c r="F609" s="49" t="s">
        <x:v>2464</x:v>
      </x:c>
      <x:c r="G609" s="60">
        <x:v>0.85</x:v>
      </x:c>
      <x:c r="H609" s="60">
        <x:v>0.5</x:v>
      </x:c>
      <x:c r="I609" s="60">
        <x:v>0.99</x:v>
      </x:c>
      <x:c r="J609" s="49" t="s">
        <x:v>2465</x:v>
      </x:c>
      <x:c r="K609" s="49" t="s">
        <x:v>132</x:v>
      </x:c>
      <x:c r="L609" s="49" t="s">
        <x:v>2466</x:v>
      </x:c>
      <x:c r="M609" s="61">
        <x:v>0.555</x:v>
      </x:c>
      <x:c r="N609" s="49" t="s">
        <x:v>1888</x:v>
      </x:c>
      <x:c r="O609" s="49" t="s">
        <x:v>1241</x:v>
      </x:c>
      <x:c r="P609" s="49" t="s">
        <x:v>30</x:v>
      </x:c>
      <x:c r="Q609" s="64" t="s">
        <x:v>23</x:v>
      </x:c>
      <x:c r="R609" s="50">
        <x:v>0.99</x:v>
      </x:c>
      <x:c r="S609" s="50">
        <x:f t="shared" si="40"/>
        <x:v>-1</x:v>
      </x:c>
      <x:c r="T609" s="49" t="s">
        <x:v>2467</x:v>
      </x:c>
      <x:c r="U609" s="49" t="str">
        <x:f t="shared" si="38"/>
        <x:v>红</x:v>
      </x:c>
      <x:c r="V609" s="50">
        <x:f t="shared" si="39"/>
        <x:v>0.85</x:v>
      </x:c>
      <x:c r="W609" s="50">
        <x:f t="shared" si="41"/>
        <x:v>0.85</x:v>
      </x:c>
      <x:c r="X609" s="62">
        <x:v>0.87</x:v>
      </x:c>
      <x:c r="Y609" s="62">
        <x:v>0.75</x:v>
      </x:c>
      <x:c r="Z609" s="62">
        <x:v>0.89</x:v>
      </x:c>
      <x:c r="AA609" s="62">
        <x:v>0.75</x:v>
      </x:c>
      <x:c r="AB609" s="62">
        <x:v>0.89</x:v>
      </x:c>
      <x:c r="AC609" s="62">
        <x:v>0.99</x:v>
      </x:c>
      <x:c r="AD609" s="60">
        <x:v>1.76</x:v>
      </x:c>
      <x:c r="AE609" s="60">
        <x:v>4.05</x:v>
      </x:c>
      <x:c r="AF609" s="60">
        <x:v>3.58</x:v>
      </x:c>
      <x:c r="AG609" s="62">
        <x:v>0.0944250073672792</x:v>
      </x:c>
      <x:c r="AH609" s="62">
        <x:v>0.0444250073672792</x:v>
      </x:c>
      <x:c r="AI609" s="62">
        <x:v>0.519160120023776</x:v>
      </x:c>
      <x:c r="AJ609" s="62">
        <x:v>0.225610323763419</x:v>
      </x:c>
      <x:c r="AK609" s="62">
        <x:v>0.255229556212806</x:v>
      </x:c>
      <x:c r="AL609" s="62">
        <x:v>1.87</x:v>
      </x:c>
      <x:c r="AM609" s="62">
        <x:v>1.25</x:v>
      </x:c>
      <x:c r="AN609" s="62">
        <x:v>0.000194487660738002</x:v>
      </x:c>
      <x:c r="AO609" s="62">
        <x:v>1.07939732448793</x:v>
      </x:c>
      <x:c r="AP609" s="62">
        <x:v>-0.0893973244879309</x:v>
      </x:c>
      <x:c r="AQ609" s="62" t="s">
        <x:v>289</x:v>
      </x:c>
      <x:c r="AR609" s="49">
        <x:v>0.5</x:v>
      </x:c>
      <x:c r="AS609" s="62">
        <x:v>0.480908572990618</x:v>
      </x:c>
      <x:c r="AT609" s="62">
        <x:v>0.519091427009382</x:v>
      </x:c>
      <x:c r="AU609" s="60">
        <x:v>1.83</x:v>
      </x:c>
      <x:c r="AV609" s="60">
        <x:v>3.91</x:v>
      </x:c>
      <x:c r="AW609" s="60">
        <x:v>3.47</x:v>
      </x:c>
      <x:c r="AX609" s="49" t="s">
        <x:v>1890</x:v>
      </x:c>
      <x:c r="AY609" s="49" t="s">
        <x:v>2093</x:v>
      </x:c>
    </x:row>
    <x:row r="610" ht="22" customHeight="1">
      <x:c r="A610" s="49" t="s">
        <x:v>2378</x:v>
      </x:c>
      <x:c r="B610" s="49" t="s">
        <x:v>2463</x:v>
      </x:c>
      <x:c r="C610" s="49" t="s">
        <x:v>89</x:v>
      </x:c>
      <x:c r="D610" s="49" t="s">
        <x:v>116</x:v>
      </x:c>
      <x:c r="E610" s="49" t="s">
        <x:v>831</x:v>
      </x:c>
      <x:c r="F610" s="49" t="s">
        <x:v>2468</x:v>
      </x:c>
      <x:c r="G610" s="60">
        <x:v>0.87</x:v>
      </x:c>
      <x:c r="H610" s="60">
        <x:v>1.75</x:v>
      </x:c>
      <x:c r="I610" s="60">
        <x:v>0.97</x:v>
      </x:c>
      <x:c r="J610" s="49" t="s">
        <x:v>2469</x:v>
      </x:c>
      <x:c r="K610" s="49" t="s">
        <x:v>132</x:v>
      </x:c>
      <x:c r="L610" s="49" t="s">
        <x:v>2470</x:v>
      </x:c>
      <x:c r="M610" s="61">
        <x:v>0.555</x:v>
      </x:c>
      <x:c r="N610" s="49" t="s">
        <x:v>1888</x:v>
      </x:c>
      <x:c r="O610" s="49" t="s">
        <x:v>1241</x:v>
      </x:c>
      <x:c r="P610" s="49" t="s">
        <x:v>30</x:v>
      </x:c>
      <x:c r="Q610" s="64" t="s">
        <x:v>23</x:v>
      </x:c>
      <x:c r="R610" s="50">
        <x:v>0.97</x:v>
      </x:c>
      <x:c r="S610" s="50">
        <x:f t="shared" si="40"/>
        <x:v>-1</x:v>
      </x:c>
      <x:c r="T610" s="49" t="s">
        <x:v>2471</x:v>
      </x:c>
      <x:c r="U610" s="49" t="str">
        <x:f t="shared" si="38"/>
        <x:v>红</x:v>
      </x:c>
      <x:c r="V610" s="50">
        <x:f t="shared" si="39"/>
        <x:v>0.87</x:v>
      </x:c>
      <x:c r="W610" s="50">
        <x:f t="shared" si="41"/>
        <x:v>0.87</x:v>
      </x:c>
      <x:c r="X610" s="62">
        <x:v>0.96</x:v>
      </x:c>
      <x:c r="Y610" s="62">
        <x:v>2</x:v>
      </x:c>
      <x:c r="Z610" s="62">
        <x:v>0.8</x:v>
      </x:c>
      <x:c r="AA610" s="62">
        <x:v>2</x:v>
      </x:c>
      <x:c r="AB610" s="62">
        <x:v>0.8</x:v>
      </x:c>
      <x:c r="AC610" s="62">
        <x:v>0.97</x:v>
      </x:c>
      <x:c r="AD610" s="60">
        <x:v>1.26</x:v>
      </x:c>
      <x:c r="AE610" s="60">
        <x:v>5.49</x:v>
      </x:c>
      <x:c r="AF610" s="60">
        <x:v>7.99</x:v>
      </x:c>
      <x:c r="AG610" s="62">
        <x:v>0.100956601684971</x:v>
      </x:c>
      <x:c r="AH610" s="62">
        <x:v>0.0509566016849712</x:v>
      </x:c>
      <x:c r="AI610" s="62">
        <x:v>0.720873822307021</x:v>
      </x:c>
      <x:c r="AJ610" s="62">
        <x:v>0.165446451021283</x:v>
      </x:c>
      <x:c r="AK610" s="62">
        <x:v>0.113679726671695</x:v>
      </x:c>
      <x:c r="AL610" s="62">
        <x:v>2.45</x:v>
      </x:c>
      <x:c r="AM610" s="62">
        <x:v>0.87</x:v>
      </x:c>
      <x:c r="AN610" s="62">
        <x:v>6.89032353570032e-5</x:v>
      </x:c>
      <x:c r="AO610" s="62">
        <x:v>0.782340047158391</x:v>
      </x:c>
      <x:c r="AP610" s="62">
        <x:v>0.187659952841609</x:v>
      </x:c>
      <x:c r="AQ610" s="62" t="s">
        <x:v>142</x:v>
      </x:c>
      <x:c r="AR610" s="49">
        <x:v>1.75</x:v>
      </x:c>
      <x:c r="AS610" s="62">
        <x:v>0.502336630198392</x:v>
      </x:c>
      <x:c r="AT610" s="62">
        <x:v>0.392998062958797</x:v>
      </x:c>
      <x:c r="AU610" s="60">
        <x:v>1.27</x:v>
      </x:c>
      <x:c r="AV610" s="60">
        <x:v>5.74</x:v>
      </x:c>
      <x:c r="AW610" s="60">
        <x:v>8.14</x:v>
      </x:c>
      <x:c r="AX610" s="49" t="s">
        <x:v>1890</x:v>
      </x:c>
      <x:c r="AY610" s="49" t="s">
        <x:v>2093</x:v>
      </x:c>
    </x:row>
    <x:row r="611" ht="22" customHeight="1">
      <x:c r="A611" s="49" t="s">
        <x:v>2378</x:v>
      </x:c>
      <x:c r="B611" s="49" t="s">
        <x:v>2463</x:v>
      </x:c>
      <x:c r="C611" s="49" t="s">
        <x:v>89</x:v>
      </x:c>
      <x:c r="D611" s="49" t="s">
        <x:v>116</x:v>
      </x:c>
      <x:c r="E611" s="49" t="s">
        <x:v>831</x:v>
      </x:c>
      <x:c r="F611" s="49" t="s">
        <x:v>2472</x:v>
      </x:c>
      <x:c r="G611" s="60">
        <x:v>0.84</x:v>
      </x:c>
      <x:c r="H611" s="60">
        <x:v>1.5</x:v>
      </x:c>
      <x:c r="I611" s="60">
        <x:v>1</x:v>
      </x:c>
      <x:c r="J611" s="49" t="s">
        <x:v>2473</x:v>
      </x:c>
      <x:c r="K611" s="49" t="s">
        <x:v>106</x:v>
      </x:c>
      <x:c r="L611" s="49" t="s">
        <x:v>2474</x:v>
      </x:c>
      <x:c r="M611" s="61">
        <x:v>0.576</x:v>
      </x:c>
      <x:c r="N611" s="49" t="s">
        <x:v>1888</x:v>
      </x:c>
      <x:c r="O611" s="49" t="s">
        <x:v>231</x:v>
      </x:c>
      <x:c r="P611" s="49" t="s">
        <x:v>30</x:v>
      </x:c>
      <x:c r="Q611" s="64" t="s">
        <x:v>23</x:v>
      </x:c>
      <x:c r="R611" s="50">
        <x:v>0.84</x:v>
      </x:c>
      <x:c r="S611" s="50">
        <x:f t="shared" si="40"/>
        <x:v>-1</x:v>
      </x:c>
      <x:c r="T611" s="49" t="s">
        <x:v>2475</x:v>
      </x:c>
      <x:c r="U611" s="49" t="str">
        <x:f t="shared" si="38"/>
        <x:v>红</x:v>
      </x:c>
      <x:c r="V611" s="50">
        <x:f t="shared" si="39"/>
        <x:v>1</x:v>
      </x:c>
      <x:c r="W611" s="50">
        <x:f t="shared" si="41"/>
        <x:v>1</x:v>
      </x:c>
      <x:c r="X611" s="62">
        <x:v>0.8</x:v>
      </x:c>
      <x:c r="Y611" s="62">
        <x:v>1.25</x:v>
      </x:c>
      <x:c r="Z611" s="62">
        <x:v>0.96</x:v>
      </x:c>
      <x:c r="AA611" s="62">
        <x:v>-1.25</x:v>
      </x:c>
      <x:c r="AB611" s="62">
        <x:v>0.8</x:v>
      </x:c>
      <x:c r="AC611" s="62">
        <x:v>0.84</x:v>
      </x:c>
      <x:c r="AD611" s="60">
        <x:v>1.4</x:v>
      </x:c>
      <x:c r="AE611" s="60">
        <x:v>4.96</x:v>
      </x:c>
      <x:c r="AF611" s="60">
        <x:v>5.48</x:v>
      </x:c>
      <x:c r="AG611" s="62">
        <x:v>0.0983803693363383</x:v>
      </x:c>
      <x:c r="AH611" s="62">
        <x:v>0.0483803693363383</x:v>
      </x:c>
      <x:c r="AI611" s="62">
        <x:v>0.650308157562301</x:v>
      </x:c>
      <x:c r="AJ611" s="62">
        <x:v>0.183554721892585</x:v>
      </x:c>
      <x:c r="AK611" s="62">
        <x:v>0.166137120545114</x:v>
      </x:c>
      <x:c r="AL611" s="62">
        <x:v>2.39</x:v>
      </x:c>
      <x:c r="AM611" s="62">
        <x:v>1.14</x:v>
      </x:c>
      <x:c r="AN611" s="62">
        <x:v>0.000323267036429625</x:v>
      </x:c>
      <x:c r="AO611" s="62">
        <x:v>1.32408221494271</x:v>
      </x:c>
      <x:c r="AP611" s="62">
        <x:v>-0.484082214942714</x:v>
      </x:c>
      <x:c r="AQ611" s="62" t="s">
        <x:v>99</x:v>
      </x:c>
      <x:c r="AR611" s="49">
        <x:v>-1.5</x:v>
      </x:c>
      <x:c r="AS611" s="62">
        <x:v>0.430277377267675</x:v>
      </x:c>
      <x:c r="AT611" s="62">
        <x:v>0.569722622732325</x:v>
      </x:c>
      <x:c r="AU611" s="60">
        <x:v>1.32</x:v>
      </x:c>
      <x:c r="AV611" s="60">
        <x:v>5.58</x:v>
      </x:c>
      <x:c r="AW611" s="60">
        <x:v>6.5</x:v>
      </x:c>
      <x:c r="AX611" s="49" t="s">
        <x:v>1890</x:v>
      </x:c>
      <x:c r="AY611" s="49" t="s">
        <x:v>2093</x:v>
      </x:c>
    </x:row>
    <x:row r="612" ht="22" customHeight="1">
      <x:c r="A612" s="49" t="s">
        <x:v>2378</x:v>
      </x:c>
      <x:c r="B612" s="49" t="s">
        <x:v>2463</x:v>
      </x:c>
      <x:c r="C612" s="49" t="s">
        <x:v>89</x:v>
      </x:c>
      <x:c r="D612" s="49" t="s">
        <x:v>116</x:v>
      </x:c>
      <x:c r="E612" s="49" t="s">
        <x:v>831</x:v>
      </x:c>
      <x:c r="F612" s="49" t="s">
        <x:v>2476</x:v>
      </x:c>
      <x:c r="G612" s="60">
        <x:v>0.87</x:v>
      </x:c>
      <x:c r="H612" s="60">
        <x:v>1.5</x:v>
      </x:c>
      <x:c r="I612" s="60">
        <x:v>0.97</x:v>
      </x:c>
      <x:c r="J612" s="49" t="s">
        <x:v>2477</x:v>
      </x:c>
      <x:c r="K612" s="49" t="s">
        <x:v>132</x:v>
      </x:c>
      <x:c r="L612" s="49" t="s">
        <x:v>2478</x:v>
      </x:c>
      <x:c r="M612" s="61">
        <x:v>0.555</x:v>
      </x:c>
      <x:c r="N612" s="49" t="s">
        <x:v>1888</x:v>
      </x:c>
      <x:c r="O612" s="49" t="s">
        <x:v>173</x:v>
      </x:c>
      <x:c r="P612" s="49" t="s">
        <x:v>30</x:v>
      </x:c>
      <x:c r="Q612" s="64" t="s">
        <x:v>23</x:v>
      </x:c>
      <x:c r="R612" s="50">
        <x:v>0.97</x:v>
      </x:c>
      <x:c r="S612" s="50">
        <x:f t="shared" si="40"/>
        <x:v>-1</x:v>
      </x:c>
      <x:c r="T612" s="49" t="s">
        <x:v>2479</x:v>
      </x:c>
      <x:c r="U612" s="49" t="str">
        <x:f t="shared" si="38"/>
        <x:v>红</x:v>
      </x:c>
      <x:c r="V612" s="50">
        <x:f t="shared" si="39"/>
        <x:v>0.87</x:v>
      </x:c>
      <x:c r="W612" s="50">
        <x:f t="shared" si="41"/>
        <x:v>0.87</x:v>
      </x:c>
      <x:c r="X612" s="62">
        <x:v>0.78</x:v>
      </x:c>
      <x:c r="Y612" s="62">
        <x:v>1.75</x:v>
      </x:c>
      <x:c r="Z612" s="62">
        <x:v>0.98</x:v>
      </x:c>
      <x:c r="AA612" s="62">
        <x:v>1.75</x:v>
      </x:c>
      <x:c r="AB612" s="62">
        <x:v>0.98</x:v>
      </x:c>
      <x:c r="AC612" s="62">
        <x:v>0.97</x:v>
      </x:c>
      <x:c r="AD612" s="60">
        <x:v>1.27</x:v>
      </x:c>
      <x:c r="AE612" s="60">
        <x:v>5.77</x:v>
      </x:c>
      <x:c r="AF612" s="60">
        <x:v>7.39</x:v>
      </x:c>
      <x:c r="AG612" s="62">
        <x:v>0.0960297974000826</x:v>
      </x:c>
      <x:c r="AH612" s="62">
        <x:v>0.0460297974000825</x:v>
      </x:c>
      <x:c r="AI612" s="62">
        <x:v>0.718412562022459</x:v>
      </x:c>
      <x:c r="AJ612" s="62">
        <x:v>0.158125468590732</x:v>
      </x:c>
      <x:c r="AK612" s="62">
        <x:v>0.12346196938681</x:v>
      </x:c>
      <x:c r="AL612" s="62">
        <x:v>2.65</x:v>
      </x:c>
      <x:c r="AM612" s="62">
        <x:v>1.03</x:v>
      </x:c>
      <x:c r="AN612" s="62">
        <x:v>7.93391080147936e-5</x:v>
      </x:c>
      <x:c r="AO612" s="62">
        <x:v>1.03277485005611</x:v>
      </x:c>
      <x:c r="AP612" s="62">
        <x:v>-0.0627748500561087</x:v>
      </x:c>
      <x:c r="AQ612" s="62" t="s">
        <x:v>289</x:v>
      </x:c>
      <x:c r="AR612" s="49">
        <x:v>1.5</x:v>
      </x:c>
      <x:c r="AS612" s="62">
        <x:v>0.491938396410403</x:v>
      </x:c>
      <x:c r="AT612" s="62">
        <x:v>0.508061603589597</x:v>
      </x:c>
      <x:c r="AU612" s="60">
        <x:v>1.32</x:v>
      </x:c>
      <x:c r="AV612" s="60">
        <x:v>5.4</x:v>
      </x:c>
      <x:c r="AW612" s="60">
        <x:v>6.74</x:v>
      </x:c>
      <x:c r="AX612" s="49" t="s">
        <x:v>1890</x:v>
      </x:c>
      <x:c r="AY612" s="49" t="s">
        <x:v>2093</x:v>
      </x:c>
    </x:row>
    <x:row r="613" ht="22" customHeight="1">
      <x:c r="A613" s="49" t="s">
        <x:v>2378</x:v>
      </x:c>
      <x:c r="B613" s="49" t="s">
        <x:v>2463</x:v>
      </x:c>
      <x:c r="C613" s="49" t="s">
        <x:v>89</x:v>
      </x:c>
      <x:c r="D613" s="49" t="s">
        <x:v>116</x:v>
      </x:c>
      <x:c r="E613" s="49" t="s">
        <x:v>831</x:v>
      </x:c>
      <x:c r="F613" s="49" t="s">
        <x:v>2480</x:v>
      </x:c>
      <x:c r="G613" s="60">
        <x:v>1.02</x:v>
      </x:c>
      <x:c r="H613" s="60">
        <x:v>-1.75</x:v>
      </x:c>
      <x:c r="I613" s="60">
        <x:v>0.82</x:v>
      </x:c>
      <x:c r="J613" s="49" t="s">
        <x:v>2481</x:v>
      </x:c>
      <x:c r="K613" s="49" t="s">
        <x:v>106</x:v>
      </x:c>
      <x:c r="L613" s="49" t="s">
        <x:v>2482</x:v>
      </x:c>
      <x:c r="M613" s="61">
        <x:v>0.576</x:v>
      </x:c>
      <x:c r="N613" s="49" t="s">
        <x:v>1888</x:v>
      </x:c>
      <x:c r="O613" s="49" t="s">
        <x:v>114</x:v>
      </x:c>
      <x:c r="P613" s="49" t="s">
        <x:v>30</x:v>
      </x:c>
      <x:c r="Q613" s="63" t="s">
        <x:v>14</x:v>
      </x:c>
      <x:c r="R613" s="50">
        <x:v>0.82</x:v>
      </x:c>
      <x:c r="S613" s="50">
        <x:f t="shared" si="40"/>
        <x:v>0.41</x:v>
      </x:c>
      <x:c r="T613" s="49" t="s">
        <x:v>2483</x:v>
      </x:c>
      <x:c r="U613" s="49" t="str">
        <x:f t="shared" si="38"/>
        <x:v>半黑</x:v>
      </x:c>
      <x:c r="V613" s="50">
        <x:f t="shared" si="39"/>
        <x:v>1.02</x:v>
      </x:c>
      <x:c r="W613" s="50">
        <x:f t="shared" si="41"/>
        <x:v>-0.5</x:v>
      </x:c>
      <x:c r="X613" s="62">
        <x:v>0.86</x:v>
      </x:c>
      <x:c r="Y613" s="62">
        <x:v>-1.75</x:v>
      </x:c>
      <x:c r="Z613" s="62">
        <x:v>0.9</x:v>
      </x:c>
      <x:c r="AA613" s="62">
        <x:v>-1.75</x:v>
      </x:c>
      <x:c r="AB613" s="62">
        <x:v>0.9</x:v>
      </x:c>
      <x:c r="AC613" s="62">
        <x:v>0.82</x:v>
      </x:c>
      <x:c r="AD613" s="60">
        <x:v>6.8</x:v>
      </x:c>
      <x:c r="AE613" s="60">
        <x:v>5.39</x:v>
      </x:c>
      <x:c r="AF613" s="60">
        <x:v>1.31</x:v>
      </x:c>
      <x:c r="AG613" s="62">
        <x:v>0.0959463591126943</x:v>
      </x:c>
      <x:c r="AH613" s="62">
        <x:v>0.0459463591126943</x:v>
      </x:c>
      <x:c r="AI613" s="62">
        <x:v>0.134184325999745</x:v>
      </x:c>
      <x:c r="AJ613" s="62">
        <x:v>0.16928634820005</x:v>
      </x:c>
      <x:c r="AK613" s="62">
        <x:v>0.696529325800205</x:v>
      </x:c>
      <x:c r="AL613" s="62">
        <x:v>1.01</x:v>
      </x:c>
      <x:c r="AM613" s="62">
        <x:v>2.49</x:v>
      </x:c>
      <x:c r="AN613" s="62">
        <x:v>0.000239113330499033</x:v>
      </x:c>
      <x:c r="AO613" s="62">
        <x:v>1.38497104497362</x:v>
      </x:c>
      <x:c r="AP613" s="62">
        <x:v>-0.564971044973623</x:v>
      </x:c>
      <x:c r="AQ613" s="62" t="s">
        <x:v>99</x:v>
      </x:c>
      <x:c r="AR613" s="49">
        <x:v>-1.75</x:v>
      </x:c>
      <x:c r="AS613" s="62">
        <x:v>0.377077462499562</x:v>
      </x:c>
      <x:c r="AT613" s="62">
        <x:v>0.52224136727402</x:v>
      </x:c>
      <x:c r="AU613" s="60">
        <x:v>7.82</x:v>
      </x:c>
      <x:c r="AV613" s="60">
        <x:v>6.06</x:v>
      </x:c>
      <x:c r="AW613" s="60">
        <x:v>1.26</x:v>
      </x:c>
      <x:c r="AX613" s="49" t="s">
        <x:v>1890</x:v>
      </x:c>
      <x:c r="AY613" s="49" t="s">
        <x:v>2093</x:v>
      </x:c>
    </x:row>
    <x:row r="614" ht="22" customHeight="1">
      <x:c r="A614" s="49" t="s">
        <x:v>2378</x:v>
      </x:c>
      <x:c r="B614" s="49" t="s">
        <x:v>2463</x:v>
      </x:c>
      <x:c r="C614" s="49" t="s">
        <x:v>89</x:v>
      </x:c>
      <x:c r="D614" s="49" t="s">
        <x:v>116</x:v>
      </x:c>
      <x:c r="E614" s="49" t="s">
        <x:v>580</x:v>
      </x:c>
      <x:c r="F614" s="49" t="s">
        <x:v>2484</x:v>
      </x:c>
      <x:c r="G614" s="60">
        <x:v>0.84</x:v>
      </x:c>
      <x:c r="H614" s="60">
        <x:v>1.5</x:v>
      </x:c>
      <x:c r="I614" s="60">
        <x:v>1.05</x:v>
      </x:c>
      <x:c r="J614" s="49" t="s">
        <x:v>2485</x:v>
      </x:c>
      <x:c r="K614" s="49" t="s">
        <x:v>106</x:v>
      </x:c>
      <x:c r="L614" s="49" t="s">
        <x:v>608</x:v>
      </x:c>
      <x:c r="M614" s="61">
        <x:v>0.576</x:v>
      </x:c>
      <x:c r="N614" s="49" t="s">
        <x:v>1888</x:v>
      </x:c>
      <x:c r="O614" s="49" t="s">
        <x:v>141</x:v>
      </x:c>
      <x:c r="P614" s="49" t="s">
        <x:v>30</x:v>
      </x:c>
      <x:c r="Q614" s="63" t="s">
        <x:v>11</x:v>
      </x:c>
      <x:c r="R614" s="50">
        <x:v>0.84</x:v>
      </x:c>
      <x:c r="S614" s="50">
        <x:f t="shared" si="40"/>
        <x:v>0.84</x:v>
      </x:c>
      <x:c r="T614" s="49" t="s">
        <x:v>2486</x:v>
      </x:c>
      <x:c r="U614" s="49" t="str">
        <x:f t="shared" si="38"/>
        <x:v>黑</x:v>
      </x:c>
      <x:c r="V614" s="50">
        <x:f t="shared" si="39"/>
        <x:v>1.05</x:v>
      </x:c>
      <x:c r="W614" s="50">
        <x:f t="shared" si="41"/>
        <x:v>-1</x:v>
      </x:c>
      <x:c r="X614" s="62">
        <x:v>1.06</x:v>
      </x:c>
      <x:c r="Y614" s="62">
        <x:v>1.25</x:v>
      </x:c>
      <x:c r="Z614" s="62">
        <x:v>0.82</x:v>
      </x:c>
      <x:c r="AA614" s="62">
        <x:v>-1.25</x:v>
      </x:c>
      <x:c r="AB614" s="62">
        <x:v>1.06</x:v>
      </x:c>
      <x:c r="AC614" s="62">
        <x:v>0.84</x:v>
      </x:c>
      <x:c r="AD614" s="60">
        <x:v>1.46</x:v>
      </x:c>
      <x:c r="AE614" s="60">
        <x:v>4.68</x:v>
      </x:c>
      <x:c r="AF614" s="60">
        <x:v>5.5</x:v>
      </x:c>
      <x:c r="AG614" s="62">
        <x:v>0.0804249023427106</x:v>
      </x:c>
      <x:c r="AH614" s="62">
        <x:v>0.0304249023427106</x:v>
      </x:c>
      <x:c r="AI614" s="62">
        <x:v>0.633946427339986</x:v>
      </x:c>
      <x:c r="AJ614" s="62">
        <x:v>0.197769611947945</x:v>
      </x:c>
      <x:c r="AK614" s="62">
        <x:v>0.168283960712069</x:v>
      </x:c>
      <x:c r="AL614" s="62">
        <x:v>2.16</x:v>
      </x:c>
      <x:c r="AM614" s="62">
        <x:v>1.02</x:v>
      </x:c>
      <x:c r="AN614" s="62">
        <x:v>0.000141587624272597</x:v>
      </x:c>
      <x:c r="AO614" s="62">
        <x:v>1.49268962925256</x:v>
      </x:c>
      <x:c r="AP614" s="62">
        <x:v>-0.652689629252557</x:v>
      </x:c>
      <x:c r="AQ614" s="62" t="s">
        <x:v>99</x:v>
      </x:c>
      <x:c r="AR614" s="49">
        <x:v>-1.5</x:v>
      </x:c>
      <x:c r="AS614" s="62">
        <x:v>0.401173089607571</x:v>
      </x:c>
      <x:c r="AT614" s="62">
        <x:v>0.598826910392429</x:v>
      </x:c>
      <x:c r="AU614" s="60">
        <x:v>1.33</x:v>
      </x:c>
      <x:c r="AV614" s="60">
        <x:v>5.53</x:v>
      </x:c>
      <x:c r="AW614" s="60">
        <x:v>7.14</x:v>
      </x:c>
      <x:c r="AX614" s="49" t="s">
        <x:v>1890</x:v>
      </x:c>
      <x:c r="AY614" s="49" t="s">
        <x:v>2093</x:v>
      </x:c>
    </x:row>
    <x:row r="615" ht="22" customHeight="1">
      <x:c r="A615" s="49" t="s">
        <x:v>2378</x:v>
      </x:c>
      <x:c r="B615" s="49" t="s">
        <x:v>2487</x:v>
      </x:c>
      <x:c r="C615" s="49" t="s">
        <x:v>244</x:v>
      </x:c>
      <x:c r="D615" s="49" t="s">
        <x:v>116</x:v>
      </x:c>
      <x:c r="E615" s="49" t="s">
        <x:v>773</x:v>
      </x:c>
      <x:c r="F615" s="49" t="s">
        <x:v>2488</x:v>
      </x:c>
      <x:c r="G615" s="60">
        <x:v>0.84</x:v>
      </x:c>
      <x:c r="H615" s="60">
        <x:v>0.25</x:v>
      </x:c>
      <x:c r="I615" s="60">
        <x:v>0.98</x:v>
      </x:c>
      <x:c r="J615" s="49" t="s">
        <x:v>1247</x:v>
      </x:c>
      <x:c r="K615" s="49" t="s">
        <x:v>106</x:v>
      </x:c>
      <x:c r="L615" s="49" t="s">
        <x:v>1850</x:v>
      </x:c>
      <x:c r="M615" s="61">
        <x:v>0.592</x:v>
      </x:c>
      <x:c r="N615" s="49" t="s">
        <x:v>1888</x:v>
      </x:c>
      <x:c r="O615" s="49" t="s">
        <x:v>191</x:v>
      </x:c>
      <x:c r="P615" s="49" t="s">
        <x:v>30</x:v>
      </x:c>
      <x:c r="Q615" s="64" t="s">
        <x:v>23</x:v>
      </x:c>
      <x:c r="R615" s="50">
        <x:v>0.84</x:v>
      </x:c>
      <x:c r="S615" s="50">
        <x:f t="shared" si="40"/>
        <x:v>-1</x:v>
      </x:c>
      <x:c r="T615" s="49" t="s">
        <x:v>2489</x:v>
      </x:c>
      <x:c r="U615" s="49" t="str">
        <x:f t="shared" si="38"/>
        <x:v>红</x:v>
      </x:c>
      <x:c r="V615" s="50">
        <x:f t="shared" si="39"/>
        <x:v>0.98</x:v>
      </x:c>
      <x:c r="W615" s="50">
        <x:f t="shared" si="41"/>
        <x:v>0.98</x:v>
      </x:c>
      <x:c r="X615" s="62">
        <x:v>0.77</x:v>
      </x:c>
      <x:c r="Y615" s="62">
        <x:v>0.25</x:v>
      </x:c>
      <x:c r="Z615" s="62">
        <x:v>1.05</x:v>
      </x:c>
      <x:c r="AA615" s="62">
        <x:v>-0.25</x:v>
      </x:c>
      <x:c r="AB615" s="62">
        <x:v>0.77</x:v>
      </x:c>
      <x:c r="AC615" s="62">
        <x:v>0.84</x:v>
      </x:c>
      <x:c r="AD615" s="60">
        <x:v>2.17</x:v>
      </x:c>
      <x:c r="AE615" s="60">
        <x:v>2.94</x:v>
      </x:c>
      <x:c r="AF615" s="60">
        <x:v>3.31</x:v>
      </x:c>
      <x:c r="AG615" s="62">
        <x:v>0.103080351134704</x:v>
      </x:c>
      <x:c r="AH615" s="62">
        <x:v>0.0530803511347038</x:v>
      </x:c>
      <x:c r="AI615" s="62">
        <x:v>0.417766024581543</x:v>
      </x:c>
      <x:c r="AJ615" s="62">
        <x:v>0.308351113381615</x:v>
      </x:c>
      <x:c r="AK615" s="62">
        <x:v>0.273882862036842</x:v>
      </x:c>
      <x:c r="AL615" s="62">
        <x:v>1.11</x:v>
      </x:c>
      <x:c r="AM615" s="62">
        <x:v>0.84</x:v>
      </x:c>
      <x:c r="AN615" s="62">
        <x:v>0.000884251750848552</x:v>
      </x:c>
      <x:c r="AO615" s="62">
        <x:v>1.02940163893379</x:v>
      </x:c>
      <x:c r="AP615" s="62">
        <x:v>-0.189401638933788</x:v>
      </x:c>
      <x:c r="AQ615" s="62" t="s">
        <x:v>99</x:v>
      </x:c>
      <x:c r="AR615" s="49">
        <x:v>-0.25</x:v>
      </x:c>
      <x:c r="AS615" s="62">
        <x:v>0.416563677117703</x:v>
      </x:c>
      <x:c r="AT615" s="62">
        <x:v>0.428811331945249</x:v>
      </x:c>
      <x:c r="AU615" s="60">
        <x:v>2.04</x:v>
      </x:c>
      <x:c r="AV615" s="60">
        <x:v>2.94</x:v>
      </x:c>
      <x:c r="AW615" s="60">
        <x:v>3.72</x:v>
      </x:c>
      <x:c r="AX615" s="49" t="s">
        <x:v>1890</x:v>
      </x:c>
      <x:c r="AY615" s="49" t="s">
        <x:v>2093</x:v>
      </x:c>
    </x:row>
    <x:row r="616" ht="22" customHeight="1">
      <x:c r="A616" s="49" t="s">
        <x:v>2378</x:v>
      </x:c>
      <x:c r="B616" s="49" t="s">
        <x:v>2490</x:v>
      </x:c>
      <x:c r="C616" s="49" t="s">
        <x:v>333</x:v>
      </x:c>
      <x:c r="D616" s="49" t="s">
        <x:v>116</x:v>
      </x:c>
      <x:c r="E616" s="49" t="s">
        <x:v>602</x:v>
      </x:c>
      <x:c r="F616" s="49" t="s">
        <x:v>2491</x:v>
      </x:c>
      <x:c r="G616" s="60">
        <x:v>0.93</x:v>
      </x:c>
      <x:c r="H616" s="60">
        <x:v>0.75</x:v>
      </x:c>
      <x:c r="I616" s="60">
        <x:v>0.96</x:v>
      </x:c>
      <x:c r="J616" s="49" t="s">
        <x:v>2492</x:v>
      </x:c>
      <x:c r="K616" s="49" t="s">
        <x:v>132</x:v>
      </x:c>
      <x:c r="L616" s="49" t="s">
        <x:v>1091</x:v>
      </x:c>
      <x:c r="M616" s="61">
        <x:v>0.559</x:v>
      </x:c>
      <x:c r="N616" s="49" t="s">
        <x:v>1888</x:v>
      </x:c>
      <x:c r="O616" s="49" t="s">
        <x:v>161</x:v>
      </x:c>
      <x:c r="P616" s="49" t="s">
        <x:v>30</x:v>
      </x:c>
      <x:c r="Q616" s="63" t="s">
        <x:v>11</x:v>
      </x:c>
      <x:c r="R616" s="50">
        <x:v>0.93</x:v>
      </x:c>
      <x:c r="S616" s="50">
        <x:f t="shared" si="40"/>
        <x:v>0.93</x:v>
      </x:c>
      <x:c r="T616" s="49" t="s">
        <x:v>2493</x:v>
      </x:c>
      <x:c r="U616" s="49" t="str">
        <x:f t="shared" si="38"/>
        <x:v>黑</x:v>
      </x:c>
      <x:c r="V616" s="50">
        <x:f t="shared" si="39"/>
        <x:v>0.96</x:v>
      </x:c>
      <x:c r="W616" s="50">
        <x:f t="shared" si="41"/>
        <x:v>-1</x:v>
      </x:c>
      <x:c r="X616" s="62">
        <x:v>1.07</x:v>
      </x:c>
      <x:c r="Y616" s="62">
        <x:v>1</x:v>
      </x:c>
      <x:c r="Z616" s="62">
        <x:v>0.81</x:v>
      </x:c>
      <x:c r="AA616" s="62">
        <x:v>-1</x:v>
      </x:c>
      <x:c r="AB616" s="62">
        <x:v>1.07</x:v>
      </x:c>
      <x:c r="AC616" s="62">
        <x:v>0.93</x:v>
      </x:c>
      <x:c r="AD616" s="60">
        <x:v>1.64</x:v>
      </x:c>
      <x:c r="AE616" s="60">
        <x:v>3.91</x:v>
      </x:c>
      <x:c r="AF616" s="60">
        <x:v>5.01</x:v>
      </x:c>
      <x:c r="AG616" s="62">
        <x:v>0.065111371667494</x:v>
      </x:c>
      <x:c r="AH616" s="62">
        <x:v>0.015111371667494</x:v>
      </x:c>
      <x:c r="AI616" s="62">
        <x:v>0.572481069849406</x:v>
      </x:c>
      <x:c r="AJ616" s="62">
        <x:v>0.240119937225838</x:v>
      </x:c>
      <x:c r="AK616" s="62">
        <x:v>0.187398992924756</x:v>
      </x:c>
      <x:c r="AL616" s="62">
        <x:v>1.69</x:v>
      </x:c>
      <x:c r="AM616" s="62">
        <x:v>0.85</x:v>
      </x:c>
      <x:c r="AN616" s="62">
        <x:v>0.000295042525751663</x:v>
      </x:c>
      <x:c r="AO616" s="62">
        <x:v>0.958810762956497</x:v>
      </x:c>
      <x:c r="AP616" s="62">
        <x:v>-0.0288107629564966</x:v>
      </x:c>
      <x:c r="AQ616" s="62" t="s">
        <x:v>174</x:v>
      </x:c>
      <x:c r="AR616" s="49">
        <x:v>-0.75</x:v>
      </x:c>
      <x:c r="AS616" s="62">
        <x:v>0.445452470955352</x:v>
      </x:c>
      <x:c r="AT616" s="62">
        <x:v>0.427104623537558</x:v>
      </x:c>
      <x:c r="AU616" s="60">
        <x:v>1.71</x:v>
      </x:c>
      <x:c r="AV616" s="60">
        <x:v>3.78</x:v>
      </x:c>
      <x:c r="AW616" s="60">
        <x:v>4.96</x:v>
      </x:c>
      <x:c r="AX616" s="49" t="s">
        <x:v>1890</x:v>
      </x:c>
      <x:c r="AY616" s="49" t="s">
        <x:v>2093</x:v>
      </x:c>
    </x:row>
    <x:row r="617" ht="22" customHeight="1">
      <x:c r="A617" s="49" t="s">
        <x:v>2378</x:v>
      </x:c>
      <x:c r="B617" s="49" t="s">
        <x:v>2494</x:v>
      </x:c>
      <x:c r="C617" s="49" t="s">
        <x:v>333</x:v>
      </x:c>
      <x:c r="D617" s="49" t="s">
        <x:v>116</x:v>
      </x:c>
      <x:c r="E617" s="49" t="s">
        <x:v>953</x:v>
      </x:c>
      <x:c r="F617" s="49" t="s">
        <x:v>2495</x:v>
      </x:c>
      <x:c r="G617" s="60">
        <x:v>0.79</x:v>
      </x:c>
      <x:c r="H617" s="60">
        <x:v>0.25</x:v>
      </x:c>
      <x:c r="I617" s="60">
        <x:v>0.97</x:v>
      </x:c>
      <x:c r="J617" s="49" t="s">
        <x:v>2116</x:v>
      </x:c>
      <x:c r="K617" s="49" t="s">
        <x:v>106</x:v>
      </x:c>
      <x:c r="L617" s="49" t="s">
        <x:v>2496</x:v>
      </x:c>
      <x:c r="M617" s="61">
        <x:v>0.584</x:v>
      </x:c>
      <x:c r="N617" s="49" t="s">
        <x:v>1888</x:v>
      </x:c>
      <x:c r="O617" s="49" t="s">
        <x:v>169</x:v>
      </x:c>
      <x:c r="P617" s="49" t="s">
        <x:v>30</x:v>
      </x:c>
      <x:c r="Q617" s="64" t="s">
        <x:v>23</x:v>
      </x:c>
      <x:c r="R617" s="50">
        <x:v>0.79</x:v>
      </x:c>
      <x:c r="S617" s="50">
        <x:f t="shared" si="40"/>
        <x:v>-1</x:v>
      </x:c>
      <x:c r="T617" s="49" t="s">
        <x:v>2497</x:v>
      </x:c>
      <x:c r="U617" s="49" t="str">
        <x:f t="shared" si="38"/>
        <x:v>红</x:v>
      </x:c>
      <x:c r="V617" s="50">
        <x:f t="shared" si="39"/>
        <x:v>0.97</x:v>
      </x:c>
      <x:c r="W617" s="50">
        <x:f t="shared" si="41"/>
        <x:v>0.97</x:v>
      </x:c>
      <x:c r="X617" s="62">
        <x:v>0.76</x:v>
      </x:c>
      <x:c r="Y617" s="62">
        <x:v>0.25</x:v>
      </x:c>
      <x:c r="Z617" s="62">
        <x:v>0.94</x:v>
      </x:c>
      <x:c r="AA617" s="62">
        <x:v>-0.25</x:v>
      </x:c>
      <x:c r="AB617" s="62">
        <x:v>0.76</x:v>
      </x:c>
      <x:c r="AC617" s="62">
        <x:v>0.79</x:v>
      </x:c>
      <x:c r="AD617" s="60">
        <x:v>2.14</x:v>
      </x:c>
      <x:c r="AE617" s="60">
        <x:v>3.02</x:v>
      </x:c>
      <x:c r="AF617" s="60">
        <x:v>3.25</x:v>
      </x:c>
      <x:c r="AG617" s="62">
        <x:v>0.106107855133045</x:v>
      </x:c>
      <x:c r="AH617" s="62">
        <x:v>0.0561078551330454</x:v>
      </x:c>
      <x:c r="AI617" s="62">
        <x:v>0.422463069453531</x:v>
      </x:c>
      <x:c r="AJ617" s="62">
        <x:v>0.299361247890913</x:v>
      </x:c>
      <x:c r="AK617" s="62">
        <x:v>0.278175682655556</x:v>
      </x:c>
      <x:c r="AL617" s="62">
        <x:v>1.17</x:v>
      </x:c>
      <x:c r="AM617" s="62">
        <x:v>0.89</x:v>
      </x:c>
      <x:c r="AN617" s="62">
        <x:v>0.000262938524564525</x:v>
      </x:c>
      <x:c r="AO617" s="62">
        <x:v>1.01221635484812</x:v>
      </x:c>
      <x:c r="AP617" s="62">
        <x:v>-0.22221635484812</x:v>
      </x:c>
      <x:c r="AQ617" s="62" t="s">
        <x:v>99</x:v>
      </x:c>
      <x:c r="AR617" s="49">
        <x:v>-0.25</x:v>
      </x:c>
      <x:c r="AS617" s="62">
        <x:v>0.422670683583659</x:v>
      </x:c>
      <x:c r="AT617" s="62">
        <x:v>0.427834178638215</x:v>
      </x:c>
      <x:c r="AU617" s="60">
        <x:v>2.06</x:v>
      </x:c>
      <x:c r="AV617" s="60">
        <x:v>3.05</x:v>
      </x:c>
      <x:c r="AW617" s="60">
        <x:v>3.39</x:v>
      </x:c>
      <x:c r="AX617" s="49" t="s">
        <x:v>1890</x:v>
      </x:c>
      <x:c r="AY617" s="49" t="s">
        <x:v>2093</x:v>
      </x:c>
    </x:row>
    <x:row r="618" ht="22" customHeight="1">
      <x:c r="A618" s="49" t="s">
        <x:v>2378</x:v>
      </x:c>
      <x:c r="B618" s="49" t="s">
        <x:v>2498</x:v>
      </x:c>
      <x:c r="C618" s="49" t="s">
        <x:v>89</x:v>
      </x:c>
      <x:c r="D618" s="49" t="s">
        <x:v>116</x:v>
      </x:c>
      <x:c r="E618" s="49" t="s">
        <x:v>522</x:v>
      </x:c>
      <x:c r="F618" s="49" t="s">
        <x:v>2499</x:v>
      </x:c>
      <x:c r="G618" s="60">
        <x:v>0.98</x:v>
      </x:c>
      <x:c r="H618" s="60">
        <x:v>1</x:v>
      </x:c>
      <x:c r="I618" s="60">
        <x:v>0.91</x:v>
      </x:c>
      <x:c r="J618" s="49" t="s">
        <x:v>791</x:v>
      </x:c>
      <x:c r="K618" s="49" t="s">
        <x:v>132</x:v>
      </x:c>
      <x:c r="L618" s="49" t="s">
        <x:v>2500</x:v>
      </x:c>
      <x:c r="M618" s="61">
        <x:v>0.555</x:v>
      </x:c>
      <x:c r="N618" s="49" t="s">
        <x:v>1888</x:v>
      </x:c>
      <x:c r="O618" s="49" t="s">
        <x:v>141</x:v>
      </x:c>
      <x:c r="P618" s="49" t="s">
        <x:v>30</x:v>
      </x:c>
      <x:c r="Q618" s="64" t="s">
        <x:v>23</x:v>
      </x:c>
      <x:c r="R618" s="50">
        <x:v>0.91</x:v>
      </x:c>
      <x:c r="S618" s="50">
        <x:f t="shared" si="40"/>
        <x:v>-1</x:v>
      </x:c>
      <x:c r="T618" s="49" t="s">
        <x:v>2501</x:v>
      </x:c>
      <x:c r="U618" s="49" t="str">
        <x:f t="shared" si="38"/>
        <x:v>红</x:v>
      </x:c>
      <x:c r="V618" s="50">
        <x:f t="shared" si="39"/>
        <x:v>0.98</x:v>
      </x:c>
      <x:c r="W618" s="50">
        <x:f t="shared" si="41"/>
        <x:v>0.98</x:v>
      </x:c>
      <x:c r="X618" s="62">
        <x:v>1.03</x:v>
      </x:c>
      <x:c r="Y618" s="62">
        <x:v>1.25</x:v>
      </x:c>
      <x:c r="Z618" s="62">
        <x:v>0.85</x:v>
      </x:c>
      <x:c r="AA618" s="62">
        <x:v>1.25</x:v>
      </x:c>
      <x:c r="AB618" s="62">
        <x:v>0.85</x:v>
      </x:c>
      <x:c r="AC618" s="62">
        <x:v>0.91</x:v>
      </x:c>
      <x:c r="AD618" s="60">
        <x:v>1.49</x:v>
      </x:c>
      <x:c r="AE618" s="60">
        <x:v>4.55</x:v>
      </x:c>
      <x:c r="AF618" s="60">
        <x:v>5.4</x:v>
      </x:c>
      <x:c r="AG618" s="62">
        <x:v>0.0761063445627204</x:v>
      </x:c>
      <x:c r="AH618" s="62">
        <x:v>0.0261063445627204</x:v>
      </x:c>
      <x:c r="AI618" s="62">
        <x:v>0.623675292863398</x:v>
      </x:c>
      <x:c r="AJ618" s="62">
        <x:v>0.204236524476146</x:v>
      </x:c>
      <x:c r="AK618" s="62">
        <x:v>0.172088182660456</x:v>
      </x:c>
      <x:c r="AL618" s="62">
        <x:v>2.09</x:v>
      </x:c>
      <x:c r="AM618" s="62">
        <x:v>1</x:v>
      </x:c>
      <x:c r="AN618" s="62">
        <x:v>0.000603883221291407</x:v>
      </x:c>
      <x:c r="AO618" s="62">
        <x:v>1.03453026073578</x:v>
      </x:c>
      <x:c r="AP618" s="62">
        <x:v>-0.124530260735781</x:v>
      </x:c>
      <x:c r="AQ618" s="62" t="s">
        <x:v>289</x:v>
      </x:c>
      <x:c r="AR618" s="49">
        <x:v>1</x:v>
      </x:c>
      <x:c r="AS618" s="62">
        <x:v>0.375615021384754</x:v>
      </x:c>
      <x:c r="AT618" s="62">
        <x:v>0.388585106009445</x:v>
      </x:c>
      <x:c r="AU618" s="60">
        <x:v>1.54</x:v>
      </x:c>
      <x:c r="AV618" s="60">
        <x:v>4.49</x:v>
      </x:c>
      <x:c r="AW618" s="60">
        <x:v>5.1</x:v>
      </x:c>
      <x:c r="AX618" s="49" t="s">
        <x:v>1890</x:v>
      </x:c>
      <x:c r="AY618" s="49" t="s">
        <x:v>2093</x:v>
      </x:c>
    </x:row>
    <x:row r="619" ht="22" customHeight="1">
      <x:c r="A619" s="49" t="s">
        <x:v>2378</x:v>
      </x:c>
      <x:c r="B619" s="49" t="s">
        <x:v>2498</x:v>
      </x:c>
      <x:c r="C619" s="49" t="s">
        <x:v>333</x:v>
      </x:c>
      <x:c r="D619" s="49" t="s">
        <x:v>116</x:v>
      </x:c>
      <x:c r="E619" s="49" t="s">
        <x:v>613</x:v>
      </x:c>
      <x:c r="F619" s="49" t="s">
        <x:v>2502</x:v>
      </x:c>
      <x:c r="G619" s="60">
        <x:v>1.07</x:v>
      </x:c>
      <x:c r="H619" s="60">
        <x:v>1.25</x:v>
      </x:c>
      <x:c r="I619" s="60">
        <x:v>0.82</x:v>
      </x:c>
      <x:c r="J619" s="49" t="s">
        <x:v>2503</x:v>
      </x:c>
      <x:c r="K619" s="49" t="s">
        <x:v>189</x:v>
      </x:c>
      <x:c r="L619" s="49" t="s">
        <x:v>996</x:v>
      </x:c>
      <x:c r="M619" s="61">
        <x:v>0.529</x:v>
      </x:c>
      <x:c r="N619" s="49" t="s">
        <x:v>1888</x:v>
      </x:c>
      <x:c r="O619" s="49" t="s">
        <x:v>197</x:v>
      </x:c>
      <x:c r="P619" s="49" t="s">
        <x:v>30</x:v>
      </x:c>
      <x:c r="Q619" s="63" t="s">
        <x:v>11</x:v>
      </x:c>
      <x:c r="R619" s="50">
        <x:v>1.07</x:v>
      </x:c>
      <x:c r="S619" s="50">
        <x:f t="shared" si="40"/>
        <x:v>1.07</x:v>
      </x:c>
      <x:c r="T619" s="49" t="s">
        <x:v>2504</x:v>
      </x:c>
      <x:c r="U619" s="49" t="str">
        <x:f t="shared" si="38"/>
        <x:v>黑</x:v>
      </x:c>
      <x:c r="V619" s="50">
        <x:f t="shared" si="39"/>
        <x:v>0.82</x:v>
      </x:c>
      <x:c r="W619" s="50">
        <x:f t="shared" si="41"/>
        <x:v>-1</x:v>
      </x:c>
      <x:c r="X619" s="62">
        <x:v>1.03</x:v>
      </x:c>
      <x:c r="Y619" s="62">
        <x:v>1</x:v>
      </x:c>
      <x:c r="Z619" s="62">
        <x:v>0.85</x:v>
      </x:c>
      <x:c r="AA619" s="62">
        <x:v>-1</x:v>
      </x:c>
      <x:c r="AB619" s="62">
        <x:v>1.03</x:v>
      </x:c>
      <x:c r="AC619" s="62">
        <x:v>1.07</x:v>
      </x:c>
      <x:c r="AD619" s="60">
        <x:v>1.6</x:v>
      </x:c>
      <x:c r="AE619" s="60">
        <x:v>4.14</x:v>
      </x:c>
      <x:c r="AF619" s="60">
        <x:v>5.08</x:v>
      </x:c>
      <x:c r="AG619" s="62">
        <x:v>0.063396287420594</x:v>
      </x:c>
      <x:c r="AH619" s="62">
        <x:v>0.013396287420594</x:v>
      </x:c>
      <x:c r="AI619" s="62">
        <x:v>0.58773949786492</x:v>
      </x:c>
      <x:c r="AJ619" s="62">
        <x:v>0.22714569965794</x:v>
      </x:c>
      <x:c r="AK619" s="62">
        <x:v>0.18511480247714</x:v>
      </x:c>
      <x:c r="AL619" s="62">
        <x:v>1.82</x:v>
      </x:c>
      <x:c r="AM619" s="62">
        <x:v>0.91</x:v>
      </x:c>
      <x:c r="AN619" s="62">
        <x:v>0.000313929450230255</x:v>
      </x:c>
      <x:c r="AO619" s="62">
        <x:v>1.5765924305034</x:v>
      </x:c>
      <x:c r="AP619" s="62">
        <x:v>-0.5065924305034</x:v>
      </x:c>
      <x:c r="AQ619" s="62" t="s">
        <x:v>99</x:v>
      </x:c>
      <x:c r="AR619" s="49">
        <x:v>-1.25</x:v>
      </x:c>
      <x:c r="AS619" s="62">
        <x:v>0.339945275974476</x:v>
      </x:c>
      <x:c r="AT619" s="62">
        <x:v>0.535955148886748</x:v>
      </x:c>
      <x:c r="AU619" s="60">
        <x:v>1.51</x:v>
      </x:c>
      <x:c r="AV619" s="60">
        <x:v>4.72</x:v>
      </x:c>
      <x:c r="AW619" s="60">
        <x:v>5.64</x:v>
      </x:c>
      <x:c r="AX619" s="49" t="s">
        <x:v>1890</x:v>
      </x:c>
      <x:c r="AY619" s="49" t="s">
        <x:v>2093</x:v>
      </x:c>
    </x:row>
    <x:row r="620" ht="22" customHeight="1">
      <x:c r="A620" s="49" t="s">
        <x:v>2378</x:v>
      </x:c>
      <x:c r="B620" s="49" t="s">
        <x:v>2505</x:v>
      </x:c>
      <x:c r="C620" s="49" t="s">
        <x:v>89</x:v>
      </x:c>
      <x:c r="D620" s="49" t="s">
        <x:v>116</x:v>
      </x:c>
      <x:c r="E620" s="49" t="s">
        <x:v>117</x:v>
      </x:c>
      <x:c r="F620" s="49" t="s">
        <x:v>2506</x:v>
      </x:c>
      <x:c r="G620" s="60">
        <x:v>0.85</x:v>
      </x:c>
      <x:c r="H620" s="60">
        <x:v>0.75</x:v>
      </x:c>
      <x:c r="I620" s="60">
        <x:v>1.01</x:v>
      </x:c>
      <x:c r="J620" s="49" t="s">
        <x:v>594</x:v>
      </x:c>
      <x:c r="K620" s="49" t="s">
        <x:v>132</x:v>
      </x:c>
      <x:c r="L620" s="49" t="s">
        <x:v>2507</x:v>
      </x:c>
      <x:c r="M620" s="61">
        <x:v>0.555</x:v>
      </x:c>
      <x:c r="N620" s="49" t="s">
        <x:v>1888</x:v>
      </x:c>
      <x:c r="O620" s="49" t="s">
        <x:v>141</x:v>
      </x:c>
      <x:c r="P620" s="49" t="s">
        <x:v>30</x:v>
      </x:c>
      <x:c r="Q620" s="64" t="s">
        <x:v>23</x:v>
      </x:c>
      <x:c r="R620" s="50">
        <x:v>1.01</x:v>
      </x:c>
      <x:c r="S620" s="50">
        <x:f t="shared" si="40"/>
        <x:v>-1</x:v>
      </x:c>
      <x:c r="T620" s="49" t="s">
        <x:v>2508</x:v>
      </x:c>
      <x:c r="U620" s="49" t="str">
        <x:f t="shared" si="38"/>
        <x:v>红</x:v>
      </x:c>
      <x:c r="V620" s="50">
        <x:f t="shared" si="39"/>
        <x:v>0.85</x:v>
      </x:c>
      <x:c r="W620" s="50">
        <x:f t="shared" si="41"/>
        <x:v>0.85</x:v>
      </x:c>
      <x:c r="X620" s="62">
        <x:v>0.99</x:v>
      </x:c>
      <x:c r="Y620" s="62">
        <x:v>1</x:v>
      </x:c>
      <x:c r="Z620" s="62">
        <x:v>0.83</x:v>
      </x:c>
      <x:c r="AA620" s="62">
        <x:v>1</x:v>
      </x:c>
      <x:c r="AB620" s="62">
        <x:v>0.83</x:v>
      </x:c>
      <x:c r="AC620" s="62">
        <x:v>1.01</x:v>
      </x:c>
      <x:c r="AD620" s="60">
        <x:v>1.54</x:v>
      </x:c>
      <x:c r="AE620" s="60">
        <x:v>3.92</x:v>
      </x:c>
      <x:c r="AF620" s="60">
        <x:v>5</x:v>
      </x:c>
      <x:c r="AG620" s="62">
        <x:v>0.104452690166976</x:v>
      </x:c>
      <x:c r="AH620" s="62">
        <x:v>0.0544526901669758</x:v>
      </x:c>
      <x:c r="AI620" s="62">
        <x:v>0.587938854359147</x:v>
      </x:c>
      <x:c r="AJ620" s="62">
        <x:v>0.230975978498236</x:v>
      </x:c>
      <x:c r="AK620" s="62">
        <x:v>0.181085167142617</x:v>
      </x:c>
      <x:c r="AL620" s="62">
        <x:v>1.78</x:v>
      </x:c>
      <x:c r="AM620" s="62">
        <x:v>0.87</x:v>
      </x:c>
      <x:c r="AN620" s="62">
        <x:v>0.000745336032346178</x:v>
      </x:c>
      <x:c r="AO620" s="62">
        <x:v>1.12675739368799</x:v>
      </x:c>
      <x:c r="AP620" s="62">
        <x:v>-0.116757393687988</x:v>
      </x:c>
      <x:c r="AQ620" s="62" t="s">
        <x:v>289</x:v>
      </x:c>
      <x:c r="AR620" s="49">
        <x:v>0.75</x:v>
      </x:c>
      <x:c r="AS620" s="62">
        <x:v>0.411007150908034</x:v>
      </x:c>
      <x:c r="AT620" s="62">
        <x:v>0.463105346144262</x:v>
      </x:c>
      <x:c r="AU620" s="60">
        <x:v>1.59</x:v>
      </x:c>
      <x:c r="AV620" s="60">
        <x:v>3.89</x:v>
      </x:c>
      <x:c r="AW620" s="60">
        <x:v>4.81</x:v>
      </x:c>
      <x:c r="AX620" s="49" t="s">
        <x:v>1890</x:v>
      </x:c>
      <x:c r="AY620" s="49" t="s">
        <x:v>2093</x:v>
      </x:c>
    </x:row>
    <x:row r="621" ht="22" customHeight="1">
      <x:c r="A621" s="49" t="s">
        <x:v>2378</x:v>
      </x:c>
      <x:c r="B621" s="49" t="s">
        <x:v>2505</x:v>
      </x:c>
      <x:c r="C621" s="49" t="s">
        <x:v>89</x:v>
      </x:c>
      <x:c r="D621" s="49" t="s">
        <x:v>116</x:v>
      </x:c>
      <x:c r="E621" s="49" t="s">
        <x:v>1863</x:v>
      </x:c>
      <x:c r="F621" s="49" t="s">
        <x:v>2509</x:v>
      </x:c>
      <x:c r="G621" s="60">
        <x:v>0.97</x:v>
      </x:c>
      <x:c r="H621" s="60">
        <x:v>-0.5</x:v>
      </x:c>
      <x:c r="I621" s="60">
        <x:v>0.92</x:v>
      </x:c>
      <x:c r="J621" s="49" t="s">
        <x:v>2510</x:v>
      </x:c>
      <x:c r="K621" s="49" t="s">
        <x:v>132</x:v>
      </x:c>
      <x:c r="L621" s="49" t="s">
        <x:v>2511</x:v>
      </x:c>
      <x:c r="M621" s="61">
        <x:v>0.555</x:v>
      </x:c>
      <x:c r="N621" s="49" t="s">
        <x:v>1888</x:v>
      </x:c>
      <x:c r="O621" s="49" t="s">
        <x:v>178</x:v>
      </x:c>
      <x:c r="P621" s="49" t="s">
        <x:v>30</x:v>
      </x:c>
      <x:c r="Q621" s="63" t="s">
        <x:v>11</x:v>
      </x:c>
      <x:c r="R621" s="50">
        <x:v>0.97</x:v>
      </x:c>
      <x:c r="S621" s="50">
        <x:f t="shared" si="40"/>
        <x:v>0.97</x:v>
      </x:c>
      <x:c r="T621" s="49" t="s">
        <x:v>2512</x:v>
      </x:c>
      <x:c r="U621" s="49" t="str">
        <x:f t="shared" si="38"/>
        <x:v>黑</x:v>
      </x:c>
      <x:c r="V621" s="50">
        <x:f t="shared" si="39"/>
        <x:v>0.92</x:v>
      </x:c>
      <x:c r="W621" s="50">
        <x:f t="shared" si="41"/>
        <x:v>-1</x:v>
      </x:c>
      <x:c r="X621" s="62">
        <x:v>0.85</x:v>
      </x:c>
      <x:c r="Y621" s="62">
        <x:v>-0.75</x:v>
      </x:c>
      <x:c r="Z621" s="62">
        <x:v>1.03</x:v>
      </x:c>
      <x:c r="AA621" s="62">
        <x:v>0.75</x:v>
      </x:c>
      <x:c r="AB621" s="62">
        <x:v>0.85</x:v>
      </x:c>
      <x:c r="AC621" s="62">
        <x:v>0.97</x:v>
      </x:c>
      <x:c r="AD621" s="60">
        <x:v>4.04</x:v>
      </x:c>
      <x:c r="AE621" s="60">
        <x:v>3.79</x:v>
      </x:c>
      <x:c r="AF621" s="60">
        <x:v>1.78</x:v>
      </x:c>
      <x:c r="AG621" s="62">
        <x:v>0.0731747480282996</x:v>
      </x:c>
      <x:c r="AH621" s="62">
        <x:v>0.0231747480282996</x:v>
      </x:c>
      <x:c r="AI621" s="62">
        <x:v>0.23064720161373</x:v>
      </x:c>
      <x:c r="AJ621" s="62">
        <x:v>0.245861396970837</x:v>
      </x:c>
      <x:c r="AK621" s="62">
        <x:v>0.523491401415433</x:v>
      </x:c>
      <x:c r="AL621" s="62">
        <x:v>1</x:v>
      </x:c>
      <x:c r="AM621" s="62">
        <x:v>1.64</x:v>
      </x:c>
      <x:c r="AN621" s="62">
        <x:v>0.000154735147115834</x:v>
      </x:c>
      <x:c r="AO621" s="62">
        <x:v>1.09801509820833</x:v>
      </x:c>
      <x:c r="AP621" s="62">
        <x:v>-0.128015098208329</x:v>
      </x:c>
      <x:c r="AQ621" s="62" t="s">
        <x:v>289</x:v>
      </x:c>
      <x:c r="AR621" s="49">
        <x:v>0.5</x:v>
      </x:c>
      <x:c r="AS621" s="62">
        <x:v>0.476640993124398</x:v>
      </x:c>
      <x:c r="AT621" s="62">
        <x:v>0.523359006875602</x:v>
      </x:c>
      <x:c r="AU621" s="60">
        <x:v>3.94</x:v>
      </x:c>
      <x:c r="AV621" s="60">
        <x:v>3.78</x:v>
      </x:c>
      <x:c r="AW621" s="60">
        <x:v>1.82</x:v>
      </x:c>
      <x:c r="AX621" s="49" t="s">
        <x:v>1890</x:v>
      </x:c>
      <x:c r="AY621" s="49" t="s">
        <x:v>2093</x:v>
      </x:c>
    </x:row>
    <x:row r="622" ht="22" customHeight="1">
      <x:c r="A622" s="49" t="s">
        <x:v>2378</x:v>
      </x:c>
      <x:c r="B622" s="49" t="s">
        <x:v>2513</x:v>
      </x:c>
      <x:c r="C622" s="49" t="s">
        <x:v>89</x:v>
      </x:c>
      <x:c r="D622" s="49" t="s">
        <x:v>116</x:v>
      </x:c>
      <x:c r="E622" s="49" t="s">
        <x:v>592</x:v>
      </x:c>
      <x:c r="F622" s="49" t="s">
        <x:v>2514</x:v>
      </x:c>
      <x:c r="G622" s="60">
        <x:v>0.81</x:v>
      </x:c>
      <x:c r="H622" s="60">
        <x:v>0.75</x:v>
      </x:c>
      <x:c r="I622" s="60">
        <x:v>1.05</x:v>
      </x:c>
      <x:c r="J622" s="49" t="s">
        <x:v>732</x:v>
      </x:c>
      <x:c r="K622" s="49" t="s">
        <x:v>106</x:v>
      </x:c>
      <x:c r="L622" s="49" t="s">
        <x:v>2515</x:v>
      </x:c>
      <x:c r="M622" s="61">
        <x:v>0.576</x:v>
      </x:c>
      <x:c r="N622" s="49" t="s">
        <x:v>1888</x:v>
      </x:c>
      <x:c r="O622" s="49" t="s">
        <x:v>201</x:v>
      </x:c>
      <x:c r="P622" s="49" t="s">
        <x:v>30</x:v>
      </x:c>
      <x:c r="Q622" s="63" t="s">
        <x:v>14</x:v>
      </x:c>
      <x:c r="R622" s="50">
        <x:v>0.81</x:v>
      </x:c>
      <x:c r="S622" s="50">
        <x:f t="shared" si="40"/>
        <x:v>0.405</x:v>
      </x:c>
      <x:c r="T622" s="49" t="s">
        <x:v>2516</x:v>
      </x:c>
      <x:c r="U622" s="49" t="str">
        <x:f t="shared" si="38"/>
        <x:v>半黑</x:v>
      </x:c>
      <x:c r="V622" s="50">
        <x:f t="shared" si="39"/>
        <x:v>1.05</x:v>
      </x:c>
      <x:c r="W622" s="50">
        <x:f t="shared" si="41"/>
        <x:v>-0.5</x:v>
      </x:c>
      <x:c r="X622" s="62">
        <x:v>0.84</x:v>
      </x:c>
      <x:c r="Y622" s="62">
        <x:v>0.5</x:v>
      </x:c>
      <x:c r="Z622" s="62">
        <x:v>0.98</x:v>
      </x:c>
      <x:c r="AA622" s="62">
        <x:v>-0.5</x:v>
      </x:c>
      <x:c r="AB622" s="62">
        <x:v>0.84</x:v>
      </x:c>
      <x:c r="AC622" s="62">
        <x:v>0.81</x:v>
      </x:c>
      <x:c r="AD622" s="60">
        <x:v>1.78</x:v>
      </x:c>
      <x:c r="AE622" s="60">
        <x:v>3.5</x:v>
      </x:c>
      <x:c r="AF622" s="60">
        <x:v>3.89</x:v>
      </x:c>
      <x:c r="AG622" s="62">
        <x:v>0.104581447263634</x:v>
      </x:c>
      <x:c r="AH622" s="62">
        <x:v>0.0545814472636344</x:v>
      </x:c>
      <x:c r="AI622" s="62">
        <x:v>0.50860690644472</x:v>
      </x:c>
      <x:c r="AJ622" s="62">
        <x:v>0.258662940991886</x:v>
      </x:c>
      <x:c r="AK622" s="62">
        <x:v>0.232730152563394</x:v>
      </x:c>
      <x:c r="AL622" s="62">
        <x:v>1.52</x:v>
      </x:c>
      <x:c r="AM622" s="62">
        <x:v>0.94</x:v>
      </x:c>
      <x:c r="AN622" s="62">
        <x:v>0.000642150853171496</x:v>
      </x:c>
      <x:c r="AO622" s="62">
        <x:v>1.28163598705377</x:v>
      </x:c>
      <x:c r="AP622" s="62">
        <x:v>-0.471635987053772</x:v>
      </x:c>
      <x:c r="AQ622" s="62" t="s">
        <x:v>99</x:v>
      </x:c>
      <x:c r="AR622" s="49">
        <x:v>-0.75</x:v>
      </x:c>
      <x:c r="AS622" s="62">
        <x:v>0.384032808708073</x:v>
      </x:c>
      <x:c r="AT622" s="62">
        <x:v>0.492190267849604</x:v>
      </x:c>
      <x:c r="AU622" s="60">
        <x:v>1.7</x:v>
      </x:c>
      <x:c r="AV622" s="60">
        <x:v>3.69</x:v>
      </x:c>
      <x:c r="AW622" s="60">
        <x:v>4.26</x:v>
      </x:c>
      <x:c r="AX622" s="49" t="s">
        <x:v>1890</x:v>
      </x:c>
      <x:c r="AY622" s="49" t="s">
        <x:v>2093</x:v>
      </x:c>
    </x:row>
    <x:row r="623" ht="22" customHeight="1">
      <x:c r="A623" s="49" t="s">
        <x:v>2378</x:v>
      </x:c>
      <x:c r="B623" s="49" t="s">
        <x:v>2517</x:v>
      </x:c>
      <x:c r="C623" s="49" t="s">
        <x:v>333</x:v>
      </x:c>
      <x:c r="D623" s="49" t="s">
        <x:v>116</x:v>
      </x:c>
      <x:c r="E623" s="49" t="s">
        <x:v>894</x:v>
      </x:c>
      <x:c r="F623" s="49" t="s">
        <x:v>2518</x:v>
      </x:c>
      <x:c r="G623" s="60">
        <x:v>0.8</x:v>
      </x:c>
      <x:c r="H623" s="60">
        <x:v>0.75</x:v>
      </x:c>
      <x:c r="I623" s="60">
        <x:v>1.08</x:v>
      </x:c>
      <x:c r="J623" s="49" t="s">
        <x:v>2519</x:v>
      </x:c>
      <x:c r="K623" s="49" t="s">
        <x:v>106</x:v>
      </x:c>
      <x:c r="L623" s="49" t="s">
        <x:v>2520</x:v>
      </x:c>
      <x:c r="M623" s="61">
        <x:v>0.584</x:v>
      </x:c>
      <x:c r="N623" s="49" t="s">
        <x:v>1888</x:v>
      </x:c>
      <x:c r="O623" s="49" t="s">
        <x:v>231</x:v>
      </x:c>
      <x:c r="P623" s="49" t="s">
        <x:v>30</x:v>
      </x:c>
      <x:c r="Q623" s="63" t="s">
        <x:v>14</x:v>
      </x:c>
      <x:c r="R623" s="50">
        <x:v>0.8</x:v>
      </x:c>
      <x:c r="S623" s="50">
        <x:f t="shared" si="40"/>
        <x:v>0.4</x:v>
      </x:c>
      <x:c r="T623" s="49" t="s">
        <x:v>2521</x:v>
      </x:c>
      <x:c r="U623" s="49" t="str">
        <x:f>IF(Q623="","",IF(Q623="待结算","待结算",IF(Q623="红","黑",IF(Q623="半红","半黑",IF(Q623="走","走",IF(Q623="半黑","半红","红"))))))</x:f>
        <x:v>半黑</x:v>
      </x:c>
      <x:c r="V623" s="50" t="n">
        <x:f>IF(OR(Q623="",Q623="待结算"),"",IF(L623=LEFT(F623,FIND(" vs ",F623)-1),I623,G623))</x:f>
        <x:v>1.08</x:v>
      </x:c>
      <x:c r="W623" s="50">
        <x:f t="shared" si="41"/>
        <x:v>-0.5</x:v>
      </x:c>
      <x:c r="X623" s="62">
        <x:v>0.89</x:v>
      </x:c>
      <x:c r="Y623" s="62">
        <x:v>0.75</x:v>
      </x:c>
      <x:c r="Z623" s="62">
        <x:v>0.93</x:v>
      </x:c>
      <x:c r="AA623" s="62">
        <x:v>-0.75</x:v>
      </x:c>
      <x:c r="AB623" s="62">
        <x:v>0.89</x:v>
      </x:c>
      <x:c r="AC623" s="62">
        <x:v>0.8</x:v>
      </x:c>
      <x:c r="AD623" s="60">
        <x:v>1.66</x:v>
      </x:c>
      <x:c r="AE623" s="60">
        <x:v>3.64</x:v>
      </x:c>
      <x:c r="AF623" s="60">
        <x:v>4.89</x:v>
      </x:c>
      <x:c r="AG623" s="62">
        <x:v>0.0816338907846041</x:v>
      </x:c>
      <x:c r="AH623" s="62">
        <x:v>0.0316338907846041</x:v>
      </x:c>
      <x:c r="AI623" s="62">
        <x:v>0.556944122855873</x:v>
      </x:c>
      <x:c r="AJ623" s="62">
        <x:v>0.253991001082624</x:v>
      </x:c>
      <x:c r="AK623" s="62">
        <x:v>0.189064876061503</x:v>
      </x:c>
      <x:c r="AL623" s="62">
        <x:v>1.56</x:v>
      </x:c>
      <x:c r="AM623" s="62">
        <x:v>0.79</x:v>
      </x:c>
      <x:c r="AN623" s="62">
        <x:v>0.000493891079446601</x:v>
      </x:c>
      <x:c r="AO623" s="62">
        <x:v>1.04261917646999</x:v>
      </x:c>
      <x:c r="AP623" s="62">
        <x:v>-0.242619176469991</x:v>
      </x:c>
      <x:c r="AQ623" s="62" t="s">
        <x:v>99</x:v>
      </x:c>
      <x:c r="AR623" s="49">
        <x:v>-0.75</x:v>
      </x:c>
      <x:c r="AS623" s="62">
        <x:v>0.425595764856773</x:v>
      </x:c>
      <x:c r="AT623" s="62">
        <x:v>0.443734305864085</x:v>
      </x:c>
      <x:c r="AU623" s="60">
        <x:v>1.63</x:v>
      </x:c>
      <x:c r="AV623" s="60">
        <x:v>3.7</x:v>
      </x:c>
      <x:c r="AW623" s="60">
        <x:v>5.33</x:v>
      </x:c>
      <x:c r="AX623" s="49" t="s">
        <x:v>1890</x:v>
      </x:c>
      <x:c r="AY623" s="49" t="s">
        <x:v>2093</x:v>
      </x:c>
    </x:row>
    <x:row r="624" ht="22" customHeight="1">
      <x:c r="A624" s="49" t="s">
        <x:v>2378</x:v>
      </x:c>
      <x:c r="B624" s="49" t="s">
        <x:v>2522</x:v>
      </x:c>
      <x:c r="C624" s="49" t="s">
        <x:v>89</x:v>
      </x:c>
      <x:c r="D624" s="49" t="s">
        <x:v>116</x:v>
      </x:c>
      <x:c r="E624" s="49" t="s">
        <x:v>883</x:v>
      </x:c>
      <x:c r="F624" s="49" t="s">
        <x:v>2523</x:v>
      </x:c>
      <x:c r="G624" s="60">
        <x:v>0.84</x:v>
      </x:c>
      <x:c r="H624" s="60">
        <x:v>2</x:v>
      </x:c>
      <x:c r="I624" s="60">
        <x:v>0.98</x:v>
      </x:c>
      <x:c r="J624" s="49" t="s">
        <x:v>2524</x:v>
      </x:c>
      <x:c r="K624" s="49" t="s">
        <x:v>106</x:v>
      </x:c>
      <x:c r="L624" s="49" t="s">
        <x:v>886</x:v>
      </x:c>
      <x:c r="M624" s="61">
        <x:v>0.576</x:v>
      </x:c>
      <x:c r="N624" s="49" t="s">
        <x:v>1888</x:v>
      </x:c>
      <x:c r="O624" s="49" t="s">
        <x:v>178</x:v>
      </x:c>
      <x:c r="P624" s="49" t="s">
        <x:v>30</x:v>
      </x:c>
      <x:c r="Q624" s="64" t="s">
        <x:v>23</x:v>
      </x:c>
      <x:c r="R624" s="50">
        <x:v>0.84</x:v>
      </x:c>
      <x:c r="S624" s="50">
        <x:f t="shared" si="40"/>
        <x:v>-1</x:v>
      </x:c>
      <x:c r="T624" s="49" t="s">
        <x:v>2525</x:v>
      </x:c>
      <x:c r="U624" s="49" t="str">
        <x:f>IF(Q624="","",IF(Q624="待结算","待结算",IF(Q624="红","黑",IF(Q624="半红","半黑",IF(Q624="走","走",IF(Q624="半黑","半红","红"))))))</x:f>
        <x:v>红</x:v>
      </x:c>
      <x:c r="V624" s="50" t="n">
        <x:f>IF(OR(Q624="",Q624="待结算"),"",IF(L624=LEFT(F624,FIND(" vs ",F624)-1),I624,G624))</x:f>
        <x:v>0.98</x:v>
      </x:c>
      <x:c r="W624" s="50">
        <x:f t="shared" si="41"/>
        <x:v>0.98</x:v>
      </x:c>
      <x:c r="X624" s="62">
        <x:v>0.96</x:v>
      </x:c>
      <x:c r="Y624" s="62">
        <x:v>2</x:v>
      </x:c>
      <x:c r="Z624" s="62">
        <x:v>0.86</x:v>
      </x:c>
      <x:c r="AA624" s="62">
        <x:v>-2</x:v>
      </x:c>
      <x:c r="AB624" s="62">
        <x:v>0.96</x:v>
      </x:c>
      <x:c r="AC624" s="62">
        <x:v>0.84</x:v>
      </x:c>
      <x:c r="AD624" s="60">
        <x:v>1.16</x:v>
      </x:c>
      <x:c r="AE624" s="60">
        <x:v>6.68</x:v>
      </x:c>
      <x:c r="AF624" s="60">
        <x:v>11.96</x:v>
      </x:c>
      <x:c r="AG624" s="62">
        <x:v>0.0953816044534159</x:v>
      </x:c>
      <x:c r="AH624" s="62">
        <x:v>0.0453816044534159</x:v>
      </x:c>
      <x:c r="AI624" s="62">
        <x:v>0.787003325610352</x:v>
      </x:c>
      <x:c r="AJ624" s="62">
        <x:v>0.136665248159882</x:v>
      </x:c>
      <x:c r="AK624" s="62">
        <x:v>0.0763314262297666</x:v>
      </x:c>
      <x:c r="AL624" s="62">
        <x:v>2.69</x:v>
      </x:c>
      <x:c r="AM624" s="62">
        <x:v>0.73</x:v>
      </x:c>
      <x:c r="AN624" s="62">
        <x:v>0.000277001983093492</x:v>
      </x:c>
      <x:c r="AO624" s="62">
        <x:v>1.16189637728841</x:v>
      </x:c>
      <x:c r="AP624" s="62">
        <x:v>-0.321896377288414</x:v>
      </x:c>
      <x:c r="AQ624" s="62" t="s">
        <x:v>99</x:v>
      </x:c>
      <x:c r="AR624" s="49">
        <x:v>-2</x:v>
      </x:c>
      <x:c r="AS624" s="62">
        <x:v>0.361928007037867</x:v>
      </x:c>
      <x:c r="AT624" s="62">
        <x:v>0.420522840216514</x:v>
      </x:c>
      <x:c r="AU624" s="60">
        <x:v>1.17</x:v>
      </x:c>
      <x:c r="AV624" s="60">
        <x:v>6.88</x:v>
      </x:c>
      <x:c r="AW624" s="60">
        <x:v>12.01</x:v>
      </x:c>
      <x:c r="AX624" s="49" t="s">
        <x:v>1890</x:v>
      </x:c>
      <x:c r="AY624" s="49" t="s">
        <x:v>2093</x:v>
      </x:c>
    </x:row>
    <x:row r="625" ht="22" customHeight="1">
      <x:c r="A625" s="49" t="s">
        <x:v>2378</x:v>
      </x:c>
      <x:c r="B625" s="49" t="s">
        <x:v>2526</x:v>
      </x:c>
      <x:c r="C625" s="49" t="s">
        <x:v>333</x:v>
      </x:c>
      <x:c r="D625" s="49" t="s">
        <x:v>116</x:v>
      </x:c>
      <x:c r="E625" s="49" t="s">
        <x:v>927</x:v>
      </x:c>
      <x:c r="F625" s="49" t="s">
        <x:v>2527</x:v>
      </x:c>
      <x:c r="G625" s="60">
        <x:v>0.67</x:v>
      </x:c>
      <x:c r="H625" s="60">
        <x:v>-0.25</x:v>
      </x:c>
      <x:c r="I625" s="60">
        <x:v>1.03</x:v>
      </x:c>
      <x:c r="J625" s="49" t="s">
        <x:v>2528</x:v>
      </x:c>
      <x:c r="K625" s="49" t="s">
        <x:v>189</x:v>
      </x:c>
      <x:c r="L625" s="49" t="s">
        <x:v>2529</x:v>
      </x:c>
      <x:c r="M625" s="61">
        <x:v>0.529</x:v>
      </x:c>
      <x:c r="N625" s="49" t="s">
        <x:v>1888</x:v>
      </x:c>
      <x:c r="O625" s="49" t="s">
        <x:v>161</x:v>
      </x:c>
      <x:c r="P625" s="49" t="s">
        <x:v>30</x:v>
      </x:c>
      <x:c r="Q625" s="64" t="s">
        <x:v>23</x:v>
      </x:c>
      <x:c r="R625" s="50">
        <x:v>1.03</x:v>
      </x:c>
      <x:c r="S625" s="50">
        <x:f t="shared" si="40"/>
        <x:v>-1</x:v>
      </x:c>
      <x:c r="T625" s="49" t="s">
        <x:v>2530</x:v>
      </x:c>
      <x:c r="U625" s="49" t="str">
        <x:f>IF(Q625="","",IF(Q625="待结算","待结算",IF(Q625="红","黑",IF(Q625="半红","半黑",IF(Q625="走","走",IF(Q625="半黑","半红","红"))))))</x:f>
        <x:v>红</x:v>
      </x:c>
      <x:c r="V625" s="50" t="n">
        <x:f>IF(OR(Q625="",Q625="待结算"),"",IF(L625=LEFT(F625,FIND(" vs ",F625)-1),I625,G625))</x:f>
        <x:v>0.67</x:v>
      </x:c>
      <x:c r="W625" s="50">
        <x:f t="shared" si="41"/>
        <x:v>0.67</x:v>
      </x:c>
      <x:c r="X625" s="62">
        <x:v>0.98</x:v>
      </x:c>
      <x:c r="Y625" s="62">
        <x:v>0</x:v>
      </x:c>
      <x:c r="Z625" s="62">
        <x:v>0.72</x:v>
      </x:c>
      <x:c r="AA625" s="62">
        <x:v>0</x:v>
      </x:c>
      <x:c r="AB625" s="62">
        <x:v>0.72</x:v>
      </x:c>
      <x:c r="AC625" s="62">
        <x:v>1.03</x:v>
      </x:c>
      <x:c r="AD625" s="60">
        <x:v>2.67</x:v>
      </x:c>
      <x:c r="AE625" s="60">
        <x:v>2.97</x:v>
      </x:c>
      <x:c r="AF625" s="60">
        <x:v>2.56</x:v>
      </x:c>
      <x:c r="AG625" s="62">
        <x:v>0.101857171906329</x:v>
      </x:c>
      <x:c r="AH625" s="62">
        <x:v>0.0518571719063293</x:v>
      </x:c>
      <x:c r="AI625" s="62">
        <x:v>0.339909604216682</x:v>
      </x:c>
      <x:c r="AJ625" s="62">
        <x:v>0.305575300760451</x:v>
      </x:c>
      <x:c r="AK625" s="62">
        <x:v>0.354515095022867</x:v>
      </x:c>
      <x:c r="AL625" s="62">
        <x:v>1</x:v>
      </x:c>
      <x:c r="AM625" s="62">
        <x:v>1.03</x:v>
      </x:c>
      <x:c r="AN625" s="62">
        <x:v>0.0004218834104694</x:v>
      </x:c>
      <x:c r="AO625" s="62">
        <x:v>1.38661563651676</x:v>
      </x:c>
      <x:c r="AP625" s="62">
        <x:v>-0.356615636516758</x:v>
      </x:c>
      <x:c r="AQ625" s="62" t="s">
        <x:v>99</x:v>
      </x:c>
      <x:c r="AR625" s="49">
        <x:v>-0.25</x:v>
      </x:c>
      <x:c r="AS625" s="62">
        <x:v>0.354959004132925</x:v>
      </x:c>
      <x:c r="AT625" s="62">
        <x:v>0.492191705453131</x:v>
      </x:c>
      <x:c r="AU625" s="60">
        <x:v>2.71</x:v>
      </x:c>
      <x:c r="AV625" s="60">
        <x:v>2.93</x:v>
      </x:c>
      <x:c r="AW625" s="60">
        <x:v>2.57</x:v>
      </x:c>
      <x:c r="AX625" s="49" t="s">
        <x:v>1890</x:v>
      </x:c>
      <x:c r="AY625" s="49" t="s">
        <x:v>2093</x:v>
      </x:c>
    </x:row>
    <x:row r="626" ht="22" customHeight="1">
      <x:c r="A626" s="49" t="s">
        <x:v>2531</x:v>
      </x:c>
      <x:c r="B626" s="49" t="s">
        <x:v>2532</x:v>
      </x:c>
      <x:c r="C626" s="49" t="s">
        <x:v>244</x:v>
      </x:c>
      <x:c r="D626" s="49" t="s">
        <x:v>116</x:v>
      </x:c>
      <x:c r="E626" s="49" t="s">
        <x:v>498</x:v>
      </x:c>
      <x:c r="F626" s="49" t="s">
        <x:v>2533</x:v>
      </x:c>
      <x:c r="G626" s="60">
        <x:v>0.93</x:v>
      </x:c>
      <x:c r="H626" s="60">
        <x:v>-0.25</x:v>
      </x:c>
      <x:c r="I626" s="60">
        <x:v>0.83</x:v>
      </x:c>
      <x:c r="J626" s="49" t="s">
        <x:v>1622</x:v>
      </x:c>
      <x:c r="K626" s="49" t="s">
        <x:v>106</x:v>
      </x:c>
      <x:c r="L626" s="49" t="s">
        <x:v>2534</x:v>
      </x:c>
      <x:c r="M626" s="61">
        <x:v>0.551</x:v>
      </x:c>
      <x:c r="N626" s="49" t="s">
        <x:v>1888</x:v>
      </x:c>
      <x:c r="O626" s="49" t="s">
        <x:v>558</x:v>
      </x:c>
      <x:c r="P626" s="49" t="s">
        <x:v>30</x:v>
      </x:c>
      <x:c r="Q626" s="49" t="s">
        <x:v>23</x:v>
      </x:c>
      <x:c r="R626" s="50">
        <x:v>0.93</x:v>
      </x:c>
      <x:c r="S626" s="50">
        <x:f t="shared" si="40"/>
        <x:v>-1</x:v>
      </x:c>
      <x:c r="T626" s="49" t="s">
        <x:v>2535</x:v>
      </x:c>
      <x:c r="U626" s="49" t="s">
        <x:v>11</x:v>
      </x:c>
      <x:c r="V626" s="50">
        <x:v>0.83</x:v>
      </x:c>
      <x:c r="W626" s="50">
        <x:f t="shared" si="41"/>
        <x:v>0.83</x:v>
      </x:c>
      <x:c r="X626" s="62">
        <x:v>0.82</x:v>
      </x:c>
      <x:c r="Y626" s="62">
        <x:v>0.5</x:v>
      </x:c>
      <x:c r="Z626" s="62">
        <x:v>0.88</x:v>
      </x:c>
      <x:c r="AA626" s="62">
        <x:v>-0.5</x:v>
      </x:c>
      <x:c r="AB626" s="62">
        <x:v>0.82</x:v>
      </x:c>
      <x:c r="AC626" s="62">
        <x:v>0.82</x:v>
      </x:c>
      <x:c r="AD626" s="62">
        <x:v>1.83</x:v>
      </x:c>
      <x:c r="AE626" s="62">
        <x:v>3.41</x:v>
      </x:c>
      <x:c r="AF626" s="62">
        <x:v>3.62</x:v>
      </x:c>
      <x:c r="AG626" s="62">
        <x:v>0.115946313319155</x:v>
      </x:c>
      <x:c r="AH626" s="62">
        <x:v>0.0659463133191552</x:v>
      </x:c>
      <x:c r="AI626" s="62">
        <x:v>0.489672380211908</x:v>
      </x:c>
      <x:c r="AJ626" s="62">
        <x:v>0.262786057415774</x:v>
      </x:c>
      <x:c r="AK626" s="62">
        <x:v>0.247541562372318</x:v>
      </x:c>
      <x:c r="AL626" s="62">
        <x:v>1.48</x:v>
      </x:c>
      <x:c r="AM626" s="62">
        <x:v>0.97</x:v>
      </x:c>
      <x:c r="AN626" s="62">
        <x:v>0.000295230581891917</x:v>
      </x:c>
      <x:c r="AO626" s="62">
        <x:v>1.04077299609319</x:v>
      </x:c>
      <x:c r="AP626" s="62">
        <x:v>-0.220772996093192</x:v>
      </x:c>
      <x:c r="AQ626" s="62" t="s">
        <x:v>99</x:v>
      </x:c>
      <x:c r="AR626" s="62">
        <x:v>-0.5</x:v>
      </x:c>
      <x:c r="AS626" s="62">
        <x:v>0.490010403858919</x:v>
      </x:c>
      <x:c r="AT626" s="62">
        <x:v>0.509989596141082</x:v>
      </x:c>
      <x:c r="AU626" s="62">
        <x:v>1.83</x:v>
      </x:c>
      <x:c r="AV626" s="62">
        <x:v>3.44</x:v>
      </x:c>
      <x:c r="AW626" s="62">
        <x:v>3.62</x:v>
      </x:c>
      <x:c r="AX626" s="62" t="s">
        <x:v>1890</x:v>
      </x:c>
      <x:c r="AY626" s="62" t="s">
        <x:v>2093</x:v>
      </x:c>
    </x:row>
    <x:row r="627" ht="22" customHeight="1">
      <x:c r="A627" s="49" t="s">
        <x:v>2531</x:v>
      </x:c>
      <x:c r="B627" s="49" t="s">
        <x:v>2536</x:v>
      </x:c>
      <x:c r="C627" s="49" t="s">
        <x:v>244</x:v>
      </x:c>
      <x:c r="D627" s="49" t="s">
        <x:v>116</x:v>
      </x:c>
      <x:c r="E627" s="49" t="s">
        <x:v>498</x:v>
      </x:c>
      <x:c r="F627" s="49" t="s">
        <x:v>2537</x:v>
      </x:c>
      <x:c r="G627" s="60">
        <x:v>0.82</x:v>
      </x:c>
      <x:c r="H627" s="60">
        <x:v>0.5</x:v>
      </x:c>
      <x:c r="I627" s="60">
        <x:v>0.88</x:v>
      </x:c>
      <x:c r="J627" s="49" t="s">
        <x:v>1430</x:v>
      </x:c>
      <x:c r="K627" s="49" t="s">
        <x:v>106</x:v>
      </x:c>
      <x:c r="L627" s="49" t="s">
        <x:v>2538</x:v>
      </x:c>
      <x:c r="M627" s="61">
        <x:v>0.551</x:v>
      </x:c>
      <x:c r="N627" s="49" t="s">
        <x:v>1888</x:v>
      </x:c>
      <x:c r="O627" s="49" t="s">
        <x:v>367</x:v>
      </x:c>
      <x:c r="P627" s="49" t="s">
        <x:v>30</x:v>
      </x:c>
      <x:c r="Q627" s="49" t="s">
        <x:v>11</x:v>
      </x:c>
      <x:c r="R627" s="50">
        <x:v>0.93</x:v>
      </x:c>
      <x:c r="S627" s="50">
        <x:f t="shared" si="40"/>
        <x:v>0.93</x:v>
      </x:c>
      <x:c r="T627" s="49" t="s">
        <x:v>2539</x:v>
      </x:c>
      <x:c r="U627" s="49" t="s">
        <x:v>23</x:v>
      </x:c>
      <x:c r="V627" s="50">
        <x:v>0.82</x:v>
      </x:c>
      <x:c r="W627" s="50">
        <x:f t="shared" si="41"/>
        <x:v>-1</x:v>
      </x:c>
      <x:c r="X627" s="62">
        <x:v>0.78</x:v>
      </x:c>
      <x:c r="Y627" s="62">
        <x:v>0.5</x:v>
      </x:c>
      <x:c r="Z627" s="62">
        <x:v>0.92</x:v>
      </x:c>
      <x:c r="AA627" s="62">
        <x:v>-0.5</x:v>
      </x:c>
      <x:c r="AB627" s="62">
        <x:v>0.78</x:v>
      </x:c>
      <x:c r="AC627" s="62">
        <x:v>0.78</x:v>
      </x:c>
      <x:c r="AD627" s="62">
        <x:v>1.77</x:v>
      </x:c>
      <x:c r="AE627" s="62">
        <x:v>3.29</x:v>
      </x:c>
      <x:c r="AF627" s="62">
        <x:v>4.24</x:v>
      </x:c>
      <x:c r="AG627" s="62">
        <x:v>0.104772175797358</x:v>
      </x:c>
      <x:c r="AH627" s="62">
        <x:v>0.0547721757973581</x:v>
      </x:c>
      <x:c r="AI627" s="62">
        <x:v>0.511392089509013</x:v>
      </x:c>
      <x:c r="AJ627" s="62">
        <x:v>0.275125835389347</x:v>
      </x:c>
      <x:c r="AK627" s="62">
        <x:v>0.21348207510164</x:v>
      </x:c>
      <x:c r="AL627" s="62">
        <x:v>1.39</x:v>
      </x:c>
      <x:c r="AM627" s="62">
        <x:v>0.79</x:v>
      </x:c>
      <x:c r="AN627" s="62">
        <x:v>0.000419841274989723</x:v>
      </x:c>
      <x:c r="AO627" s="62">
        <x:v>0.95613006567587</x:v>
      </x:c>
      <x:c r="AP627" s="62">
        <x:v>-0.17613006567587</x:v>
      </x:c>
      <x:c r="AQ627" s="62" t="s">
        <x:v>99</x:v>
      </x:c>
      <x:c r="AR627" s="62">
        <x:v>-0.5</x:v>
      </x:c>
      <x:c r="AS627" s="62">
        <x:v>0.511213450243906</x:v>
      </x:c>
      <x:c r="AT627" s="62">
        <x:v>0.488786549756094</x:v>
      </x:c>
      <x:c r="AU627" s="62">
        <x:v>1.77</x:v>
      </x:c>
      <x:c r="AV627" s="62">
        <x:v>3.32</x:v>
      </x:c>
      <x:c r="AW627" s="62">
        <x:v>4.18</x:v>
      </x:c>
      <x:c r="AX627" s="62" t="s">
        <x:v>1890</x:v>
      </x:c>
      <x:c r="AY627" s="62" t="s">
        <x:v>2093</x:v>
      </x:c>
    </x:row>
    <x:row r="628" ht="22" customHeight="1">
      <x:c r="A628" s="49" t="s">
        <x:v>2531</x:v>
      </x:c>
      <x:c r="B628" s="49" t="s">
        <x:v>2540</x:v>
      </x:c>
      <x:c r="C628" s="49" t="s">
        <x:v>333</x:v>
      </x:c>
      <x:c r="D628" s="49" t="s">
        <x:v>116</x:v>
      </x:c>
      <x:c r="E628" s="49" t="s">
        <x:v>927</x:v>
      </x:c>
      <x:c r="F628" s="49" t="s">
        <x:v>2541</x:v>
      </x:c>
      <x:c r="G628" s="60">
        <x:v>0.78</x:v>
      </x:c>
      <x:c r="H628" s="60">
        <x:v>1.75</x:v>
      </x:c>
      <x:c r="I628" s="60">
        <x:v>0.92</x:v>
      </x:c>
      <x:c r="J628" s="49" t="s">
        <x:v>2542</x:v>
      </x:c>
      <x:c r="K628" s="49" t="s">
        <x:v>106</x:v>
      </x:c>
      <x:c r="L628" s="49" t="s">
        <x:v>1680</x:v>
      </x:c>
      <x:c r="M628" s="61">
        <x:v>0.584</x:v>
      </x:c>
      <x:c r="N628" s="49" t="s">
        <x:v>1888</x:v>
      </x:c>
      <x:c r="O628" s="49" t="s">
        <x:v>197</x:v>
      </x:c>
      <x:c r="P628" s="49" t="s">
        <x:v>30</x:v>
      </x:c>
      <x:c r="Q628" s="49" t="s">
        <x:v>14</x:v>
      </x:c>
      <x:c r="R628" s="50">
        <x:v>0.78</x:v>
      </x:c>
      <x:c r="S628" s="50">
        <x:f t="shared" si="40"/>
        <x:v>0.39</x:v>
      </x:c>
      <x:c r="T628" s="49" t="s">
        <x:v>2535</x:v>
      </x:c>
      <x:c r="U628" s="49" t="s">
        <x:v>11</x:v>
      </x:c>
      <x:c r="V628" s="50">
        <x:v>0.88</x:v>
      </x:c>
      <x:c r="W628" s="50">
        <x:f t="shared" si="41"/>
        <x:v>0.88</x:v>
      </x:c>
      <x:c r="X628" s="62">
        <x:v>0.82</x:v>
      </x:c>
      <x:c r="Y628" s="62">
        <x:v>0.5</x:v>
      </x:c>
      <x:c r="Z628" s="62">
        <x:v>0.88</x:v>
      </x:c>
      <x:c r="AA628" s="62">
        <x:v>-0.5</x:v>
      </x:c>
      <x:c r="AB628" s="62">
        <x:v>0.82</x:v>
      </x:c>
      <x:c r="AC628" s="62">
        <x:v>0.82</x:v>
      </x:c>
      <x:c r="AD628" s="62">
        <x:v>1.83</x:v>
      </x:c>
      <x:c r="AE628" s="62">
        <x:v>3.41</x:v>
      </x:c>
      <x:c r="AF628" s="62">
        <x:v>3.62</x:v>
      </x:c>
      <x:c r="AG628" s="62">
        <x:v>0.115946313319155</x:v>
      </x:c>
      <x:c r="AH628" s="62">
        <x:v>0.0659463133191552</x:v>
      </x:c>
      <x:c r="AI628" s="62">
        <x:v>0.489672380211908</x:v>
      </x:c>
      <x:c r="AJ628" s="62">
        <x:v>0.262786057415774</x:v>
      </x:c>
      <x:c r="AK628" s="62">
        <x:v>0.247541562372318</x:v>
      </x:c>
      <x:c r="AL628" s="62">
        <x:v>1.48</x:v>
      </x:c>
      <x:c r="AM628" s="62">
        <x:v>0.97</x:v>
      </x:c>
      <x:c r="AN628" s="62">
        <x:v>0.000295230581891917</x:v>
      </x:c>
      <x:c r="AO628" s="62">
        <x:v>1.04077299609319</x:v>
      </x:c>
      <x:c r="AP628" s="62">
        <x:v>-0.220772996093192</x:v>
      </x:c>
      <x:c r="AQ628" s="62" t="s">
        <x:v>99</x:v>
      </x:c>
      <x:c r="AR628" s="62">
        <x:v>-0.5</x:v>
      </x:c>
      <x:c r="AS628" s="62">
        <x:v>0.490010403858919</x:v>
      </x:c>
      <x:c r="AT628" s="62">
        <x:v>0.509989596141082</x:v>
      </x:c>
      <x:c r="AU628" s="62">
        <x:v>1.83</x:v>
      </x:c>
      <x:c r="AV628" s="62">
        <x:v>3.44</x:v>
      </x:c>
      <x:c r="AW628" s="62">
        <x:v>3.62</x:v>
      </x:c>
      <x:c r="AX628" s="62" t="s">
        <x:v>1890</x:v>
      </x:c>
      <x:c r="AY628" s="62" t="s">
        <x:v>2093</x:v>
      </x:c>
    </x:row>
    <x:row r="629" ht="22" customHeight="1">
      <x:c r="A629" s="49" t="s">
        <x:v>2543</x:v>
      </x:c>
      <x:c r="B629" s="49" t="s">
        <x:v>2544</x:v>
      </x:c>
      <x:c r="C629" s="49" t="s">
        <x:v>89</x:v>
      </x:c>
      <x:c r="D629" s="49" t="s">
        <x:v>90</x:v>
      </x:c>
      <x:c r="E629" s="49" t="s">
        <x:v>151</x:v>
      </x:c>
      <x:c r="F629" s="49" t="s">
        <x:v>2545</x:v>
      </x:c>
      <x:c r="G629" s="49">
        <x:v>0.9</x:v>
      </x:c>
      <x:c r="H629" s="49">
        <x:v>-0.5</x:v>
      </x:c>
      <x:c r="I629" s="49">
        <x:v>0.8</x:v>
      </x:c>
      <x:c r="J629" s="49" t="s">
        <x:v>2546</x:v>
      </x:c>
      <x:c r="K629" s="49" t="s">
        <x:v>2547</x:v>
      </x:c>
      <x:c r="L629" s="49" t="s">
        <x:v>2548</x:v>
      </x:c>
      <x:c r="M629" s="49"/>
      <x:c r="N629" s="49" t="s">
        <x:v>1888</x:v>
      </x:c>
      <x:c r="O629" s="49" t="s">
        <x:v>737</x:v>
      </x:c>
      <x:c r="P629" s="49" t="s">
        <x:v>30</x:v>
      </x:c>
      <x:c r="Q629" s="49" t="s">
        <x:v>11</x:v>
      </x:c>
      <x:c r="R629" s="49">
        <x:v>0.8</x:v>
      </x:c>
      <x:c r="S629" s="49">
        <x:f t="shared" si="40"/>
        <x:v>0.8</x:v>
      </x:c>
      <x:c r="T629" s="49" t="s">
        <x:v>1890</x:v>
      </x:c>
      <x:c r="U629" s="49" t="s">
        <x:v>23</x:v>
      </x:c>
      <x:c r="V629" s="49">
        <x:v>0.74</x:v>
      </x:c>
      <x:c r="W629" s="49">
        <x:f t="shared" si="41"/>
        <x:v>-1</x:v>
      </x:c>
      <x:c r="X629" s="49">
        <x:v>0.79</x:v>
      </x:c>
      <x:c r="Y629" s="49">
        <x:v>-1.5</x:v>
      </x:c>
      <x:c r="Z629" s="49">
        <x:v>0.91</x:v>
      </x:c>
      <x:c r="AA629" s="49">
        <x:v>-1.5</x:v>
      </x:c>
      <x:c r="AB629" s="49">
        <x:v>0.91</x:v>
      </x:c>
      <x:c r="AC629" s="49">
        <x:v>0.96</x:v>
      </x:c>
      <x:c r="AD629" s="49">
        <x:v>7.88</x:v>
      </x:c>
      <x:c r="AE629" s="49">
        <x:v>4.93</x:v>
      </x:c>
      <x:c r="AF629" s="49">
        <x:v>1.28</x:v>
      </x:c>
      <x:c r="AG629" s="49">
        <x:v>0.110993309891784</x:v>
      </x:c>
      <x:c r="AH629" s="49">
        <x:v>0.0609933098917844</x:v>
      </x:c>
      <x:c r="AI629" s="49">
        <x:v>0.114225308262075</x:v>
      </x:c>
      <x:c r="AJ629" s="49">
        <x:v>0.182575137749524</x:v>
      </x:c>
      <x:c r="AK629" s="49">
        <x:v>0.703199553988401</x:v>
      </x:c>
      <x:c r="AL629" s="49">
        <x:v>0.75</x:v>
      </x:c>
      <x:c r="AM629" s="49">
        <x:v>2.19</x:v>
      </x:c>
      <x:c r="AN629" s="49">
        <x:v>0.000216147213896626</x:v>
      </x:c>
      <x:c r="AO629" s="49">
        <x:v>1.50648189813399</x:v>
      </x:c>
      <x:c r="AP629" s="49">
        <x:v>-0.546481898133994</x:v>
      </x:c>
      <x:c r="AQ629" s="49" t="s">
        <x:v>99</x:v>
      </x:c>
      <x:c r="AR629" s="49">
        <x:v>-1.75</x:v>
      </x:c>
      <x:c r="AS629" s="49">
        <x:v>0.356653905160698</x:v>
      </x:c>
      <x:c r="AT629" s="49">
        <x:v>0.53729265202339</x:v>
      </x:c>
      <x:c r="AU629" s="49">
        <x:v>8.19</x:v>
      </x:c>
      <x:c r="AV629" s="49">
        <x:v>5.25</x:v>
      </x:c>
      <x:c r="AW629" s="49">
        <x:v>1.26</x:v>
      </x:c>
      <x:c r="AX629" s="49" t="s">
        <x:v>100</x:v>
      </x:c>
      <x:c r="AY629" s="49" t="s">
        <x:v>101</x:v>
      </x:c>
    </x:row>
    <x:row r="630" ht="22" customHeight="1">
      <x:c r="A630" s="49" t="s">
        <x:v>2543</x:v>
      </x:c>
      <x:c r="B630" s="49" t="s">
        <x:v>2544</x:v>
      </x:c>
      <x:c r="C630" s="49" t="s">
        <x:v>89</x:v>
      </x:c>
      <x:c r="D630" s="49" t="s">
        <x:v>90</x:v>
      </x:c>
      <x:c r="E630" s="49" t="s">
        <x:v>1180</x:v>
      </x:c>
      <x:c r="F630" s="49" t="s">
        <x:v>2549</x:v>
      </x:c>
      <x:c r="G630" s="49">
        <x:v>0.84</x:v>
      </x:c>
      <x:c r="H630" s="49">
        <x:v>0.5</x:v>
      </x:c>
      <x:c r="I630" s="49">
        <x:v>0.92</x:v>
      </x:c>
      <x:c r="J630" s="49" t="s">
        <x:v>2550</x:v>
      </x:c>
      <x:c r="K630" s="49" t="s">
        <x:v>2547</x:v>
      </x:c>
      <x:c r="L630" s="49" t="s">
        <x:v>2551</x:v>
      </x:c>
      <x:c r="M630" s="49"/>
      <x:c r="N630" s="49" t="s">
        <x:v>1888</x:v>
      </x:c>
      <x:c r="O630" s="49" t="s">
        <x:v>141</x:v>
      </x:c>
      <x:c r="P630" s="49" t="s">
        <x:v>30</x:v>
      </x:c>
      <x:c r="Q630" s="49" t="s">
        <x:v>11</x:v>
      </x:c>
      <x:c r="R630" s="49">
        <x:v>0.84</x:v>
      </x:c>
      <x:c r="S630" s="49">
        <x:f t="shared" si="40"/>
        <x:v>0.84</x:v>
      </x:c>
      <x:c r="T630" s="49" t="s">
        <x:v>1890</x:v>
      </x:c>
      <x:c r="U630" s="49" t="s">
        <x:v>23</x:v>
      </x:c>
      <x:c r="V630" s="49">
        <x:v>0.74</x:v>
      </x:c>
      <x:c r="W630" s="49">
        <x:f t="shared" si="41"/>
        <x:v>-1</x:v>
      </x:c>
      <x:c r="X630" s="49">
        <x:v>0.79</x:v>
      </x:c>
      <x:c r="Y630" s="49">
        <x:v>-1.5</x:v>
      </x:c>
      <x:c r="Z630" s="49">
        <x:v>0.91</x:v>
      </x:c>
      <x:c r="AA630" s="49">
        <x:v>-1.5</x:v>
      </x:c>
      <x:c r="AB630" s="49">
        <x:v>0.91</x:v>
      </x:c>
      <x:c r="AC630" s="49">
        <x:v>0.96</x:v>
      </x:c>
      <x:c r="AD630" s="49">
        <x:v>7.88</x:v>
      </x:c>
      <x:c r="AE630" s="49">
        <x:v>4.93</x:v>
      </x:c>
      <x:c r="AF630" s="49">
        <x:v>1.28</x:v>
      </x:c>
      <x:c r="AG630" s="49">
        <x:v>0.110993309891784</x:v>
      </x:c>
      <x:c r="AH630" s="49">
        <x:v>0.0609933098917844</x:v>
      </x:c>
      <x:c r="AI630" s="49">
        <x:v>0.114225308262075</x:v>
      </x:c>
      <x:c r="AJ630" s="49">
        <x:v>0.182575137749524</x:v>
      </x:c>
      <x:c r="AK630" s="49">
        <x:v>0.703199553988401</x:v>
      </x:c>
      <x:c r="AL630" s="49">
        <x:v>0.75</x:v>
      </x:c>
      <x:c r="AM630" s="49">
        <x:v>2.19</x:v>
      </x:c>
      <x:c r="AN630" s="49">
        <x:v>0.000216147213896626</x:v>
      </x:c>
      <x:c r="AO630" s="49">
        <x:v>1.50648189813399</x:v>
      </x:c>
      <x:c r="AP630" s="49">
        <x:v>-0.546481898133994</x:v>
      </x:c>
      <x:c r="AQ630" s="49" t="s">
        <x:v>99</x:v>
      </x:c>
      <x:c r="AR630" s="49">
        <x:v>-1.75</x:v>
      </x:c>
      <x:c r="AS630" s="49">
        <x:v>0.356653905160698</x:v>
      </x:c>
      <x:c r="AT630" s="49">
        <x:v>0.53729265202339</x:v>
      </x:c>
      <x:c r="AU630" s="49">
        <x:v>8.19</x:v>
      </x:c>
      <x:c r="AV630" s="49">
        <x:v>5.25</x:v>
      </x:c>
      <x:c r="AW630" s="49">
        <x:v>1.26</x:v>
      </x:c>
      <x:c r="AX630" s="49" t="s">
        <x:v>100</x:v>
      </x:c>
      <x:c r="AY630" s="49" t="s">
        <x:v>101</x:v>
      </x:c>
    </x:row>
    <x:row r="631" ht="22" customHeight="1">
      <x:c r="A631" s="49" t="s">
        <x:v>2543</x:v>
      </x:c>
      <x:c r="B631" s="49" t="s">
        <x:v>2544</x:v>
      </x:c>
      <x:c r="C631" s="49" t="s">
        <x:v>89</x:v>
      </x:c>
      <x:c r="D631" s="49" t="s">
        <x:v>90</x:v>
      </x:c>
      <x:c r="E631" s="49" t="s">
        <x:v>1180</x:v>
      </x:c>
      <x:c r="F631" s="49" t="s">
        <x:v>2552</x:v>
      </x:c>
      <x:c r="G631" s="49">
        <x:v>0.8</x:v>
      </x:c>
      <x:c r="H631" s="49">
        <x:v>0.25</x:v>
      </x:c>
      <x:c r="I631" s="49">
        <x:v>0.96</x:v>
      </x:c>
      <x:c r="J631" s="49" t="s">
        <x:v>2553</x:v>
      </x:c>
      <x:c r="K631" s="49" t="s">
        <x:v>2547</x:v>
      </x:c>
      <x:c r="L631" s="49" t="s">
        <x:v>2554</x:v>
      </x:c>
      <x:c r="M631" s="49"/>
      <x:c r="N631" s="49" t="s">
        <x:v>1888</x:v>
      </x:c>
      <x:c r="O631" s="49" t="s">
        <x:v>273</x:v>
      </x:c>
      <x:c r="P631" s="49" t="s">
        <x:v>30</x:v>
      </x:c>
      <x:c r="Q631" s="49" t="s">
        <x:v>20</x:v>
      </x:c>
      <x:c r="R631" s="49">
        <x:v>0.8</x:v>
      </x:c>
      <x:c r="S631" s="49">
        <x:f t="shared" si="40"/>
        <x:v>-0.5</x:v>
      </x:c>
      <x:c r="T631" s="49" t="s">
        <x:v>1890</x:v>
      </x:c>
      <x:c r="U631" s="49" t="s">
        <x:v>23</x:v>
      </x:c>
      <x:c r="V631" s="49">
        <x:v>0.74</x:v>
      </x:c>
      <x:c r="W631" s="49">
        <x:f t="shared" si="41"/>
        <x:v>-1</x:v>
      </x:c>
      <x:c r="X631" s="49">
        <x:v>0.79</x:v>
      </x:c>
      <x:c r="Y631" s="49">
        <x:v>-1.5</x:v>
      </x:c>
      <x:c r="Z631" s="49">
        <x:v>0.91</x:v>
      </x:c>
      <x:c r="AA631" s="49">
        <x:v>-1.5</x:v>
      </x:c>
      <x:c r="AB631" s="49">
        <x:v>0.91</x:v>
      </x:c>
      <x:c r="AC631" s="49">
        <x:v>0.96</x:v>
      </x:c>
      <x:c r="AD631" s="49">
        <x:v>7.88</x:v>
      </x:c>
      <x:c r="AE631" s="49">
        <x:v>4.93</x:v>
      </x:c>
      <x:c r="AF631" s="49">
        <x:v>1.28</x:v>
      </x:c>
      <x:c r="AG631" s="49">
        <x:v>0.110993309891784</x:v>
      </x:c>
      <x:c r="AH631" s="49">
        <x:v>0.0609933098917844</x:v>
      </x:c>
      <x:c r="AI631" s="49">
        <x:v>0.114225308262075</x:v>
      </x:c>
      <x:c r="AJ631" s="49">
        <x:v>0.182575137749524</x:v>
      </x:c>
      <x:c r="AK631" s="49">
        <x:v>0.703199553988401</x:v>
      </x:c>
      <x:c r="AL631" s="49">
        <x:v>0.75</x:v>
      </x:c>
      <x:c r="AM631" s="49">
        <x:v>2.19</x:v>
      </x:c>
      <x:c r="AN631" s="49">
        <x:v>0.000216147213896626</x:v>
      </x:c>
      <x:c r="AO631" s="49">
        <x:v>1.50648189813399</x:v>
      </x:c>
      <x:c r="AP631" s="49">
        <x:v>-0.546481898133994</x:v>
      </x:c>
      <x:c r="AQ631" s="49" t="s">
        <x:v>99</x:v>
      </x:c>
      <x:c r="AR631" s="49">
        <x:v>-1.75</x:v>
      </x:c>
      <x:c r="AS631" s="49">
        <x:v>0.356653905160698</x:v>
      </x:c>
      <x:c r="AT631" s="49">
        <x:v>0.53729265202339</x:v>
      </x:c>
      <x:c r="AU631" s="49">
        <x:v>8.19</x:v>
      </x:c>
      <x:c r="AV631" s="49">
        <x:v>5.25</x:v>
      </x:c>
      <x:c r="AW631" s="49">
        <x:v>1.26</x:v>
      </x:c>
      <x:c r="AX631" s="49" t="s">
        <x:v>100</x:v>
      </x:c>
      <x:c r="AY631" s="49" t="s">
        <x:v>101</x:v>
      </x:c>
    </x:row>
    <x:row r="632" ht="22" customHeight="1">
      <x:c r="A632" s="49" t="s">
        <x:v>2543</x:v>
      </x:c>
      <x:c r="B632" s="49" t="s">
        <x:v>2555</x:v>
      </x:c>
      <x:c r="C632" s="49" t="s">
        <x:v>244</x:v>
      </x:c>
      <x:c r="D632" s="49" t="s">
        <x:v>90</x:v>
      </x:c>
      <x:c r="E632" s="49" t="s">
        <x:v>103</x:v>
      </x:c>
      <x:c r="F632" s="49" t="s">
        <x:v>2556</x:v>
      </x:c>
      <x:c r="G632" s="49">
        <x:v>0.82</x:v>
      </x:c>
      <x:c r="H632" s="49">
        <x:v>0.75</x:v>
      </x:c>
      <x:c r="I632" s="49">
        <x:v>0.88</x:v>
      </x:c>
      <x:c r="J632" s="49" t="s">
        <x:v>2557</x:v>
      </x:c>
      <x:c r="K632" s="49" t="s">
        <x:v>2547</x:v>
      </x:c>
      <x:c r="L632" s="49" t="s">
        <x:v>2558</x:v>
      </x:c>
      <x:c r="M632" s="49"/>
      <x:c r="N632" s="49" t="s">
        <x:v>1888</x:v>
      </x:c>
      <x:c r="O632" s="49" t="s">
        <x:v>169</x:v>
      </x:c>
      <x:c r="P632" s="49" t="s">
        <x:v>30</x:v>
      </x:c>
      <x:c r="Q632" s="49" t="s">
        <x:v>23</x:v>
      </x:c>
      <x:c r="R632" s="49">
        <x:v>0.82</x:v>
      </x:c>
      <x:c r="S632" s="49">
        <x:f t="shared" si="40"/>
        <x:v>-1</x:v>
      </x:c>
      <x:c r="T632" s="49" t="s">
        <x:v>1890</x:v>
      </x:c>
      <x:c r="U632" s="49" t="s">
        <x:v>23</x:v>
      </x:c>
      <x:c r="V632" s="49">
        <x:v>0.74</x:v>
      </x:c>
      <x:c r="W632" s="49">
        <x:f t="shared" si="41"/>
        <x:v>-1</x:v>
      </x:c>
      <x:c r="X632" s="49">
        <x:v>0.79</x:v>
      </x:c>
      <x:c r="Y632" s="49">
        <x:v>-1.5</x:v>
      </x:c>
      <x:c r="Z632" s="49">
        <x:v>0.91</x:v>
      </x:c>
      <x:c r="AA632" s="49">
        <x:v>-1.5</x:v>
      </x:c>
      <x:c r="AB632" s="49">
        <x:v>0.91</x:v>
      </x:c>
      <x:c r="AC632" s="49">
        <x:v>0.96</x:v>
      </x:c>
      <x:c r="AD632" s="49">
        <x:v>7.88</x:v>
      </x:c>
      <x:c r="AE632" s="49">
        <x:v>4.93</x:v>
      </x:c>
      <x:c r="AF632" s="49">
        <x:v>1.28</x:v>
      </x:c>
      <x:c r="AG632" s="49">
        <x:v>0.110993309891784</x:v>
      </x:c>
      <x:c r="AH632" s="49">
        <x:v>0.0609933098917844</x:v>
      </x:c>
      <x:c r="AI632" s="49">
        <x:v>0.114225308262075</x:v>
      </x:c>
      <x:c r="AJ632" s="49">
        <x:v>0.182575137749524</x:v>
      </x:c>
      <x:c r="AK632" s="49">
        <x:v>0.703199553988401</x:v>
      </x:c>
      <x:c r="AL632" s="49">
        <x:v>0.75</x:v>
      </x:c>
      <x:c r="AM632" s="49">
        <x:v>2.19</x:v>
      </x:c>
      <x:c r="AN632" s="49">
        <x:v>0.000216147213896626</x:v>
      </x:c>
      <x:c r="AO632" s="49">
        <x:v>1.50648189813399</x:v>
      </x:c>
      <x:c r="AP632" s="49">
        <x:v>-0.546481898133994</x:v>
      </x:c>
      <x:c r="AQ632" s="49" t="s">
        <x:v>99</x:v>
      </x:c>
      <x:c r="AR632" s="49">
        <x:v>-1.75</x:v>
      </x:c>
      <x:c r="AS632" s="49">
        <x:v>0.356653905160698</x:v>
      </x:c>
      <x:c r="AT632" s="49">
        <x:v>0.53729265202339</x:v>
      </x:c>
      <x:c r="AU632" s="49">
        <x:v>8.19</x:v>
      </x:c>
      <x:c r="AV632" s="49">
        <x:v>5.25</x:v>
      </x:c>
      <x:c r="AW632" s="49">
        <x:v>1.26</x:v>
      </x:c>
      <x:c r="AX632" s="49" t="s">
        <x:v>100</x:v>
      </x:c>
      <x:c r="AY632" s="49" t="s">
        <x:v>101</x:v>
      </x:c>
    </x:row>
    <x:row r="633" ht="22" customHeight="1">
      <x:c r="A633" s="49" t="s">
        <x:v>2559</x:v>
      </x:c>
      <x:c r="B633" s="49" t="s">
        <x:v>2560</x:v>
      </x:c>
      <x:c r="C633" s="49" t="s">
        <x:v>239</x:v>
      </x:c>
      <x:c r="D633" s="49" t="s">
        <x:v>90</x:v>
      </x:c>
      <x:c r="E633" s="49" t="s">
        <x:v>1754</x:v>
      </x:c>
      <x:c r="F633" s="49" t="s">
        <x:v>2561</x:v>
      </x:c>
      <x:c r="G633" s="49">
        <x:v>0.75</x:v>
      </x:c>
      <x:c r="H633" s="49">
        <x:v>0.25</x:v>
      </x:c>
      <x:c r="I633" s="49">
        <x:v>0.95</x:v>
      </x:c>
      <x:c r="J633" s="49" t="s">
        <x:v>153</x:v>
      </x:c>
      <x:c r="K633" s="49" t="s">
        <x:v>2547</x:v>
      </x:c>
      <x:c r="L633" s="49" t="s">
        <x:v>2562</x:v>
      </x:c>
      <x:c r="M633" s="49"/>
      <x:c r="N633" s="49" t="s">
        <x:v>1888</x:v>
      </x:c>
      <x:c r="O633" s="49" t="s">
        <x:v>126</x:v>
      </x:c>
      <x:c r="P633" s="49" t="s">
        <x:v>30</x:v>
      </x:c>
      <x:c r="Q633" s="49" t="s">
        <x:v>20</x:v>
      </x:c>
      <x:c r="R633" s="49">
        <x:v>0.75</x:v>
      </x:c>
      <x:c r="S633" s="49">
        <x:f t="shared" si="40"/>
        <x:v>-0.5</x:v>
      </x:c>
      <x:c r="T633" s="49" t="s">
        <x:v>1890</x:v>
      </x:c>
      <x:c r="U633" s="49" t="s">
        <x:v>23</x:v>
      </x:c>
      <x:c r="V633" s="49">
        <x:v>0.74</x:v>
      </x:c>
      <x:c r="W633" s="49">
        <x:f t="shared" si="41"/>
        <x:v>-1</x:v>
      </x:c>
      <x:c r="X633" s="49">
        <x:v>0.79</x:v>
      </x:c>
      <x:c r="Y633" s="49">
        <x:v>-1.5</x:v>
      </x:c>
      <x:c r="Z633" s="49">
        <x:v>0.91</x:v>
      </x:c>
      <x:c r="AA633" s="49">
        <x:v>-1.5</x:v>
      </x:c>
      <x:c r="AB633" s="49">
        <x:v>0.91</x:v>
      </x:c>
      <x:c r="AC633" s="49">
        <x:v>0.96</x:v>
      </x:c>
      <x:c r="AD633" s="49">
        <x:v>7.88</x:v>
      </x:c>
      <x:c r="AE633" s="49">
        <x:v>4.93</x:v>
      </x:c>
      <x:c r="AF633" s="49">
        <x:v>1.28</x:v>
      </x:c>
      <x:c r="AG633" s="49">
        <x:v>0.110993309891784</x:v>
      </x:c>
      <x:c r="AH633" s="49">
        <x:v>0.0609933098917844</x:v>
      </x:c>
      <x:c r="AI633" s="49">
        <x:v>0.114225308262075</x:v>
      </x:c>
      <x:c r="AJ633" s="49">
        <x:v>0.182575137749524</x:v>
      </x:c>
      <x:c r="AK633" s="49">
        <x:v>0.703199553988401</x:v>
      </x:c>
      <x:c r="AL633" s="49">
        <x:v>0.75</x:v>
      </x:c>
      <x:c r="AM633" s="49">
        <x:v>2.19</x:v>
      </x:c>
      <x:c r="AN633" s="49">
        <x:v>0.000216147213896626</x:v>
      </x:c>
      <x:c r="AO633" s="49">
        <x:v>1.50648189813399</x:v>
      </x:c>
      <x:c r="AP633" s="49">
        <x:v>-0.546481898133994</x:v>
      </x:c>
      <x:c r="AQ633" s="49" t="s">
        <x:v>99</x:v>
      </x:c>
      <x:c r="AR633" s="49">
        <x:v>-1.75</x:v>
      </x:c>
      <x:c r="AS633" s="49">
        <x:v>0.356653905160698</x:v>
      </x:c>
      <x:c r="AT633" s="49">
        <x:v>0.53729265202339</x:v>
      </x:c>
      <x:c r="AU633" s="49">
        <x:v>8.19</x:v>
      </x:c>
      <x:c r="AV633" s="49">
        <x:v>5.25</x:v>
      </x:c>
      <x:c r="AW633" s="49">
        <x:v>1.26</x:v>
      </x:c>
      <x:c r="AX633" s="49" t="s">
        <x:v>100</x:v>
      </x:c>
      <x:c r="AY633" s="49" t="s">
        <x:v>101</x:v>
      </x:c>
    </x:row>
    <x:row r="634" ht="22" customHeight="1">
      <x:c r="A634" s="49" t="s">
        <x:v>2559</x:v>
      </x:c>
      <x:c r="B634" s="49" t="s">
        <x:v>2563</x:v>
      </x:c>
      <x:c r="C634" s="49" t="s">
        <x:v>239</x:v>
      </x:c>
      <x:c r="D634" s="49" t="s">
        <x:v>90</x:v>
      </x:c>
      <x:c r="E634" s="49" t="s">
        <x:v>1754</x:v>
      </x:c>
      <x:c r="F634" s="49" t="s">
        <x:v>2564</x:v>
      </x:c>
      <x:c r="G634" s="49">
        <x:v>0.78</x:v>
      </x:c>
      <x:c r="H634" s="49">
        <x:v>0.25</x:v>
      </x:c>
      <x:c r="I634" s="49">
        <x:v>0.92</x:v>
      </x:c>
      <x:c r="J634" s="49" t="s">
        <x:v>323</x:v>
      </x:c>
      <x:c r="K634" s="49" t="s">
        <x:v>2547</x:v>
      </x:c>
      <x:c r="L634" s="49" t="s">
        <x:v>2565</x:v>
      </x:c>
      <x:c r="M634" s="49"/>
      <x:c r="N634" s="49" t="s">
        <x:v>1888</x:v>
      </x:c>
      <x:c r="O634" s="49" t="s">
        <x:v>169</x:v>
      </x:c>
      <x:c r="P634" s="49" t="s">
        <x:v>30</x:v>
      </x:c>
      <x:c r="Q634" s="49" t="s">
        <x:v>23</x:v>
      </x:c>
      <x:c r="R634" s="49">
        <x:v>0.78</x:v>
      </x:c>
      <x:c r="S634" s="49">
        <x:f t="shared" si="40"/>
        <x:v>-1</x:v>
      </x:c>
      <x:c r="T634" s="49" t="s">
        <x:v>1890</x:v>
      </x:c>
      <x:c r="U634" s="49" t="s">
        <x:v>23</x:v>
      </x:c>
      <x:c r="V634" s="49">
        <x:v>0.74</x:v>
      </x:c>
      <x:c r="W634" s="49">
        <x:f t="shared" si="41"/>
        <x:v>-1</x:v>
      </x:c>
      <x:c r="X634" s="49">
        <x:v>0.79</x:v>
      </x:c>
      <x:c r="Y634" s="49">
        <x:v>-1.5</x:v>
      </x:c>
      <x:c r="Z634" s="49">
        <x:v>0.91</x:v>
      </x:c>
      <x:c r="AA634" s="49">
        <x:v>-1.5</x:v>
      </x:c>
      <x:c r="AB634" s="49">
        <x:v>0.91</x:v>
      </x:c>
      <x:c r="AC634" s="49">
        <x:v>0.96</x:v>
      </x:c>
      <x:c r="AD634" s="49">
        <x:v>7.88</x:v>
      </x:c>
      <x:c r="AE634" s="49">
        <x:v>4.93</x:v>
      </x:c>
      <x:c r="AF634" s="49">
        <x:v>1.28</x:v>
      </x:c>
      <x:c r="AG634" s="49">
        <x:v>0.110993309891784</x:v>
      </x:c>
      <x:c r="AH634" s="49">
        <x:v>0.0609933098917844</x:v>
      </x:c>
      <x:c r="AI634" s="49">
        <x:v>0.114225308262075</x:v>
      </x:c>
      <x:c r="AJ634" s="49">
        <x:v>0.182575137749524</x:v>
      </x:c>
      <x:c r="AK634" s="49">
        <x:v>0.703199553988401</x:v>
      </x:c>
      <x:c r="AL634" s="49">
        <x:v>0.75</x:v>
      </x:c>
      <x:c r="AM634" s="49">
        <x:v>2.19</x:v>
      </x:c>
      <x:c r="AN634" s="49">
        <x:v>0.000216147213896626</x:v>
      </x:c>
      <x:c r="AO634" s="49">
        <x:v>1.50648189813399</x:v>
      </x:c>
      <x:c r="AP634" s="49">
        <x:v>-0.546481898133994</x:v>
      </x:c>
      <x:c r="AQ634" s="49" t="s">
        <x:v>99</x:v>
      </x:c>
      <x:c r="AR634" s="49">
        <x:v>-1.75</x:v>
      </x:c>
      <x:c r="AS634" s="49">
        <x:v>0.356653905160698</x:v>
      </x:c>
      <x:c r="AT634" s="49">
        <x:v>0.53729265202339</x:v>
      </x:c>
      <x:c r="AU634" s="49">
        <x:v>8.19</x:v>
      </x:c>
      <x:c r="AV634" s="49">
        <x:v>5.25</x:v>
      </x:c>
      <x:c r="AW634" s="49">
        <x:v>1.26</x:v>
      </x:c>
      <x:c r="AX634" s="49" t="s">
        <x:v>100</x:v>
      </x:c>
      <x:c r="AY634" s="49" t="s">
        <x:v>101</x:v>
      </x:c>
    </x:row>
    <x:row r="635" ht="22" customHeight="1">
      <x:c r="A635" s="49" t="s">
        <x:v>2559</x:v>
      </x:c>
      <x:c r="B635" s="49" t="s">
        <x:v>2566</x:v>
      </x:c>
      <x:c r="C635" s="49" t="s">
        <x:v>239</x:v>
      </x:c>
      <x:c r="D635" s="49" t="s">
        <x:v>90</x:v>
      </x:c>
      <x:c r="E635" s="49" t="s">
        <x:v>2567</x:v>
      </x:c>
      <x:c r="F635" s="49" t="s">
        <x:v>2568</x:v>
      </x:c>
      <x:c r="G635" s="49">
        <x:v>0.8</x:v>
      </x:c>
      <x:c r="H635" s="49">
        <x:v>0.75</x:v>
      </x:c>
      <x:c r="I635" s="49">
        <x:v>1.02</x:v>
      </x:c>
      <x:c r="J635" s="49" t="s">
        <x:v>2569</x:v>
      </x:c>
      <x:c r="K635" s="49" t="s">
        <x:v>2547</x:v>
      </x:c>
      <x:c r="L635" s="49" t="s">
        <x:v>1014</x:v>
      </x:c>
      <x:c r="M635" s="49"/>
      <x:c r="N635" s="49" t="s">
        <x:v>1888</x:v>
      </x:c>
      <x:c r="O635" s="49" t="s">
        <x:v>317</x:v>
      </x:c>
      <x:c r="P635" s="49" t="s">
        <x:v>30</x:v>
      </x:c>
      <x:c r="Q635" s="49" t="s">
        <x:v>11</x:v>
      </x:c>
      <x:c r="R635" s="49">
        <x:v>0.8</x:v>
      </x:c>
      <x:c r="S635" s="49">
        <x:f t="shared" si="40"/>
        <x:v>0.8</x:v>
      </x:c>
      <x:c r="T635" s="49" t="s">
        <x:v>1890</x:v>
      </x:c>
      <x:c r="U635" s="49" t="s">
        <x:v>23</x:v>
      </x:c>
      <x:c r="V635" s="49">
        <x:v>0.74</x:v>
      </x:c>
      <x:c r="W635" s="49">
        <x:f t="shared" si="41"/>
        <x:v>-1</x:v>
      </x:c>
      <x:c r="X635" s="49">
        <x:v>0.79</x:v>
      </x:c>
      <x:c r="Y635" s="49">
        <x:v>-1.5</x:v>
      </x:c>
      <x:c r="Z635" s="49">
        <x:v>0.91</x:v>
      </x:c>
      <x:c r="AA635" s="49">
        <x:v>-1.5</x:v>
      </x:c>
      <x:c r="AB635" s="49">
        <x:v>0.91</x:v>
      </x:c>
      <x:c r="AC635" s="49">
        <x:v>0.96</x:v>
      </x:c>
      <x:c r="AD635" s="49">
        <x:v>7.88</x:v>
      </x:c>
      <x:c r="AE635" s="49">
        <x:v>4.93</x:v>
      </x:c>
      <x:c r="AF635" s="49">
        <x:v>1.28</x:v>
      </x:c>
      <x:c r="AG635" s="49">
        <x:v>0.110993309891784</x:v>
      </x:c>
      <x:c r="AH635" s="49">
        <x:v>0.0609933098917844</x:v>
      </x:c>
      <x:c r="AI635" s="49">
        <x:v>0.114225308262075</x:v>
      </x:c>
      <x:c r="AJ635" s="49">
        <x:v>0.182575137749524</x:v>
      </x:c>
      <x:c r="AK635" s="49">
        <x:v>0.703199553988401</x:v>
      </x:c>
      <x:c r="AL635" s="49">
        <x:v>0.75</x:v>
      </x:c>
      <x:c r="AM635" s="49">
        <x:v>2.19</x:v>
      </x:c>
      <x:c r="AN635" s="49">
        <x:v>0.000216147213896626</x:v>
      </x:c>
      <x:c r="AO635" s="49">
        <x:v>1.50648189813399</x:v>
      </x:c>
      <x:c r="AP635" s="49">
        <x:v>-0.546481898133994</x:v>
      </x:c>
      <x:c r="AQ635" s="49" t="s">
        <x:v>99</x:v>
      </x:c>
      <x:c r="AR635" s="49">
        <x:v>-1.75</x:v>
      </x:c>
      <x:c r="AS635" s="49">
        <x:v>0.356653905160698</x:v>
      </x:c>
      <x:c r="AT635" s="49">
        <x:v>0.53729265202339</x:v>
      </x:c>
      <x:c r="AU635" s="49">
        <x:v>8.19</x:v>
      </x:c>
      <x:c r="AV635" s="49">
        <x:v>5.25</x:v>
      </x:c>
      <x:c r="AW635" s="49">
        <x:v>1.26</x:v>
      </x:c>
      <x:c r="AX635" s="49" t="s">
        <x:v>100</x:v>
      </x:c>
      <x:c r="AY635" s="49" t="s">
        <x:v>101</x:v>
      </x:c>
    </x:row>
    <x:row r="636" ht="22" customHeight="1">
      <x:c r="A636" s="49" t="s">
        <x:v>2559</x:v>
      </x:c>
      <x:c r="B636" s="49" t="s">
        <x:v>2570</x:v>
      </x:c>
      <x:c r="C636" s="49" t="s">
        <x:v>89</x:v>
      </x:c>
      <x:c r="D636" s="49" t="s">
        <x:v>90</x:v>
      </x:c>
      <x:c r="E636" s="49" t="s">
        <x:v>325</x:v>
      </x:c>
      <x:c r="F636" s="49" t="s">
        <x:v>2571</x:v>
      </x:c>
      <x:c r="G636" s="49">
        <x:v>0.9</x:v>
      </x:c>
      <x:c r="H636" s="49">
        <x:v>-1.5</x:v>
      </x:c>
      <x:c r="I636" s="49">
        <x:v>0.8</x:v>
      </x:c>
      <x:c r="J636" s="49" t="s">
        <x:v>2572</x:v>
      </x:c>
      <x:c r="K636" s="49" t="s">
        <x:v>2547</x:v>
      </x:c>
      <x:c r="L636" s="49" t="s">
        <x:v>343</x:v>
      </x:c>
      <x:c r="M636" s="49"/>
      <x:c r="N636" s="49" t="s">
        <x:v>1888</x:v>
      </x:c>
      <x:c r="O636" s="49" t="s">
        <x:v>197</x:v>
      </x:c>
      <x:c r="P636" s="49" t="s">
        <x:v>30</x:v>
      </x:c>
      <x:c r="Q636" s="49" t="s">
        <x:v>23</x:v>
      </x:c>
      <x:c r="R636" s="49">
        <x:v>0.8</x:v>
      </x:c>
      <x:c r="S636" s="49">
        <x:f t="shared" si="40"/>
        <x:v>-1</x:v>
      </x:c>
      <x:c r="T636" s="49" t="s">
        <x:v>1890</x:v>
      </x:c>
      <x:c r="U636" s="49"/>
      <x:c r="V636" s="49"/>
      <x:c r="W636" s="49" t="str">
        <x:f t="shared" si="41"/>
      </x:c>
      <x:c r="X636" s="49"/>
      <x:c r="Y636" s="49"/>
      <x:c r="Z636" s="49"/>
      <x:c r="AA636" s="49"/>
      <x:c r="AB636" s="49"/>
      <x:c r="AC636" s="49"/>
      <x:c r="AD636" s="49"/>
      <x:c r="AE636" s="49"/>
      <x:c r="AF636" s="49"/>
      <x:c r="AG636" s="49"/>
      <x:c r="AH636" s="49"/>
      <x:c r="AI636" s="49"/>
      <x:c r="AJ636" s="49"/>
      <x:c r="AK636" s="49"/>
      <x:c r="AL636" s="49"/>
      <x:c r="AM636" s="49"/>
      <x:c r="AN636" s="49"/>
      <x:c r="AO636" s="49"/>
      <x:c r="AP636" s="49"/>
      <x:c r="AQ636" s="49"/>
      <x:c r="AR636" s="49"/>
      <x:c r="AS636" s="49"/>
      <x:c r="AT636" s="49"/>
      <x:c r="AU636" s="49"/>
      <x:c r="AV636" s="49"/>
      <x:c r="AW636" s="49"/>
      <x:c r="AX636" s="49"/>
      <x:c r="AY636" s="49"/>
    </x:row>
    <x:row r="637" ht="22" customHeight="1">
      <x:c r="A637" s="49" t="s">
        <x:v>2559</x:v>
      </x:c>
      <x:c r="B637" s="49" t="s">
        <x:v>2573</x:v>
      </x:c>
      <x:c r="C637" s="49" t="s">
        <x:v>244</x:v>
      </x:c>
      <x:c r="D637" s="49" t="s">
        <x:v>116</x:v>
      </x:c>
      <x:c r="E637" s="49" t="s">
        <x:v>448</x:v>
      </x:c>
      <x:c r="F637" s="49" t="s">
        <x:v>2574</x:v>
      </x:c>
      <x:c r="G637" s="49">
        <x:v>1</x:v>
      </x:c>
      <x:c r="H637" s="49">
        <x:v>0.75</x:v>
      </x:c>
      <x:c r="I637" s="49">
        <x:v>0.82</x:v>
      </x:c>
      <x:c r="J637" s="49" t="s">
        <x:v>2575</x:v>
      </x:c>
      <x:c r="K637" s="49" t="s">
        <x:v>2547</x:v>
      </x:c>
      <x:c r="L637" s="49" t="s">
        <x:v>2576</x:v>
      </x:c>
      <x:c r="M637" s="49"/>
      <x:c r="N637" s="49" t="s">
        <x:v>1888</x:v>
      </x:c>
      <x:c r="O637" s="49" t="s">
        <x:v>108</x:v>
      </x:c>
      <x:c r="P637" s="49" t="s">
        <x:v>30</x:v>
      </x:c>
      <x:c r="Q637" s="49" t="s">
        <x:v>23</x:v>
      </x:c>
      <x:c r="R637" s="49">
        <x:v>1.08</x:v>
      </x:c>
      <x:c r="S637" s="49">
        <x:f t="shared" si="40"/>
        <x:v>-1</x:v>
      </x:c>
      <x:c r="T637" s="49" t="s">
        <x:v>1890</x:v>
      </x:c>
      <x:c r="U637" s="49"/>
      <x:c r="V637" s="49"/>
      <x:c r="W637" s="49" t="str">
        <x:f t="shared" si="41"/>
      </x:c>
      <x:c r="X637" s="49"/>
      <x:c r="Y637" s="49"/>
      <x:c r="Z637" s="49"/>
      <x:c r="AA637" s="49"/>
      <x:c r="AB637" s="49"/>
      <x:c r="AC637" s="49"/>
      <x:c r="AD637" s="49"/>
      <x:c r="AE637" s="49"/>
      <x:c r="AF637" s="49"/>
      <x:c r="AG637" s="49"/>
      <x:c r="AH637" s="49"/>
      <x:c r="AI637" s="49"/>
      <x:c r="AJ637" s="49"/>
      <x:c r="AK637" s="49"/>
      <x:c r="AL637" s="49"/>
      <x:c r="AM637" s="49"/>
      <x:c r="AN637" s="49"/>
      <x:c r="AO637" s="49"/>
      <x:c r="AP637" s="49"/>
      <x:c r="AQ637" s="49"/>
      <x:c r="AR637" s="49"/>
      <x:c r="AS637" s="49"/>
      <x:c r="AT637" s="49"/>
      <x:c r="AU637" s="49"/>
      <x:c r="AV637" s="49"/>
      <x:c r="AW637" s="49"/>
      <x:c r="AX637" s="49"/>
      <x:c r="AY637" s="49"/>
    </x:row>
    <x:row r="638" ht="22" customHeight="1">
      <x:c r="A638" s="49" t="s">
        <x:v>2559</x:v>
      </x:c>
      <x:c r="B638" s="49" t="s">
        <x:v>2577</x:v>
      </x:c>
      <x:c r="C638" s="49" t="s">
        <x:v>244</x:v>
      </x:c>
      <x:c r="D638" s="49" t="s">
        <x:v>90</x:v>
      </x:c>
      <x:c r="E638" s="49" t="s">
        <x:v>2578</x:v>
      </x:c>
      <x:c r="F638" s="49" t="s">
        <x:v>2579</x:v>
      </x:c>
      <x:c r="G638" s="49">
        <x:v>0.75</x:v>
      </x:c>
      <x:c r="H638" s="49">
        <x:v>0</x:v>
      </x:c>
      <x:c r="I638" s="49">
        <x:v>0.95</x:v>
      </x:c>
      <x:c r="J638" s="49" t="s">
        <x:v>2580</x:v>
      </x:c>
      <x:c r="K638" s="49" t="s">
        <x:v>2547</x:v>
      </x:c>
      <x:c r="L638" s="49" t="s">
        <x:v>2581</x:v>
      </x:c>
      <x:c r="M638" s="49"/>
      <x:c r="N638" s="49" t="s">
        <x:v>1888</x:v>
      </x:c>
      <x:c r="O638" s="49" t="s">
        <x:v>114</x:v>
      </x:c>
      <x:c r="P638" s="49" t="s">
        <x:v>30</x:v>
      </x:c>
      <x:c r="Q638" s="49" t="s">
        <x:v>23</x:v>
      </x:c>
      <x:c r="R638" s="49">
        <x:v>0.81</x:v>
      </x:c>
      <x:c r="S638" s="49">
        <x:f t="shared" si="40"/>
        <x:v>-1</x:v>
      </x:c>
      <x:c r="T638" s="49" t="s">
        <x:v>1890</x:v>
      </x:c>
      <x:c r="U638" s="49"/>
      <x:c r="V638" s="49"/>
      <x:c r="W638" s="49" t="str">
        <x:f t="shared" si="41"/>
      </x:c>
      <x:c r="X638" s="49"/>
      <x:c r="Y638" s="49"/>
      <x:c r="Z638" s="49"/>
      <x:c r="AA638" s="49"/>
      <x:c r="AB638" s="49"/>
      <x:c r="AC638" s="49"/>
      <x:c r="AD638" s="49"/>
      <x:c r="AE638" s="49"/>
      <x:c r="AF638" s="49"/>
      <x:c r="AG638" s="49"/>
      <x:c r="AH638" s="49"/>
      <x:c r="AI638" s="49"/>
      <x:c r="AJ638" s="49"/>
      <x:c r="AK638" s="49"/>
      <x:c r="AL638" s="49"/>
      <x:c r="AM638" s="49"/>
      <x:c r="AN638" s="49"/>
      <x:c r="AO638" s="49"/>
      <x:c r="AP638" s="49"/>
      <x:c r="AQ638" s="49"/>
      <x:c r="AR638" s="49"/>
      <x:c r="AS638" s="49"/>
      <x:c r="AT638" s="49"/>
      <x:c r="AU638" s="49"/>
      <x:c r="AV638" s="49"/>
      <x:c r="AW638" s="49"/>
      <x:c r="AX638" s="49"/>
      <x:c r="AY638" s="49"/>
    </x:row>
    <x:row r="639" ht="22" customHeight="1">
      <x:c r="A639" s="49" t="s">
        <x:v>2559</x:v>
      </x:c>
      <x:c r="B639" s="49" t="s">
        <x:v>2582</x:v>
      </x:c>
      <x:c r="C639" s="49" t="s">
        <x:v>89</x:v>
      </x:c>
      <x:c r="D639" s="49" t="s">
        <x:v>90</x:v>
      </x:c>
      <x:c r="E639" s="49" t="s">
        <x:v>2583</x:v>
      </x:c>
      <x:c r="F639" s="49" t="s">
        <x:v>2584</x:v>
      </x:c>
      <x:c r="G639" s="49">
        <x:v>0.82</x:v>
      </x:c>
      <x:c r="H639" s="49">
        <x:v>0.5</x:v>
      </x:c>
      <x:c r="I639" s="49">
        <x:v>0.88</x:v>
      </x:c>
      <x:c r="J639" s="49" t="s">
        <x:v>1430</x:v>
      </x:c>
      <x:c r="K639" s="49" t="s">
        <x:v>2547</x:v>
      </x:c>
      <x:c r="L639" s="49" t="s">
        <x:v>2585</x:v>
      </x:c>
      <x:c r="M639" s="49"/>
      <x:c r="N639" s="49" t="s">
        <x:v>1888</x:v>
      </x:c>
      <x:c r="O639" s="49" t="s">
        <x:v>161</x:v>
      </x:c>
      <x:c r="P639" s="49" t="s">
        <x:v>30</x:v>
      </x:c>
      <x:c r="Q639" s="49" t="s">
        <x:v>11</x:v>
      </x:c>
      <x:c r="R639" s="49">
        <x:v>0.82</x:v>
      </x:c>
      <x:c r="S639" s="49">
        <x:f t="shared" si="40"/>
        <x:v>0.82</x:v>
      </x:c>
      <x:c r="T639" s="49" t="s">
        <x:v>1890</x:v>
      </x:c>
      <x:c r="U639" s="49" t="s">
        <x:v>23</x:v>
      </x:c>
      <x:c r="V639" s="49">
        <x:v>0.74</x:v>
      </x:c>
      <x:c r="W639" s="49">
        <x:f t="shared" si="41"/>
        <x:v>-1</x:v>
      </x:c>
      <x:c r="X639" s="49">
        <x:v>0.79</x:v>
      </x:c>
      <x:c r="Y639" s="49">
        <x:v>-1.5</x:v>
      </x:c>
      <x:c r="Z639" s="49">
        <x:v>0.91</x:v>
      </x:c>
      <x:c r="AA639" s="49">
        <x:v>-1.5</x:v>
      </x:c>
      <x:c r="AB639" s="49">
        <x:v>0.91</x:v>
      </x:c>
      <x:c r="AC639" s="49">
        <x:v>0.96</x:v>
      </x:c>
      <x:c r="AD639" s="49">
        <x:v>7.88</x:v>
      </x:c>
      <x:c r="AE639" s="49">
        <x:v>4.93</x:v>
      </x:c>
      <x:c r="AF639" s="49">
        <x:v>1.28</x:v>
      </x:c>
      <x:c r="AG639" s="49">
        <x:v>0.110993309891784</x:v>
      </x:c>
      <x:c r="AH639" s="49">
        <x:v>0.0609933098917844</x:v>
      </x:c>
      <x:c r="AI639" s="49">
        <x:v>0.114225308262075</x:v>
      </x:c>
      <x:c r="AJ639" s="49">
        <x:v>0.182575137749524</x:v>
      </x:c>
      <x:c r="AK639" s="49">
        <x:v>0.703199553988401</x:v>
      </x:c>
      <x:c r="AL639" s="49">
        <x:v>0.75</x:v>
      </x:c>
      <x:c r="AM639" s="49">
        <x:v>2.19</x:v>
      </x:c>
      <x:c r="AN639" s="49">
        <x:v>0.000216147213896626</x:v>
      </x:c>
      <x:c r="AO639" s="49">
        <x:v>1.50648189813399</x:v>
      </x:c>
      <x:c r="AP639" s="49">
        <x:v>-0.546481898133994</x:v>
      </x:c>
      <x:c r="AQ639" s="49" t="s">
        <x:v>99</x:v>
      </x:c>
      <x:c r="AR639" s="49">
        <x:v>-1.75</x:v>
      </x:c>
      <x:c r="AS639" s="49">
        <x:v>0.356653905160698</x:v>
      </x:c>
      <x:c r="AT639" s="49">
        <x:v>0.53729265202339</x:v>
      </x:c>
      <x:c r="AU639" s="49">
        <x:v>8.19</x:v>
      </x:c>
      <x:c r="AV639" s="49">
        <x:v>5.25</x:v>
      </x:c>
      <x:c r="AW639" s="49">
        <x:v>1.26</x:v>
      </x:c>
      <x:c r="AX639" s="49" t="s">
        <x:v>100</x:v>
      </x:c>
      <x:c r="AY639" s="49" t="s">
        <x:v>101</x:v>
      </x:c>
    </x:row>
    <x:row r="640" ht="22" customHeight="1">
      <x:c r="A640" s="49" t="s">
        <x:v>2559</x:v>
      </x:c>
      <x:c r="B640" s="49" t="s">
        <x:v>2582</x:v>
      </x:c>
      <x:c r="C640" s="49" t="s">
        <x:v>89</x:v>
      </x:c>
      <x:c r="D640" s="49" t="s">
        <x:v>90</x:v>
      </x:c>
      <x:c r="E640" s="49" t="s">
        <x:v>2583</x:v>
      </x:c>
      <x:c r="F640" s="49" t="s">
        <x:v>2586</x:v>
      </x:c>
      <x:c r="G640" s="49">
        <x:v>0.82</x:v>
      </x:c>
      <x:c r="H640" s="49">
        <x:v>1.5</x:v>
      </x:c>
      <x:c r="I640" s="49">
        <x:v>0.88</x:v>
      </x:c>
      <x:c r="J640" s="49" t="s">
        <x:v>2587</x:v>
      </x:c>
      <x:c r="K640" s="49" t="s">
        <x:v>2547</x:v>
      </x:c>
      <x:c r="L640" s="49" t="s">
        <x:v>2588</x:v>
      </x:c>
      <x:c r="M640" s="49"/>
      <x:c r="N640" s="49" t="s">
        <x:v>1888</x:v>
      </x:c>
      <x:c r="O640" s="49" t="s">
        <x:v>149</x:v>
      </x:c>
      <x:c r="P640" s="49" t="s">
        <x:v>30</x:v>
      </x:c>
      <x:c r="Q640" s="49" t="s">
        <x:v>23</x:v>
      </x:c>
      <x:c r="R640" s="49">
        <x:v>0.82</x:v>
      </x:c>
      <x:c r="S640" s="49">
        <x:f t="shared" si="40"/>
        <x:v>-1</x:v>
      </x:c>
      <x:c r="T640" s="49" t="s">
        <x:v>1890</x:v>
      </x:c>
      <x:c r="U640" s="49" t="s">
        <x:v>23</x:v>
      </x:c>
      <x:c r="V640" s="49">
        <x:v>0.74</x:v>
      </x:c>
      <x:c r="W640" s="49">
        <x:f t="shared" si="41"/>
        <x:v>-1</x:v>
      </x:c>
      <x:c r="X640" s="49">
        <x:v>0.79</x:v>
      </x:c>
      <x:c r="Y640" s="49">
        <x:v>-1.5</x:v>
      </x:c>
      <x:c r="Z640" s="49">
        <x:v>0.91</x:v>
      </x:c>
      <x:c r="AA640" s="49">
        <x:v>-1.5</x:v>
      </x:c>
      <x:c r="AB640" s="49">
        <x:v>0.91</x:v>
      </x:c>
      <x:c r="AC640" s="49">
        <x:v>0.96</x:v>
      </x:c>
      <x:c r="AD640" s="49">
        <x:v>7.88</x:v>
      </x:c>
      <x:c r="AE640" s="49">
        <x:v>4.93</x:v>
      </x:c>
      <x:c r="AF640" s="49">
        <x:v>1.28</x:v>
      </x:c>
      <x:c r="AG640" s="49">
        <x:v>0.110993309891784</x:v>
      </x:c>
      <x:c r="AH640" s="49">
        <x:v>0.0609933098917844</x:v>
      </x:c>
      <x:c r="AI640" s="49">
        <x:v>0.114225308262075</x:v>
      </x:c>
      <x:c r="AJ640" s="49">
        <x:v>0.182575137749524</x:v>
      </x:c>
      <x:c r="AK640" s="49">
        <x:v>0.703199553988401</x:v>
      </x:c>
      <x:c r="AL640" s="49">
        <x:v>0.75</x:v>
      </x:c>
      <x:c r="AM640" s="49">
        <x:v>2.19</x:v>
      </x:c>
      <x:c r="AN640" s="49">
        <x:v>0.000216147213896626</x:v>
      </x:c>
      <x:c r="AO640" s="49">
        <x:v>1.50648189813399</x:v>
      </x:c>
      <x:c r="AP640" s="49">
        <x:v>-0.546481898133994</x:v>
      </x:c>
      <x:c r="AQ640" s="49" t="s">
        <x:v>99</x:v>
      </x:c>
      <x:c r="AR640" s="49">
        <x:v>-1.75</x:v>
      </x:c>
      <x:c r="AS640" s="49">
        <x:v>0.356653905160698</x:v>
      </x:c>
      <x:c r="AT640" s="49">
        <x:v>0.53729265202339</x:v>
      </x:c>
      <x:c r="AU640" s="49">
        <x:v>8.19</x:v>
      </x:c>
      <x:c r="AV640" s="49">
        <x:v>5.25</x:v>
      </x:c>
      <x:c r="AW640" s="49">
        <x:v>1.26</x:v>
      </x:c>
      <x:c r="AX640" s="49" t="s">
        <x:v>100</x:v>
      </x:c>
      <x:c r="AY640" s="49" t="s">
        <x:v>101</x:v>
      </x:c>
    </x:row>
    <x:row r="641" ht="22" customHeight="1">
      <x:c r="A641" s="49" t="s">
        <x:v>2559</x:v>
      </x:c>
      <x:c r="B641" s="49" t="s">
        <x:v>2582</x:v>
      </x:c>
      <x:c r="C641" s="49" t="s">
        <x:v>89</x:v>
      </x:c>
      <x:c r="D641" s="49" t="s">
        <x:v>90</x:v>
      </x:c>
      <x:c r="E641" s="49" t="s">
        <x:v>2583</x:v>
      </x:c>
      <x:c r="F641" s="49" t="s">
        <x:v>2589</x:v>
      </x:c>
      <x:c r="G641" s="49">
        <x:v>0.81</x:v>
      </x:c>
      <x:c r="H641" s="49">
        <x:v>2.75</x:v>
      </x:c>
      <x:c r="I641" s="49">
        <x:v>0.89</x:v>
      </x:c>
      <x:c r="J641" s="49" t="s">
        <x:v>2590</x:v>
      </x:c>
      <x:c r="K641" s="49" t="s">
        <x:v>2547</x:v>
      </x:c>
      <x:c r="L641" s="49" t="s">
        <x:v>2591</x:v>
      </x:c>
      <x:c r="M641" s="49"/>
      <x:c r="N641" s="49" t="s">
        <x:v>1888</x:v>
      </x:c>
      <x:c r="O641" s="49" t="s">
        <x:v>2592</x:v>
      </x:c>
      <x:c r="P641" s="49" t="s">
        <x:v>30</x:v>
      </x:c>
      <x:c r="Q641" s="49" t="s">
        <x:v>11</x:v>
      </x:c>
      <x:c r="R641" s="49">
        <x:v>0.81</x:v>
      </x:c>
      <x:c r="S641" s="49">
        <x:f t="shared" si="40"/>
        <x:v>0.81</x:v>
      </x:c>
      <x:c r="T641" s="49" t="s">
        <x:v>1890</x:v>
      </x:c>
      <x:c r="U641" s="49" t="s">
        <x:v>23</x:v>
      </x:c>
      <x:c r="V641" s="49">
        <x:v>0.74</x:v>
      </x:c>
      <x:c r="W641" s="49">
        <x:f t="shared" si="41"/>
        <x:v>-1</x:v>
      </x:c>
      <x:c r="X641" s="49">
        <x:v>0.79</x:v>
      </x:c>
      <x:c r="Y641" s="49">
        <x:v>-1.5</x:v>
      </x:c>
      <x:c r="Z641" s="49">
        <x:v>0.91</x:v>
      </x:c>
      <x:c r="AA641" s="49">
        <x:v>-1.5</x:v>
      </x:c>
      <x:c r="AB641" s="49">
        <x:v>0.91</x:v>
      </x:c>
      <x:c r="AC641" s="49">
        <x:v>0.96</x:v>
      </x:c>
      <x:c r="AD641" s="49">
        <x:v>7.88</x:v>
      </x:c>
      <x:c r="AE641" s="49">
        <x:v>4.93</x:v>
      </x:c>
      <x:c r="AF641" s="49">
        <x:v>1.28</x:v>
      </x:c>
      <x:c r="AG641" s="49">
        <x:v>0.110993309891784</x:v>
      </x:c>
      <x:c r="AH641" s="49">
        <x:v>0.0609933098917844</x:v>
      </x:c>
      <x:c r="AI641" s="49">
        <x:v>0.114225308262075</x:v>
      </x:c>
      <x:c r="AJ641" s="49">
        <x:v>0.182575137749524</x:v>
      </x:c>
      <x:c r="AK641" s="49">
        <x:v>0.703199553988401</x:v>
      </x:c>
      <x:c r="AL641" s="49">
        <x:v>0.75</x:v>
      </x:c>
      <x:c r="AM641" s="49">
        <x:v>2.19</x:v>
      </x:c>
      <x:c r="AN641" s="49">
        <x:v>0.000216147213896626</x:v>
      </x:c>
      <x:c r="AO641" s="49">
        <x:v>1.50648189813399</x:v>
      </x:c>
      <x:c r="AP641" s="49">
        <x:v>-0.546481898133994</x:v>
      </x:c>
      <x:c r="AQ641" s="49" t="s">
        <x:v>99</x:v>
      </x:c>
      <x:c r="AR641" s="49">
        <x:v>-1.75</x:v>
      </x:c>
      <x:c r="AS641" s="49">
        <x:v>0.356653905160698</x:v>
      </x:c>
      <x:c r="AT641" s="49">
        <x:v>0.53729265202339</x:v>
      </x:c>
      <x:c r="AU641" s="49">
        <x:v>8.19</x:v>
      </x:c>
      <x:c r="AV641" s="49">
        <x:v>5.25</x:v>
      </x:c>
      <x:c r="AW641" s="49">
        <x:v>1.26</x:v>
      </x:c>
      <x:c r="AX641" s="49" t="s">
        <x:v>100</x:v>
      </x:c>
      <x:c r="AY641" s="49" t="s">
        <x:v>101</x:v>
      </x:c>
    </x:row>
    <x:row r="642" ht="22" customHeight="1">
      <x:c r="A642" s="49" t="s">
        <x:v>2559</x:v>
      </x:c>
      <x:c r="B642" s="49" t="s">
        <x:v>2582</x:v>
      </x:c>
      <x:c r="C642" s="49" t="s">
        <x:v>89</x:v>
      </x:c>
      <x:c r="D642" s="49" t="s">
        <x:v>90</x:v>
      </x:c>
      <x:c r="E642" s="49" t="s">
        <x:v>2583</x:v>
      </x:c>
      <x:c r="F642" s="49" t="s">
        <x:v>2593</x:v>
      </x:c>
      <x:c r="G642" s="49">
        <x:v>0.84</x:v>
      </x:c>
      <x:c r="H642" s="49">
        <x:v>1.75</x:v>
      </x:c>
      <x:c r="I642" s="49">
        <x:v>0.86</x:v>
      </x:c>
      <x:c r="J642" s="49" t="s">
        <x:v>2594</x:v>
      </x:c>
      <x:c r="K642" s="49" t="s">
        <x:v>2547</x:v>
      </x:c>
      <x:c r="L642" s="49" t="s">
        <x:v>2595</x:v>
      </x:c>
      <x:c r="M642" s="49"/>
      <x:c r="N642" s="49" t="s">
        <x:v>1888</x:v>
      </x:c>
      <x:c r="O642" s="49" t="s">
        <x:v>201</x:v>
      </x:c>
      <x:c r="P642" s="49" t="s">
        <x:v>30</x:v>
      </x:c>
      <x:c r="Q642" s="49" t="s">
        <x:v>23</x:v>
      </x:c>
      <x:c r="R642" s="49">
        <x:v>0.84</x:v>
      </x:c>
      <x:c r="S642" s="49">
        <x:f t="shared" si="40"/>
        <x:v>-1</x:v>
      </x:c>
      <x:c r="T642" s="49" t="s">
        <x:v>1890</x:v>
      </x:c>
      <x:c r="U642" s="49" t="s">
        <x:v>23</x:v>
      </x:c>
      <x:c r="V642" s="49">
        <x:v>0.74</x:v>
      </x:c>
      <x:c r="W642" s="49">
        <x:f t="shared" si="41"/>
        <x:v>-1</x:v>
      </x:c>
      <x:c r="X642" s="49">
        <x:v>0.79</x:v>
      </x:c>
      <x:c r="Y642" s="49">
        <x:v>-1.5</x:v>
      </x:c>
      <x:c r="Z642" s="49">
        <x:v>0.91</x:v>
      </x:c>
      <x:c r="AA642" s="49">
        <x:v>-1.5</x:v>
      </x:c>
      <x:c r="AB642" s="49">
        <x:v>0.91</x:v>
      </x:c>
      <x:c r="AC642" s="49">
        <x:v>0.96</x:v>
      </x:c>
      <x:c r="AD642" s="49">
        <x:v>7.88</x:v>
      </x:c>
      <x:c r="AE642" s="49">
        <x:v>4.93</x:v>
      </x:c>
      <x:c r="AF642" s="49">
        <x:v>1.28</x:v>
      </x:c>
      <x:c r="AG642" s="49">
        <x:v>0.110993309891784</x:v>
      </x:c>
      <x:c r="AH642" s="49">
        <x:v>0.0609933098917844</x:v>
      </x:c>
      <x:c r="AI642" s="49">
        <x:v>0.114225308262075</x:v>
      </x:c>
      <x:c r="AJ642" s="49">
        <x:v>0.182575137749524</x:v>
      </x:c>
      <x:c r="AK642" s="49">
        <x:v>0.703199553988401</x:v>
      </x:c>
      <x:c r="AL642" s="49">
        <x:v>0.75</x:v>
      </x:c>
      <x:c r="AM642" s="49">
        <x:v>2.19</x:v>
      </x:c>
      <x:c r="AN642" s="49">
        <x:v>0.000216147213896626</x:v>
      </x:c>
      <x:c r="AO642" s="49">
        <x:v>1.50648189813399</x:v>
      </x:c>
      <x:c r="AP642" s="49">
        <x:v>-0.546481898133994</x:v>
      </x:c>
      <x:c r="AQ642" s="49" t="s">
        <x:v>99</x:v>
      </x:c>
      <x:c r="AR642" s="49">
        <x:v>-1.75</x:v>
      </x:c>
      <x:c r="AS642" s="49">
        <x:v>0.356653905160698</x:v>
      </x:c>
      <x:c r="AT642" s="49">
        <x:v>0.53729265202339</x:v>
      </x:c>
      <x:c r="AU642" s="49">
        <x:v>8.19</x:v>
      </x:c>
      <x:c r="AV642" s="49">
        <x:v>5.25</x:v>
      </x:c>
      <x:c r="AW642" s="49">
        <x:v>1.26</x:v>
      </x:c>
      <x:c r="AX642" s="49" t="s">
        <x:v>100</x:v>
      </x:c>
      <x:c r="AY642" s="49" t="s">
        <x:v>101</x:v>
      </x:c>
    </x:row>
    <x:row r="643" ht="22" customHeight="1">
      <x:c r="A643" s="49" t="s">
        <x:v>2559</x:v>
      </x:c>
      <x:c r="B643" s="49" t="s">
        <x:v>2596</x:v>
      </x:c>
      <x:c r="C643" s="49" t="s">
        <x:v>89</x:v>
      </x:c>
      <x:c r="D643" s="49" t="s">
        <x:v>90</x:v>
      </x:c>
      <x:c r="E643" s="49" t="s">
        <x:v>2583</x:v>
      </x:c>
      <x:c r="F643" s="49" t="s">
        <x:v>2597</x:v>
      </x:c>
      <x:c r="G643" s="49">
        <x:v>0.9</x:v>
      </x:c>
      <x:c r="H643" s="49">
        <x:v>-1.5</x:v>
      </x:c>
      <x:c r="I643" s="49">
        <x:v>0.8</x:v>
      </x:c>
      <x:c r="J643" s="49" t="s">
        <x:v>2572</x:v>
      </x:c>
      <x:c r="K643" s="49" t="s">
        <x:v>2547</x:v>
      </x:c>
      <x:c r="L643" s="49" t="s">
        <x:v>2598</x:v>
      </x:c>
      <x:c r="M643" s="49"/>
      <x:c r="N643" s="49" t="s">
        <x:v>1888</x:v>
      </x:c>
      <x:c r="O643" s="49" t="s">
        <x:v>114</x:v>
      </x:c>
      <x:c r="P643" s="49" t="s">
        <x:v>30</x:v>
      </x:c>
      <x:c r="Q643" s="49" t="s">
        <x:v>11</x:v>
      </x:c>
      <x:c r="R643" s="49">
        <x:v>0.8</x:v>
      </x:c>
      <x:c r="S643" s="49">
        <x:f t="shared" si="40"/>
        <x:v>0.8</x:v>
      </x:c>
      <x:c r="T643" s="49" t="s">
        <x:v>1890</x:v>
      </x:c>
      <x:c r="U643" s="49" t="s">
        <x:v>23</x:v>
      </x:c>
      <x:c r="V643" s="49">
        <x:v>0.74</x:v>
      </x:c>
      <x:c r="W643" s="49">
        <x:f t="shared" si="41"/>
        <x:v>-1</x:v>
      </x:c>
      <x:c r="X643" s="49">
        <x:v>0.79</x:v>
      </x:c>
      <x:c r="Y643" s="49">
        <x:v>-1.5</x:v>
      </x:c>
      <x:c r="Z643" s="49">
        <x:v>0.91</x:v>
      </x:c>
      <x:c r="AA643" s="49">
        <x:v>-1.5</x:v>
      </x:c>
      <x:c r="AB643" s="49">
        <x:v>0.91</x:v>
      </x:c>
      <x:c r="AC643" s="49">
        <x:v>0.96</x:v>
      </x:c>
      <x:c r="AD643" s="49">
        <x:v>7.88</x:v>
      </x:c>
      <x:c r="AE643" s="49">
        <x:v>4.93</x:v>
      </x:c>
      <x:c r="AF643" s="49">
        <x:v>1.28</x:v>
      </x:c>
      <x:c r="AG643" s="49">
        <x:v>0.110993309891784</x:v>
      </x:c>
      <x:c r="AH643" s="49">
        <x:v>0.0609933098917844</x:v>
      </x:c>
      <x:c r="AI643" s="49">
        <x:v>0.114225308262075</x:v>
      </x:c>
      <x:c r="AJ643" s="49">
        <x:v>0.182575137749524</x:v>
      </x:c>
      <x:c r="AK643" s="49">
        <x:v>0.703199553988401</x:v>
      </x:c>
      <x:c r="AL643" s="49">
        <x:v>0.75</x:v>
      </x:c>
      <x:c r="AM643" s="49">
        <x:v>2.19</x:v>
      </x:c>
      <x:c r="AN643" s="49">
        <x:v>0.000216147213896626</x:v>
      </x:c>
      <x:c r="AO643" s="49">
        <x:v>1.50648189813399</x:v>
      </x:c>
      <x:c r="AP643" s="49">
        <x:v>-0.546481898133994</x:v>
      </x:c>
      <x:c r="AQ643" s="49" t="s">
        <x:v>99</x:v>
      </x:c>
      <x:c r="AR643" s="49">
        <x:v>-1.75</x:v>
      </x:c>
      <x:c r="AS643" s="49">
        <x:v>0.356653905160698</x:v>
      </x:c>
      <x:c r="AT643" s="49">
        <x:v>0.53729265202339</x:v>
      </x:c>
      <x:c r="AU643" s="49">
        <x:v>8.19</x:v>
      </x:c>
      <x:c r="AV643" s="49">
        <x:v>5.25</x:v>
      </x:c>
      <x:c r="AW643" s="49">
        <x:v>1.26</x:v>
      </x:c>
      <x:c r="AX643" s="49" t="s">
        <x:v>100</x:v>
      </x:c>
      <x:c r="AY643" s="49" t="s">
        <x:v>101</x:v>
      </x:c>
    </x:row>
    <x:row r="644" ht="22" customHeight="1">
      <x:c r="A644" s="49" t="s">
        <x:v>2559</x:v>
      </x:c>
      <x:c r="B644" s="49" t="s">
        <x:v>2599</x:v>
      </x:c>
      <x:c r="C644" s="49" t="s">
        <x:v>89</x:v>
      </x:c>
      <x:c r="D644" s="49" t="s">
        <x:v>90</x:v>
      </x:c>
      <x:c r="E644" s="49" t="s">
        <x:v>151</x:v>
      </x:c>
      <x:c r="F644" s="49" t="s">
        <x:v>2600</x:v>
      </x:c>
      <x:c r="G644" s="49">
        <x:v>0.82</x:v>
      </x:c>
      <x:c r="H644" s="49">
        <x:v>2.25</x:v>
      </x:c>
      <x:c r="I644" s="49">
        <x:v>0.88</x:v>
      </x:c>
      <x:c r="J644" s="49" t="s">
        <x:v>2601</x:v>
      </x:c>
      <x:c r="K644" s="49" t="s">
        <x:v>2547</x:v>
      </x:c>
      <x:c r="L644" s="49" t="s">
        <x:v>2602</x:v>
      </x:c>
      <x:c r="M644" s="49"/>
      <x:c r="N644" s="49" t="s">
        <x:v>1888</x:v>
      </x:c>
      <x:c r="O644" s="49" t="s">
        <x:v>201</x:v>
      </x:c>
      <x:c r="P644" s="49" t="s">
        <x:v>30</x:v>
      </x:c>
      <x:c r="Q644" s="49" t="s">
        <x:v>23</x:v>
      </x:c>
      <x:c r="R644" s="49">
        <x:v>0.82</x:v>
      </x:c>
      <x:c r="S644" s="49" t="n">
        <x:f t="shared" ref="S644:S707" si="42">IF(OR(Q644="",Q644="待结算"),"",IF(Q644="红",R644,IF(Q644="半红",R644*0.5,IF(Q644="走",0,IF(Q644="半黑",-0.5,-1)))))</x:f>
        <x:v>-1</x:v>
      </x:c>
      <x:c r="T644" s="49" t="s">
        <x:v>1890</x:v>
      </x:c>
      <x:c r="U644" s="49" t="s">
        <x:v>23</x:v>
      </x:c>
      <x:c r="V644" s="49">
        <x:v>0.74</x:v>
      </x:c>
      <x:c r="W644" s="49" t="n">
        <x:f t="shared" ref="W644:W707" si="43">IF(OR(U644="",U644="待结算"),"",IF(U644="红",V644,IF(U644="半红",V644*0.5,IF(U644="走",0,IF(U644="半黑",-0.5,-1)))))</x:f>
        <x:v>-1</x:v>
      </x:c>
      <x:c r="X644" s="49">
        <x:v>0.79</x:v>
      </x:c>
      <x:c r="Y644" s="49">
        <x:v>-1.5</x:v>
      </x:c>
      <x:c r="Z644" s="49">
        <x:v>0.91</x:v>
      </x:c>
      <x:c r="AA644" s="49">
        <x:v>-1.5</x:v>
      </x:c>
      <x:c r="AB644" s="49">
        <x:v>0.91</x:v>
      </x:c>
      <x:c r="AC644" s="49">
        <x:v>0.96</x:v>
      </x:c>
      <x:c r="AD644" s="49">
        <x:v>7.88</x:v>
      </x:c>
      <x:c r="AE644" s="49">
        <x:v>4.93</x:v>
      </x:c>
      <x:c r="AF644" s="49">
        <x:v>1.28</x:v>
      </x:c>
      <x:c r="AG644" s="49">
        <x:v>0.110993309891784</x:v>
      </x:c>
      <x:c r="AH644" s="49">
        <x:v>0.0609933098917844</x:v>
      </x:c>
      <x:c r="AI644" s="49">
        <x:v>0.114225308262075</x:v>
      </x:c>
      <x:c r="AJ644" s="49">
        <x:v>0.182575137749524</x:v>
      </x:c>
      <x:c r="AK644" s="49">
        <x:v>0.703199553988401</x:v>
      </x:c>
      <x:c r="AL644" s="49">
        <x:v>0.75</x:v>
      </x:c>
      <x:c r="AM644" s="49">
        <x:v>2.19</x:v>
      </x:c>
      <x:c r="AN644" s="49">
        <x:v>0.000216147213896626</x:v>
      </x:c>
      <x:c r="AO644" s="49">
        <x:v>1.50648189813399</x:v>
      </x:c>
      <x:c r="AP644" s="49">
        <x:v>-0.546481898133994</x:v>
      </x:c>
      <x:c r="AQ644" s="49" t="s">
        <x:v>99</x:v>
      </x:c>
      <x:c r="AR644" s="49">
        <x:v>-1.75</x:v>
      </x:c>
      <x:c r="AS644" s="49">
        <x:v>0.356653905160698</x:v>
      </x:c>
      <x:c r="AT644" s="49">
        <x:v>0.53729265202339</x:v>
      </x:c>
      <x:c r="AU644" s="49">
        <x:v>8.19</x:v>
      </x:c>
      <x:c r="AV644" s="49">
        <x:v>5.25</x:v>
      </x:c>
      <x:c r="AW644" s="49">
        <x:v>1.26</x:v>
      </x:c>
      <x:c r="AX644" s="49" t="s">
        <x:v>100</x:v>
      </x:c>
      <x:c r="AY644" s="49" t="s">
        <x:v>101</x:v>
      </x:c>
    </x:row>
    <x:row r="645" ht="22" customHeight="1">
      <x:c r="A645" s="49" t="s">
        <x:v>2559</x:v>
      </x:c>
      <x:c r="B645" s="49" t="s">
        <x:v>2599</x:v>
      </x:c>
      <x:c r="C645" s="49" t="s">
        <x:v>89</x:v>
      </x:c>
      <x:c r="D645" s="49" t="s">
        <x:v>90</x:v>
      </x:c>
      <x:c r="E645" s="49" t="s">
        <x:v>2583</x:v>
      </x:c>
      <x:c r="F645" s="49" t="s">
        <x:v>2603</x:v>
      </x:c>
      <x:c r="G645" s="49">
        <x:v>0.82</x:v>
      </x:c>
      <x:c r="H645" s="49">
        <x:v>1.75</x:v>
      </x:c>
      <x:c r="I645" s="49">
        <x:v>0.88</x:v>
      </x:c>
      <x:c r="J645" s="49" t="s">
        <x:v>2233</x:v>
      </x:c>
      <x:c r="K645" s="49" t="s">
        <x:v>2547</x:v>
      </x:c>
      <x:c r="L645" s="49" t="s">
        <x:v>2604</x:v>
      </x:c>
      <x:c r="M645" s="49"/>
      <x:c r="N645" s="49" t="s">
        <x:v>1888</x:v>
      </x:c>
      <x:c r="O645" s="49" t="s">
        <x:v>108</x:v>
      </x:c>
      <x:c r="P645" s="49" t="s">
        <x:v>30</x:v>
      </x:c>
      <x:c r="Q645" s="49" t="s">
        <x:v>11</x:v>
      </x:c>
      <x:c r="R645" s="49">
        <x:v>0.82</x:v>
      </x:c>
      <x:c r="S645" s="49">
        <x:f t="shared" si="42"/>
        <x:v>0.82</x:v>
      </x:c>
      <x:c r="T645" s="49" t="s">
        <x:v>1890</x:v>
      </x:c>
      <x:c r="U645" s="49" t="s">
        <x:v>23</x:v>
      </x:c>
      <x:c r="V645" s="49">
        <x:v>0.74</x:v>
      </x:c>
      <x:c r="W645" s="49">
        <x:f t="shared" si="43"/>
        <x:v>-1</x:v>
      </x:c>
      <x:c r="X645" s="49">
        <x:v>0.79</x:v>
      </x:c>
      <x:c r="Y645" s="49">
        <x:v>-1.5</x:v>
      </x:c>
      <x:c r="Z645" s="49">
        <x:v>0.91</x:v>
      </x:c>
      <x:c r="AA645" s="49">
        <x:v>-1.5</x:v>
      </x:c>
      <x:c r="AB645" s="49">
        <x:v>0.91</x:v>
      </x:c>
      <x:c r="AC645" s="49">
        <x:v>0.96</x:v>
      </x:c>
      <x:c r="AD645" s="49">
        <x:v>7.88</x:v>
      </x:c>
      <x:c r="AE645" s="49">
        <x:v>4.93</x:v>
      </x:c>
      <x:c r="AF645" s="49">
        <x:v>1.28</x:v>
      </x:c>
      <x:c r="AG645" s="49">
        <x:v>0.110993309891784</x:v>
      </x:c>
      <x:c r="AH645" s="49">
        <x:v>0.0609933098917844</x:v>
      </x:c>
      <x:c r="AI645" s="49">
        <x:v>0.114225308262075</x:v>
      </x:c>
      <x:c r="AJ645" s="49">
        <x:v>0.182575137749524</x:v>
      </x:c>
      <x:c r="AK645" s="49">
        <x:v>0.703199553988401</x:v>
      </x:c>
      <x:c r="AL645" s="49">
        <x:v>0.75</x:v>
      </x:c>
      <x:c r="AM645" s="49">
        <x:v>2.19</x:v>
      </x:c>
      <x:c r="AN645" s="49">
        <x:v>0.000216147213896626</x:v>
      </x:c>
      <x:c r="AO645" s="49">
        <x:v>1.50648189813399</x:v>
      </x:c>
      <x:c r="AP645" s="49">
        <x:v>-0.546481898133994</x:v>
      </x:c>
      <x:c r="AQ645" s="49" t="s">
        <x:v>99</x:v>
      </x:c>
      <x:c r="AR645" s="49">
        <x:v>-1.75</x:v>
      </x:c>
      <x:c r="AS645" s="49">
        <x:v>0.356653905160698</x:v>
      </x:c>
      <x:c r="AT645" s="49">
        <x:v>0.53729265202339</x:v>
      </x:c>
      <x:c r="AU645" s="49">
        <x:v>8.19</x:v>
      </x:c>
      <x:c r="AV645" s="49">
        <x:v>5.25</x:v>
      </x:c>
      <x:c r="AW645" s="49">
        <x:v>1.26</x:v>
      </x:c>
      <x:c r="AX645" s="49" t="s">
        <x:v>100</x:v>
      </x:c>
      <x:c r="AY645" s="49" t="s">
        <x:v>101</x:v>
      </x:c>
    </x:row>
    <x:row r="646" ht="22" customHeight="1">
      <x:c r="A646" s="49" t="s">
        <x:v>2559</x:v>
      </x:c>
      <x:c r="B646" s="49" t="s">
        <x:v>2605</x:v>
      </x:c>
      <x:c r="C646" s="49" t="s">
        <x:v>447</x:v>
      </x:c>
      <x:c r="D646" s="49" t="s">
        <x:v>90</x:v>
      </x:c>
      <x:c r="E646" s="49" t="s">
        <x:v>2606</x:v>
      </x:c>
      <x:c r="F646" s="49" t="s">
        <x:v>2607</x:v>
      </x:c>
      <x:c r="G646" s="49">
        <x:v>1</x:v>
      </x:c>
      <x:c r="H646" s="49">
        <x:v>-2</x:v>
      </x:c>
      <x:c r="I646" s="49">
        <x:v>0.7</x:v>
      </x:c>
      <x:c r="J646" s="49" t="s">
        <x:v>2608</x:v>
      </x:c>
      <x:c r="K646" s="49" t="s">
        <x:v>2547</x:v>
      </x:c>
      <x:c r="L646" s="49" t="s">
        <x:v>2609</x:v>
      </x:c>
      <x:c r="M646" s="49"/>
      <x:c r="N646" s="49" t="s">
        <x:v>1888</x:v>
      </x:c>
      <x:c r="O646" s="49" t="s">
        <x:v>114</x:v>
      </x:c>
      <x:c r="P646" s="49" t="s">
        <x:v>30</x:v>
      </x:c>
      <x:c r="Q646" s="49" t="s">
        <x:v>17</x:v>
      </x:c>
      <x:c r="R646" s="49">
        <x:v>1</x:v>
      </x:c>
      <x:c r="S646" s="49">
        <x:f t="shared" si="42"/>
        <x:v>0</x:v>
      </x:c>
      <x:c r="T646" s="49" t="s">
        <x:v>1890</x:v>
      </x:c>
      <x:c r="U646" s="49" t="s">
        <x:v>23</x:v>
      </x:c>
      <x:c r="V646" s="49">
        <x:v>0.74</x:v>
      </x:c>
      <x:c r="W646" s="49">
        <x:f t="shared" si="43"/>
        <x:v>-1</x:v>
      </x:c>
      <x:c r="X646" s="49">
        <x:v>0.79</x:v>
      </x:c>
      <x:c r="Y646" s="49">
        <x:v>-1.5</x:v>
      </x:c>
      <x:c r="Z646" s="49">
        <x:v>0.91</x:v>
      </x:c>
      <x:c r="AA646" s="49">
        <x:v>-1.5</x:v>
      </x:c>
      <x:c r="AB646" s="49">
        <x:v>0.91</x:v>
      </x:c>
      <x:c r="AC646" s="49">
        <x:v>0.96</x:v>
      </x:c>
      <x:c r="AD646" s="49">
        <x:v>7.88</x:v>
      </x:c>
      <x:c r="AE646" s="49">
        <x:v>4.93</x:v>
      </x:c>
      <x:c r="AF646" s="49">
        <x:v>1.28</x:v>
      </x:c>
      <x:c r="AG646" s="49">
        <x:v>0.110993309891784</x:v>
      </x:c>
      <x:c r="AH646" s="49">
        <x:v>0.0609933098917844</x:v>
      </x:c>
      <x:c r="AI646" s="49">
        <x:v>0.114225308262075</x:v>
      </x:c>
      <x:c r="AJ646" s="49">
        <x:v>0.182575137749524</x:v>
      </x:c>
      <x:c r="AK646" s="49">
        <x:v>0.703199553988401</x:v>
      </x:c>
      <x:c r="AL646" s="49">
        <x:v>0.75</x:v>
      </x:c>
      <x:c r="AM646" s="49">
        <x:v>2.19</x:v>
      </x:c>
      <x:c r="AN646" s="49">
        <x:v>0.000216147213896626</x:v>
      </x:c>
      <x:c r="AO646" s="49">
        <x:v>1.50648189813399</x:v>
      </x:c>
      <x:c r="AP646" s="49">
        <x:v>-0.546481898133994</x:v>
      </x:c>
      <x:c r="AQ646" s="49" t="s">
        <x:v>99</x:v>
      </x:c>
      <x:c r="AR646" s="49">
        <x:v>-1.75</x:v>
      </x:c>
      <x:c r="AS646" s="49">
        <x:v>0.356653905160698</x:v>
      </x:c>
      <x:c r="AT646" s="49">
        <x:v>0.53729265202339</x:v>
      </x:c>
      <x:c r="AU646" s="49">
        <x:v>8.19</x:v>
      </x:c>
      <x:c r="AV646" s="49">
        <x:v>5.25</x:v>
      </x:c>
      <x:c r="AW646" s="49">
        <x:v>1.26</x:v>
      </x:c>
      <x:c r="AX646" s="49" t="s">
        <x:v>100</x:v>
      </x:c>
      <x:c r="AY646" s="49" t="s">
        <x:v>101</x:v>
      </x:c>
    </x:row>
    <x:row r="647" ht="22" customHeight="1">
      <x:c r="A647" s="49" t="s">
        <x:v>2559</x:v>
      </x:c>
      <x:c r="B647" s="49" t="s">
        <x:v>2610</x:v>
      </x:c>
      <x:c r="C647" s="49" t="s">
        <x:v>447</x:v>
      </x:c>
      <x:c r="D647" s="49" t="s">
        <x:v>90</x:v>
      </x:c>
      <x:c r="E647" s="49" t="s">
        <x:v>2606</x:v>
      </x:c>
      <x:c r="F647" s="49" t="s">
        <x:v>2611</x:v>
      </x:c>
      <x:c r="G647" s="49">
        <x:v>1.11</x:v>
      </x:c>
      <x:c r="H647" s="49">
        <x:v>-0.5</x:v>
      </x:c>
      <x:c r="I647" s="49">
        <x:v>0.6</x:v>
      </x:c>
      <x:c r="J647" s="49" t="s">
        <x:v>2612</x:v>
      </x:c>
      <x:c r="K647" s="49" t="s">
        <x:v>2547</x:v>
      </x:c>
      <x:c r="L647" s="49" t="s">
        <x:v>2613</x:v>
      </x:c>
      <x:c r="M647" s="49"/>
      <x:c r="N647" s="49" t="s">
        <x:v>1888</x:v>
      </x:c>
      <x:c r="O647" s="49" t="s">
        <x:v>2614</x:v>
      </x:c>
      <x:c r="P647" s="49" t="s">
        <x:v>30</x:v>
      </x:c>
      <x:c r="Q647" s="49" t="s">
        <x:v>23</x:v>
      </x:c>
      <x:c r="R647" s="49">
        <x:v>1.11</x:v>
      </x:c>
      <x:c r="S647" s="49">
        <x:f t="shared" si="42"/>
        <x:v>-1</x:v>
      </x:c>
      <x:c r="T647" s="49" t="s">
        <x:v>1890</x:v>
      </x:c>
      <x:c r="U647" s="49" t="s">
        <x:v>23</x:v>
      </x:c>
      <x:c r="V647" s="49">
        <x:v>0.74</x:v>
      </x:c>
      <x:c r="W647" s="49">
        <x:f t="shared" si="43"/>
        <x:v>-1</x:v>
      </x:c>
      <x:c r="X647" s="49">
        <x:v>0.79</x:v>
      </x:c>
      <x:c r="Y647" s="49">
        <x:v>-1.5</x:v>
      </x:c>
      <x:c r="Z647" s="49">
        <x:v>0.91</x:v>
      </x:c>
      <x:c r="AA647" s="49">
        <x:v>-1.5</x:v>
      </x:c>
      <x:c r="AB647" s="49">
        <x:v>0.91</x:v>
      </x:c>
      <x:c r="AC647" s="49">
        <x:v>0.96</x:v>
      </x:c>
      <x:c r="AD647" s="49">
        <x:v>7.88</x:v>
      </x:c>
      <x:c r="AE647" s="49">
        <x:v>4.93</x:v>
      </x:c>
      <x:c r="AF647" s="49">
        <x:v>1.28</x:v>
      </x:c>
      <x:c r="AG647" s="49">
        <x:v>0.110993309891784</x:v>
      </x:c>
      <x:c r="AH647" s="49">
        <x:v>0.0609933098917844</x:v>
      </x:c>
      <x:c r="AI647" s="49">
        <x:v>0.114225308262075</x:v>
      </x:c>
      <x:c r="AJ647" s="49">
        <x:v>0.182575137749524</x:v>
      </x:c>
      <x:c r="AK647" s="49">
        <x:v>0.703199553988401</x:v>
      </x:c>
      <x:c r="AL647" s="49">
        <x:v>0.75</x:v>
      </x:c>
      <x:c r="AM647" s="49">
        <x:v>2.19</x:v>
      </x:c>
      <x:c r="AN647" s="49">
        <x:v>0.000216147213896626</x:v>
      </x:c>
      <x:c r="AO647" s="49">
        <x:v>1.50648189813399</x:v>
      </x:c>
      <x:c r="AP647" s="49">
        <x:v>-0.546481898133994</x:v>
      </x:c>
      <x:c r="AQ647" s="49" t="s">
        <x:v>99</x:v>
      </x:c>
      <x:c r="AR647" s="49">
        <x:v>-1.75</x:v>
      </x:c>
      <x:c r="AS647" s="49">
        <x:v>0.356653905160698</x:v>
      </x:c>
      <x:c r="AT647" s="49">
        <x:v>0.53729265202339</x:v>
      </x:c>
      <x:c r="AU647" s="49">
        <x:v>8.19</x:v>
      </x:c>
      <x:c r="AV647" s="49">
        <x:v>5.25</x:v>
      </x:c>
      <x:c r="AW647" s="49">
        <x:v>1.26</x:v>
      </x:c>
      <x:c r="AX647" s="49" t="s">
        <x:v>100</x:v>
      </x:c>
      <x:c r="AY647" s="49" t="s">
        <x:v>101</x:v>
      </x:c>
    </x:row>
    <x:row r="648" ht="22" customHeight="1">
      <x:c r="A648" s="49" t="s">
        <x:v>2559</x:v>
      </x:c>
      <x:c r="B648" s="49" t="s">
        <x:v>2615</x:v>
      </x:c>
      <x:c r="C648" s="49" t="s">
        <x:v>447</x:v>
      </x:c>
      <x:c r="D648" s="49" t="s">
        <x:v>90</x:v>
      </x:c>
      <x:c r="E648" s="49" t="s">
        <x:v>2606</x:v>
      </x:c>
      <x:c r="F648" s="49" t="s">
        <x:v>2616</x:v>
      </x:c>
      <x:c r="G648" s="49">
        <x:v>0.6</x:v>
      </x:c>
      <x:c r="H648" s="49">
        <x:v>-0.25</x:v>
      </x:c>
      <x:c r="I648" s="49">
        <x:v>1.11</x:v>
      </x:c>
      <x:c r="J648" s="49" t="s">
        <x:v>2617</x:v>
      </x:c>
      <x:c r="K648" s="49" t="s">
        <x:v>2547</x:v>
      </x:c>
      <x:c r="L648" s="49" t="s">
        <x:v>2618</x:v>
      </x:c>
      <x:c r="M648" s="49"/>
      <x:c r="N648" s="49" t="s">
        <x:v>1888</x:v>
      </x:c>
      <x:c r="O648" s="49" t="s">
        <x:v>149</x:v>
      </x:c>
      <x:c r="P648" s="49" t="s">
        <x:v>30</x:v>
      </x:c>
      <x:c r="Q648" s="49" t="s">
        <x:v>20</x:v>
      </x:c>
      <x:c r="R648" s="49">
        <x:v>1.11</x:v>
      </x:c>
      <x:c r="S648" s="49">
        <x:f t="shared" si="42"/>
        <x:v>-0.5</x:v>
      </x:c>
      <x:c r="T648" s="49" t="s">
        <x:v>1890</x:v>
      </x:c>
      <x:c r="U648" s="49" t="s">
        <x:v>23</x:v>
      </x:c>
      <x:c r="V648" s="49">
        <x:v>0.74</x:v>
      </x:c>
      <x:c r="W648" s="49">
        <x:f t="shared" si="43"/>
        <x:v>-1</x:v>
      </x:c>
      <x:c r="X648" s="49">
        <x:v>0.79</x:v>
      </x:c>
      <x:c r="Y648" s="49">
        <x:v>-1.5</x:v>
      </x:c>
      <x:c r="Z648" s="49">
        <x:v>0.91</x:v>
      </x:c>
      <x:c r="AA648" s="49">
        <x:v>-1.5</x:v>
      </x:c>
      <x:c r="AB648" s="49">
        <x:v>0.91</x:v>
      </x:c>
      <x:c r="AC648" s="49">
        <x:v>0.96</x:v>
      </x:c>
      <x:c r="AD648" s="49">
        <x:v>7.88</x:v>
      </x:c>
      <x:c r="AE648" s="49">
        <x:v>4.93</x:v>
      </x:c>
      <x:c r="AF648" s="49">
        <x:v>1.28</x:v>
      </x:c>
      <x:c r="AG648" s="49">
        <x:v>0.110993309891784</x:v>
      </x:c>
      <x:c r="AH648" s="49">
        <x:v>0.0609933098917844</x:v>
      </x:c>
      <x:c r="AI648" s="49">
        <x:v>0.114225308262075</x:v>
      </x:c>
      <x:c r="AJ648" s="49">
        <x:v>0.182575137749524</x:v>
      </x:c>
      <x:c r="AK648" s="49">
        <x:v>0.703199553988401</x:v>
      </x:c>
      <x:c r="AL648" s="49">
        <x:v>0.75</x:v>
      </x:c>
      <x:c r="AM648" s="49">
        <x:v>2.19</x:v>
      </x:c>
      <x:c r="AN648" s="49">
        <x:v>0.000216147213896626</x:v>
      </x:c>
      <x:c r="AO648" s="49">
        <x:v>1.50648189813399</x:v>
      </x:c>
      <x:c r="AP648" s="49">
        <x:v>-0.546481898133994</x:v>
      </x:c>
      <x:c r="AQ648" s="49" t="s">
        <x:v>99</x:v>
      </x:c>
      <x:c r="AR648" s="49">
        <x:v>-1.75</x:v>
      </x:c>
      <x:c r="AS648" s="49">
        <x:v>0.356653905160698</x:v>
      </x:c>
      <x:c r="AT648" s="49">
        <x:v>0.53729265202339</x:v>
      </x:c>
      <x:c r="AU648" s="49">
        <x:v>8.19</x:v>
      </x:c>
      <x:c r="AV648" s="49">
        <x:v>5.25</x:v>
      </x:c>
      <x:c r="AW648" s="49">
        <x:v>1.26</x:v>
      </x:c>
      <x:c r="AX648" s="49" t="s">
        <x:v>100</x:v>
      </x:c>
      <x:c r="AY648" s="49" t="s">
        <x:v>101</x:v>
      </x:c>
    </x:row>
    <x:row r="649" ht="22" customHeight="1">
      <x:c r="A649" s="49" t="s">
        <x:v>2559</x:v>
      </x:c>
      <x:c r="B649" s="49" t="s">
        <x:v>2619</x:v>
      </x:c>
      <x:c r="C649" s="49" t="s">
        <x:v>447</x:v>
      </x:c>
      <x:c r="D649" s="49" t="s">
        <x:v>116</x:v>
      </x:c>
      <x:c r="E649" s="49" t="s">
        <x:v>1006</x:v>
      </x:c>
      <x:c r="F649" s="49" t="s">
        <x:v>2620</x:v>
      </x:c>
      <x:c r="G649" s="49">
        <x:v>0.92</x:v>
      </x:c>
      <x:c r="H649" s="49">
        <x:v>0.5</x:v>
      </x:c>
      <x:c r="I649" s="49">
        <x:v>0.96</x:v>
      </x:c>
      <x:c r="J649" s="49" t="s">
        <x:v>2621</x:v>
      </x:c>
      <x:c r="K649" s="49" t="s">
        <x:v>2547</x:v>
      </x:c>
      <x:c r="L649" s="49" t="s">
        <x:v>2622</x:v>
      </x:c>
      <x:c r="M649" s="49"/>
      <x:c r="N649" s="49" t="s">
        <x:v>1888</x:v>
      </x:c>
      <x:c r="O649" s="49" t="s">
        <x:v>161</x:v>
      </x:c>
      <x:c r="P649" s="49" t="s">
        <x:v>30</x:v>
      </x:c>
      <x:c r="Q649" s="49" t="s">
        <x:v>23</x:v>
      </x:c>
      <x:c r="R649" s="49">
        <x:v>1.08</x:v>
      </x:c>
      <x:c r="S649" s="49">
        <x:f t="shared" si="42"/>
        <x:v>-1</x:v>
      </x:c>
      <x:c r="T649" s="49" t="s">
        <x:v>1890</x:v>
      </x:c>
      <x:c r="U649" s="49"/>
      <x:c r="V649" s="49"/>
      <x:c r="W649" s="49" t="str">
        <x:f t="shared" si="43"/>
      </x:c>
      <x:c r="X649" s="49"/>
      <x:c r="Y649" s="49"/>
      <x:c r="Z649" s="49"/>
      <x:c r="AA649" s="49"/>
      <x:c r="AB649" s="49"/>
      <x:c r="AC649" s="49"/>
      <x:c r="AD649" s="49"/>
      <x:c r="AE649" s="49"/>
      <x:c r="AF649" s="49"/>
      <x:c r="AG649" s="49"/>
      <x:c r="AH649" s="49"/>
      <x:c r="AI649" s="49"/>
      <x:c r="AJ649" s="49"/>
      <x:c r="AK649" s="49"/>
      <x:c r="AL649" s="49"/>
      <x:c r="AM649" s="49"/>
      <x:c r="AN649" s="49"/>
      <x:c r="AO649" s="49"/>
      <x:c r="AP649" s="49"/>
      <x:c r="AQ649" s="49"/>
      <x:c r="AR649" s="49"/>
      <x:c r="AS649" s="49"/>
      <x:c r="AT649" s="49"/>
      <x:c r="AU649" s="49"/>
      <x:c r="AV649" s="49"/>
      <x:c r="AW649" s="49"/>
      <x:c r="AX649" s="49"/>
      <x:c r="AY649" s="49"/>
    </x:row>
    <x:row r="650" ht="22" customHeight="1">
      <x:c r="A650" s="49" t="s">
        <x:v>2623</x:v>
      </x:c>
      <x:c r="B650" s="49" t="s">
        <x:v>2624</x:v>
      </x:c>
      <x:c r="C650" s="49" t="s">
        <x:v>244</x:v>
      </x:c>
      <x:c r="D650" s="49" t="s">
        <x:v>90</x:v>
      </x:c>
      <x:c r="E650" s="49" t="s">
        <x:v>2625</x:v>
      </x:c>
      <x:c r="F650" s="49" t="s">
        <x:v>2626</x:v>
      </x:c>
      <x:c r="G650" s="49">
        <x:v>0.88</x:v>
      </x:c>
      <x:c r="H650" s="49">
        <x:v>0.75</x:v>
      </x:c>
      <x:c r="I650" s="49">
        <x:v>0.88</x:v>
      </x:c>
      <x:c r="J650" s="49" t="s">
        <x:v>2627</x:v>
      </x:c>
      <x:c r="K650" s="49" t="s">
        <x:v>2547</x:v>
      </x:c>
      <x:c r="L650" s="49" t="s">
        <x:v>2628</x:v>
      </x:c>
      <x:c r="M650" s="49"/>
      <x:c r="N650" s="49" t="s">
        <x:v>1888</x:v>
      </x:c>
      <x:c r="O650" s="49" t="s">
        <x:v>273</x:v>
      </x:c>
      <x:c r="P650" s="49" t="s">
        <x:v>30</x:v>
      </x:c>
      <x:c r="Q650" s="49" t="s">
        <x:v>23</x:v>
      </x:c>
      <x:c r="R650" s="49">
        <x:v>0.76</x:v>
      </x:c>
      <x:c r="S650" s="49">
        <x:f t="shared" si="42"/>
        <x:v>-1</x:v>
      </x:c>
      <x:c r="T650" s="49" t="s">
        <x:v>1890</x:v>
      </x:c>
      <x:c r="U650" s="49"/>
      <x:c r="V650" s="49"/>
      <x:c r="W650" s="49" t="str">
        <x:f t="shared" si="43"/>
      </x:c>
      <x:c r="X650" s="49"/>
      <x:c r="Y650" s="49"/>
      <x:c r="Z650" s="49"/>
      <x:c r="AA650" s="49"/>
      <x:c r="AB650" s="49"/>
      <x:c r="AC650" s="49"/>
      <x:c r="AD650" s="49"/>
      <x:c r="AE650" s="49"/>
      <x:c r="AF650" s="49"/>
      <x:c r="AG650" s="49"/>
      <x:c r="AH650" s="49"/>
      <x:c r="AI650" s="49"/>
      <x:c r="AJ650" s="49"/>
      <x:c r="AK650" s="49"/>
      <x:c r="AL650" s="49"/>
      <x:c r="AM650" s="49"/>
      <x:c r="AN650" s="49"/>
      <x:c r="AO650" s="49"/>
      <x:c r="AP650" s="49"/>
      <x:c r="AQ650" s="49"/>
      <x:c r="AR650" s="49"/>
      <x:c r="AS650" s="49"/>
      <x:c r="AT650" s="49"/>
      <x:c r="AU650" s="49"/>
      <x:c r="AV650" s="49"/>
      <x:c r="AW650" s="49"/>
      <x:c r="AX650" s="49"/>
      <x:c r="AY650" s="49"/>
    </x:row>
    <x:row r="651" ht="22" customHeight="1">
      <x:c r="A651" s="49" t="s">
        <x:v>2623</x:v>
      </x:c>
      <x:c r="B651" s="49" t="s">
        <x:v>2629</x:v>
      </x:c>
      <x:c r="C651" s="49" t="s">
        <x:v>89</x:v>
      </x:c>
      <x:c r="D651" s="49" t="s">
        <x:v>116</x:v>
      </x:c>
      <x:c r="E651" s="49" t="s">
        <x:v>764</x:v>
      </x:c>
      <x:c r="F651" s="49" t="s">
        <x:v>2630</x:v>
      </x:c>
      <x:c r="G651" s="49">
        <x:v>0.91</x:v>
      </x:c>
      <x:c r="H651" s="49">
        <x:v>0</x:v>
      </x:c>
      <x:c r="I651" s="49">
        <x:v>0.91</x:v>
      </x:c>
      <x:c r="J651" s="49" t="s">
        <x:v>2631</x:v>
      </x:c>
      <x:c r="K651" s="49" t="s">
        <x:v>2547</x:v>
      </x:c>
      <x:c r="L651" s="49" t="s">
        <x:v>1600</x:v>
      </x:c>
      <x:c r="M651" s="49"/>
      <x:c r="N651" s="49" t="s">
        <x:v>1888</x:v>
      </x:c>
      <x:c r="O651" s="49" t="s">
        <x:v>178</x:v>
      </x:c>
      <x:c r="P651" s="49" t="s">
        <x:v>30</x:v>
      </x:c>
      <x:c r="Q651" s="49" t="s">
        <x:v>23</x:v>
      </x:c>
      <x:c r="R651" s="49">
        <x:v>0.82</x:v>
      </x:c>
      <x:c r="S651" s="49">
        <x:f t="shared" si="42"/>
        <x:v>-1</x:v>
      </x:c>
      <x:c r="T651" s="49" t="s">
        <x:v>1890</x:v>
      </x:c>
      <x:c r="U651" s="49"/>
      <x:c r="V651" s="49"/>
      <x:c r="W651" s="49" t="str">
        <x:f t="shared" si="43"/>
      </x:c>
      <x:c r="X651" s="49"/>
      <x:c r="Y651" s="49"/>
      <x:c r="Z651" s="49"/>
      <x:c r="AA651" s="49"/>
      <x:c r="AB651" s="49"/>
      <x:c r="AC651" s="49"/>
      <x:c r="AD651" s="49"/>
      <x:c r="AE651" s="49"/>
      <x:c r="AF651" s="49"/>
      <x:c r="AG651" s="49"/>
      <x:c r="AH651" s="49"/>
      <x:c r="AI651" s="49"/>
      <x:c r="AJ651" s="49"/>
      <x:c r="AK651" s="49"/>
      <x:c r="AL651" s="49"/>
      <x:c r="AM651" s="49"/>
      <x:c r="AN651" s="49"/>
      <x:c r="AO651" s="49"/>
      <x:c r="AP651" s="49"/>
      <x:c r="AQ651" s="49"/>
      <x:c r="AR651" s="49"/>
      <x:c r="AS651" s="49"/>
      <x:c r="AT651" s="49"/>
      <x:c r="AU651" s="49"/>
      <x:c r="AV651" s="49"/>
      <x:c r="AW651" s="49"/>
      <x:c r="AX651" s="49"/>
      <x:c r="AY651" s="49"/>
    </x:row>
    <x:row r="652" ht="22" customHeight="1">
      <x:c r="A652" s="49" t="s">
        <x:v>2623</x:v>
      </x:c>
      <x:c r="B652" s="49" t="s">
        <x:v>2632</x:v>
      </x:c>
      <x:c r="C652" s="49" t="s">
        <x:v>447</x:v>
      </x:c>
      <x:c r="D652" s="49" t="s">
        <x:v>116</x:v>
      </x:c>
      <x:c r="E652" s="49" t="s">
        <x:v>2606</x:v>
      </x:c>
      <x:c r="F652" s="49" t="s">
        <x:v>2633</x:v>
      </x:c>
      <x:c r="G652" s="49">
        <x:v>0.85</x:v>
      </x:c>
      <x:c r="H652" s="49">
        <x:v>0.25</x:v>
      </x:c>
      <x:c r="I652" s="49">
        <x:v>0.85</x:v>
      </x:c>
      <x:c r="J652" s="49" t="s">
        <x:v>2634</x:v>
      </x:c>
      <x:c r="K652" s="49" t="s">
        <x:v>2547</x:v>
      </x:c>
      <x:c r="L652" s="49" t="s">
        <x:v>2635</x:v>
      </x:c>
      <x:c r="M652" s="49"/>
      <x:c r="N652" s="49" t="s">
        <x:v>1888</x:v>
      </x:c>
      <x:c r="O652" s="49" t="s">
        <x:v>191</x:v>
      </x:c>
      <x:c r="P652" s="49" t="s">
        <x:v>30</x:v>
      </x:c>
      <x:c r="Q652" s="49" t="s">
        <x:v>23</x:v>
      </x:c>
      <x:c r="R652" s="49">
        <x:v>1.07</x:v>
      </x:c>
      <x:c r="S652" s="49">
        <x:f t="shared" si="42"/>
        <x:v>-1</x:v>
      </x:c>
      <x:c r="T652" s="49" t="s">
        <x:v>1890</x:v>
      </x:c>
      <x:c r="U652" s="49"/>
      <x:c r="V652" s="49"/>
      <x:c r="W652" s="49" t="str">
        <x:f t="shared" si="43"/>
      </x:c>
      <x:c r="X652" s="49"/>
      <x:c r="Y652" s="49"/>
      <x:c r="Z652" s="49"/>
      <x:c r="AA652" s="49"/>
      <x:c r="AB652" s="49"/>
      <x:c r="AC652" s="49"/>
      <x:c r="AD652" s="49"/>
      <x:c r="AE652" s="49"/>
      <x:c r="AF652" s="49"/>
      <x:c r="AG652" s="49"/>
      <x:c r="AH652" s="49"/>
      <x:c r="AI652" s="49"/>
      <x:c r="AJ652" s="49"/>
      <x:c r="AK652" s="49"/>
      <x:c r="AL652" s="49"/>
      <x:c r="AM652" s="49"/>
      <x:c r="AN652" s="49"/>
      <x:c r="AO652" s="49"/>
      <x:c r="AP652" s="49"/>
      <x:c r="AQ652" s="49"/>
      <x:c r="AR652" s="49"/>
      <x:c r="AS652" s="49"/>
      <x:c r="AT652" s="49"/>
      <x:c r="AU652" s="49"/>
      <x:c r="AV652" s="49"/>
      <x:c r="AW652" s="49"/>
      <x:c r="AX652" s="49"/>
      <x:c r="AY652" s="49"/>
    </x:row>
    <x:row r="653" ht="22" customHeight="1">
      <x:c r="A653" s="49" t="s">
        <x:v>2623</x:v>
      </x:c>
      <x:c r="B653" s="49" t="s">
        <x:v>2632</x:v>
      </x:c>
      <x:c r="C653" s="49" t="s">
        <x:v>244</x:v>
      </x:c>
      <x:c r="D653" s="49" t="s">
        <x:v>90</x:v>
      </x:c>
      <x:c r="E653" s="49" t="s">
        <x:v>2625</x:v>
      </x:c>
      <x:c r="F653" s="49" t="s">
        <x:v>2636</x:v>
      </x:c>
      <x:c r="G653" s="49">
        <x:v>0.93</x:v>
      </x:c>
      <x:c r="H653" s="49">
        <x:v>1.5</x:v>
      </x:c>
      <x:c r="I653" s="49">
        <x:v>0.83</x:v>
      </x:c>
      <x:c r="J653" s="49" t="s">
        <x:v>2637</x:v>
      </x:c>
      <x:c r="K653" s="49" t="s">
        <x:v>2547</x:v>
      </x:c>
      <x:c r="L653" s="49" t="s">
        <x:v>2638</x:v>
      </x:c>
      <x:c r="M653" s="49"/>
      <x:c r="N653" s="49" t="s">
        <x:v>1888</x:v>
      </x:c>
      <x:c r="O653" s="49" t="s">
        <x:v>197</x:v>
      </x:c>
      <x:c r="P653" s="49" t="s">
        <x:v>30</x:v>
      </x:c>
      <x:c r="Q653" s="49" t="s">
        <x:v>23</x:v>
      </x:c>
      <x:c r="R653" s="49">
        <x:v>0.96</x:v>
      </x:c>
      <x:c r="S653" s="49">
        <x:f t="shared" si="42"/>
        <x:v>-1</x:v>
      </x:c>
      <x:c r="T653" s="49" t="s">
        <x:v>1890</x:v>
      </x:c>
      <x:c r="U653" s="49"/>
      <x:c r="V653" s="49"/>
      <x:c r="W653" s="49" t="str">
        <x:f t="shared" si="43"/>
      </x:c>
      <x:c r="X653" s="49"/>
      <x:c r="Y653" s="49"/>
      <x:c r="Z653" s="49"/>
      <x:c r="AA653" s="49"/>
      <x:c r="AB653" s="49"/>
      <x:c r="AC653" s="49"/>
      <x:c r="AD653" s="49"/>
      <x:c r="AE653" s="49"/>
      <x:c r="AF653" s="49"/>
      <x:c r="AG653" s="49"/>
      <x:c r="AH653" s="49"/>
      <x:c r="AI653" s="49"/>
      <x:c r="AJ653" s="49"/>
      <x:c r="AK653" s="49"/>
      <x:c r="AL653" s="49"/>
      <x:c r="AM653" s="49"/>
      <x:c r="AN653" s="49"/>
      <x:c r="AO653" s="49"/>
      <x:c r="AP653" s="49"/>
      <x:c r="AQ653" s="49"/>
      <x:c r="AR653" s="49"/>
      <x:c r="AS653" s="49"/>
      <x:c r="AT653" s="49"/>
      <x:c r="AU653" s="49"/>
      <x:c r="AV653" s="49"/>
      <x:c r="AW653" s="49"/>
      <x:c r="AX653" s="49"/>
      <x:c r="AY653" s="49"/>
    </x:row>
    <x:row r="654" ht="22" customHeight="1">
      <x:c r="A654" s="49" t="s">
        <x:v>2623</x:v>
      </x:c>
      <x:c r="B654" s="49" t="s">
        <x:v>2632</x:v>
      </x:c>
      <x:c r="C654" s="49" t="s">
        <x:v>244</x:v>
      </x:c>
      <x:c r="D654" s="49" t="s">
        <x:v>90</x:v>
      </x:c>
      <x:c r="E654" s="49" t="s">
        <x:v>2625</x:v>
      </x:c>
      <x:c r="F654" s="49" t="s">
        <x:v>2639</x:v>
      </x:c>
      <x:c r="G654" s="49">
        <x:v>0.82</x:v>
      </x:c>
      <x:c r="H654" s="49">
        <x:v>0.75</x:v>
      </x:c>
      <x:c r="I654" s="49">
        <x:v>0.88</x:v>
      </x:c>
      <x:c r="J654" s="49" t="s">
        <x:v>2557</x:v>
      </x:c>
      <x:c r="K654" s="49" t="s">
        <x:v>2547</x:v>
      </x:c>
      <x:c r="L654" s="49" t="s">
        <x:v>2640</x:v>
      </x:c>
      <x:c r="M654" s="49"/>
      <x:c r="N654" s="49" t="s">
        <x:v>1888</x:v>
      </x:c>
      <x:c r="O654" s="49" t="s">
        <x:v>161</x:v>
      </x:c>
      <x:c r="P654" s="49" t="s">
        <x:v>30</x:v>
      </x:c>
      <x:c r="Q654" s="49" t="s">
        <x:v>11</x:v>
      </x:c>
      <x:c r="R654" s="49">
        <x:v>0.75</x:v>
      </x:c>
      <x:c r="S654" s="49">
        <x:f t="shared" si="42"/>
        <x:v>0.75</x:v>
      </x:c>
      <x:c r="T654" s="49" t="s">
        <x:v>1890</x:v>
      </x:c>
      <x:c r="U654" s="49"/>
      <x:c r="V654" s="49"/>
      <x:c r="W654" s="49" t="str">
        <x:f t="shared" si="43"/>
      </x:c>
      <x:c r="X654" s="49"/>
      <x:c r="Y654" s="49"/>
      <x:c r="Z654" s="49"/>
      <x:c r="AA654" s="49"/>
      <x:c r="AB654" s="49"/>
      <x:c r="AC654" s="49"/>
      <x:c r="AD654" s="49"/>
      <x:c r="AE654" s="49"/>
      <x:c r="AF654" s="49"/>
      <x:c r="AG654" s="49"/>
      <x:c r="AH654" s="49"/>
      <x:c r="AI654" s="49"/>
      <x:c r="AJ654" s="49"/>
      <x:c r="AK654" s="49"/>
      <x:c r="AL654" s="49"/>
      <x:c r="AM654" s="49"/>
      <x:c r="AN654" s="49"/>
      <x:c r="AO654" s="49"/>
      <x:c r="AP654" s="49"/>
      <x:c r="AQ654" s="49"/>
      <x:c r="AR654" s="49"/>
      <x:c r="AS654" s="49"/>
      <x:c r="AT654" s="49"/>
      <x:c r="AU654" s="49"/>
      <x:c r="AV654" s="49"/>
      <x:c r="AW654" s="49"/>
      <x:c r="AX654" s="49"/>
      <x:c r="AY654" s="49"/>
    </x:row>
    <x:row r="655" ht="22" customHeight="1">
      <x:c r="A655" s="49" t="s">
        <x:v>2623</x:v>
      </x:c>
      <x:c r="B655" s="49" t="s">
        <x:v>2632</x:v>
      </x:c>
      <x:c r="C655" s="49" t="s">
        <x:v>244</x:v>
      </x:c>
      <x:c r="D655" s="49" t="s">
        <x:v>90</x:v>
      </x:c>
      <x:c r="E655" s="49" t="s">
        <x:v>2625</x:v>
      </x:c>
      <x:c r="F655" s="49" t="s">
        <x:v>2641</x:v>
      </x:c>
      <x:c r="G655" s="49">
        <x:v>0.77</x:v>
      </x:c>
      <x:c r="H655" s="49">
        <x:v>1</x:v>
      </x:c>
      <x:c r="I655" s="49">
        <x:v>0.99</x:v>
      </x:c>
      <x:c r="J655" s="49" t="s">
        <x:v>2642</x:v>
      </x:c>
      <x:c r="K655" s="49" t="s">
        <x:v>2547</x:v>
      </x:c>
      <x:c r="L655" s="49" t="s">
        <x:v>2643</x:v>
      </x:c>
      <x:c r="M655" s="49"/>
      <x:c r="N655" s="49" t="s">
        <x:v>1888</x:v>
      </x:c>
      <x:c r="O655" s="49" t="s">
        <x:v>126</x:v>
      </x:c>
      <x:c r="P655" s="49" t="s">
        <x:v>30</x:v>
      </x:c>
      <x:c r="Q655" s="49" t="s">
        <x:v>23</x:v>
      </x:c>
      <x:c r="R655" s="49">
        <x:v>0.77</x:v>
      </x:c>
      <x:c r="S655" s="49">
        <x:f t="shared" si="42"/>
        <x:v>-1</x:v>
      </x:c>
      <x:c r="T655" s="49" t="s">
        <x:v>1890</x:v>
      </x:c>
      <x:c r="U655" s="49"/>
      <x:c r="V655" s="49"/>
      <x:c r="W655" s="49" t="str">
        <x:f t="shared" si="43"/>
      </x:c>
      <x:c r="X655" s="49"/>
      <x:c r="Y655" s="49"/>
      <x:c r="Z655" s="49"/>
      <x:c r="AA655" s="49"/>
      <x:c r="AB655" s="49"/>
      <x:c r="AC655" s="49"/>
      <x:c r="AD655" s="49"/>
      <x:c r="AE655" s="49"/>
      <x:c r="AF655" s="49"/>
      <x:c r="AG655" s="49"/>
      <x:c r="AH655" s="49"/>
      <x:c r="AI655" s="49"/>
      <x:c r="AJ655" s="49"/>
      <x:c r="AK655" s="49"/>
      <x:c r="AL655" s="49"/>
      <x:c r="AM655" s="49"/>
      <x:c r="AN655" s="49"/>
      <x:c r="AO655" s="49"/>
      <x:c r="AP655" s="49"/>
      <x:c r="AQ655" s="49"/>
      <x:c r="AR655" s="49"/>
      <x:c r="AS655" s="49"/>
      <x:c r="AT655" s="49"/>
      <x:c r="AU655" s="49"/>
      <x:c r="AV655" s="49"/>
      <x:c r="AW655" s="49"/>
      <x:c r="AX655" s="49"/>
      <x:c r="AY655" s="49"/>
    </x:row>
    <x:row r="656" ht="22" customHeight="1">
      <x:c r="A656" s="49" t="s">
        <x:v>2623</x:v>
      </x:c>
      <x:c r="B656" s="49" t="s">
        <x:v>2644</x:v>
      </x:c>
      <x:c r="C656" s="49" t="s">
        <x:v>447</x:v>
      </x:c>
      <x:c r="D656" s="49" t="s">
        <x:v>116</x:v>
      </x:c>
      <x:c r="E656" s="49" t="s">
        <x:v>2606</x:v>
      </x:c>
      <x:c r="F656" s="49" t="s">
        <x:v>2645</x:v>
      </x:c>
      <x:c r="G656" s="49">
        <x:v>0.8</x:v>
      </x:c>
      <x:c r="H656" s="49">
        <x:v>0.75</x:v>
      </x:c>
      <x:c r="I656" s="49">
        <x:v>0.9</x:v>
      </x:c>
      <x:c r="J656" s="49" t="s">
        <x:v>2646</x:v>
      </x:c>
      <x:c r="K656" s="49" t="s">
        <x:v>2547</x:v>
      </x:c>
      <x:c r="L656" s="49" t="s">
        <x:v>2647</x:v>
      </x:c>
      <x:c r="M656" s="49"/>
      <x:c r="N656" s="49" t="s">
        <x:v>1888</x:v>
      </x:c>
      <x:c r="O656" s="49" t="s">
        <x:v>178</x:v>
      </x:c>
      <x:c r="P656" s="49" t="s">
        <x:v>30</x:v>
      </x:c>
      <x:c r="Q656" s="49" t="s">
        <x:v>20</x:v>
      </x:c>
      <x:c r="R656" s="49">
        <x:v>0.9</x:v>
      </x:c>
      <x:c r="S656" s="49">
        <x:f t="shared" si="42"/>
        <x:v>-0.5</x:v>
      </x:c>
      <x:c r="T656" s="49" t="s">
        <x:v>1890</x:v>
      </x:c>
      <x:c r="U656" s="49"/>
      <x:c r="V656" s="49"/>
      <x:c r="W656" s="49" t="str">
        <x:f t="shared" si="43"/>
      </x:c>
      <x:c r="X656" s="49"/>
      <x:c r="Y656" s="49"/>
      <x:c r="Z656" s="49"/>
      <x:c r="AA656" s="49"/>
      <x:c r="AB656" s="49"/>
      <x:c r="AC656" s="49"/>
      <x:c r="AD656" s="49"/>
      <x:c r="AE656" s="49"/>
      <x:c r="AF656" s="49"/>
      <x:c r="AG656" s="49"/>
      <x:c r="AH656" s="49"/>
      <x:c r="AI656" s="49"/>
      <x:c r="AJ656" s="49"/>
      <x:c r="AK656" s="49"/>
      <x:c r="AL656" s="49"/>
      <x:c r="AM656" s="49"/>
      <x:c r="AN656" s="49"/>
      <x:c r="AO656" s="49"/>
      <x:c r="AP656" s="49"/>
      <x:c r="AQ656" s="49"/>
      <x:c r="AR656" s="49"/>
      <x:c r="AS656" s="49"/>
      <x:c r="AT656" s="49"/>
      <x:c r="AU656" s="49"/>
      <x:c r="AV656" s="49"/>
      <x:c r="AW656" s="49"/>
      <x:c r="AX656" s="49"/>
      <x:c r="AY656" s="49"/>
    </x:row>
    <x:row r="657" ht="22" customHeight="1">
      <x:c r="A657" s="49" t="s">
        <x:v>2648</x:v>
      </x:c>
      <x:c r="B657" s="49" t="s">
        <x:v>2649</x:v>
      </x:c>
      <x:c r="C657" s="49" t="s">
        <x:v>244</x:v>
      </x:c>
      <x:c r="D657" s="49" t="s">
        <x:v>90</x:v>
      </x:c>
      <x:c r="E657" s="49" t="s">
        <x:v>2650</x:v>
      </x:c>
      <x:c r="F657" s="49" t="s">
        <x:v>2651</x:v>
      </x:c>
      <x:c r="G657" s="49">
        <x:v>0.86</x:v>
      </x:c>
      <x:c r="H657" s="49">
        <x:v>2.25</x:v>
      </x:c>
      <x:c r="I657" s="49">
        <x:v>0.9</x:v>
      </x:c>
      <x:c r="J657" s="49" t="s">
        <x:v>2652</x:v>
      </x:c>
      <x:c r="K657" s="49" t="s">
        <x:v>2547</x:v>
      </x:c>
      <x:c r="L657" s="49" t="s">
        <x:v>2653</x:v>
      </x:c>
      <x:c r="M657" s="49"/>
      <x:c r="N657" s="49" t="s">
        <x:v>1888</x:v>
      </x:c>
      <x:c r="O657" s="49" t="s">
        <x:v>161</x:v>
      </x:c>
      <x:c r="P657" s="49" t="s">
        <x:v>30</x:v>
      </x:c>
      <x:c r="Q657" s="49" t="s">
        <x:v>14</x:v>
      </x:c>
      <x:c r="R657" s="49">
        <x:v>0.98</x:v>
      </x:c>
      <x:c r="S657" s="49">
        <x:f t="shared" si="42"/>
        <x:v>0.49</x:v>
      </x:c>
      <x:c r="T657" s="49" t="s">
        <x:v>1890</x:v>
      </x:c>
      <x:c r="U657" s="49"/>
      <x:c r="V657" s="49"/>
      <x:c r="W657" s="49" t="str">
        <x:f t="shared" si="43"/>
      </x:c>
      <x:c r="X657" s="49"/>
      <x:c r="Y657" s="49"/>
      <x:c r="Z657" s="49"/>
      <x:c r="AA657" s="49"/>
      <x:c r="AB657" s="49"/>
      <x:c r="AC657" s="49"/>
      <x:c r="AD657" s="49"/>
      <x:c r="AE657" s="49"/>
      <x:c r="AF657" s="49"/>
      <x:c r="AG657" s="49"/>
      <x:c r="AH657" s="49"/>
      <x:c r="AI657" s="49"/>
      <x:c r="AJ657" s="49"/>
      <x:c r="AK657" s="49"/>
      <x:c r="AL657" s="49"/>
      <x:c r="AM657" s="49"/>
      <x:c r="AN657" s="49"/>
      <x:c r="AO657" s="49"/>
      <x:c r="AP657" s="49"/>
      <x:c r="AQ657" s="49"/>
      <x:c r="AR657" s="49"/>
      <x:c r="AS657" s="49"/>
      <x:c r="AT657" s="49"/>
      <x:c r="AU657" s="49"/>
      <x:c r="AV657" s="49"/>
      <x:c r="AW657" s="49"/>
      <x:c r="AX657" s="49"/>
      <x:c r="AY657" s="49"/>
    </x:row>
    <x:row r="658" ht="22" customHeight="1">
      <x:c r="A658" s="49" t="s">
        <x:v>2648</x:v>
      </x:c>
      <x:c r="B658" s="49" t="s">
        <x:v>2654</x:v>
      </x:c>
      <x:c r="C658" s="49" t="s">
        <x:v>89</x:v>
      </x:c>
      <x:c r="D658" s="49" t="s">
        <x:v>116</x:v>
      </x:c>
      <x:c r="E658" s="49" t="s">
        <x:v>307</x:v>
      </x:c>
      <x:c r="F658" s="49" t="s">
        <x:v>2655</x:v>
      </x:c>
      <x:c r="G658" s="49">
        <x:v>0.9</x:v>
      </x:c>
      <x:c r="H658" s="49">
        <x:v>-1.25</x:v>
      </x:c>
      <x:c r="I658" s="49">
        <x:v>0.8</x:v>
      </x:c>
      <x:c r="J658" s="49" t="s">
        <x:v>2656</x:v>
      </x:c>
      <x:c r="K658" s="49" t="s">
        <x:v>2547</x:v>
      </x:c>
      <x:c r="L658" s="49" t="s">
        <x:v>340</x:v>
      </x:c>
      <x:c r="M658" s="49"/>
      <x:c r="N658" s="49" t="s">
        <x:v>1888</x:v>
      </x:c>
      <x:c r="O658" s="49" t="s">
        <x:v>273</x:v>
      </x:c>
      <x:c r="P658" s="49" t="s">
        <x:v>30</x:v>
      </x:c>
      <x:c r="Q658" s="49" t="s">
        <x:v>23</x:v>
      </x:c>
      <x:c r="R658" s="49">
        <x:v>0.8</x:v>
      </x:c>
      <x:c r="S658" s="49">
        <x:f t="shared" si="42"/>
        <x:v>-1</x:v>
      </x:c>
      <x:c r="T658" s="49" t="s">
        <x:v>1890</x:v>
      </x:c>
      <x:c r="U658" s="49"/>
      <x:c r="V658" s="49"/>
      <x:c r="W658" s="49" t="str">
        <x:f t="shared" si="43"/>
      </x:c>
      <x:c r="X658" s="49"/>
      <x:c r="Y658" s="49"/>
      <x:c r="Z658" s="49"/>
      <x:c r="AA658" s="49"/>
      <x:c r="AB658" s="49"/>
      <x:c r="AC658" s="49"/>
      <x:c r="AD658" s="49"/>
      <x:c r="AE658" s="49"/>
      <x:c r="AF658" s="49"/>
      <x:c r="AG658" s="49"/>
      <x:c r="AH658" s="49"/>
      <x:c r="AI658" s="49"/>
      <x:c r="AJ658" s="49"/>
      <x:c r="AK658" s="49"/>
      <x:c r="AL658" s="49"/>
      <x:c r="AM658" s="49"/>
      <x:c r="AN658" s="49"/>
      <x:c r="AO658" s="49"/>
      <x:c r="AP658" s="49"/>
      <x:c r="AQ658" s="49"/>
      <x:c r="AR658" s="49"/>
      <x:c r="AS658" s="49"/>
      <x:c r="AT658" s="49"/>
      <x:c r="AU658" s="49"/>
      <x:c r="AV658" s="49"/>
      <x:c r="AW658" s="49"/>
      <x:c r="AX658" s="49"/>
      <x:c r="AY658" s="49"/>
    </x:row>
    <x:row r="659" ht="22" customHeight="1">
      <x:c r="A659" s="49" t="s">
        <x:v>2648</x:v>
      </x:c>
      <x:c r="B659" s="49" t="s">
        <x:v>2654</x:v>
      </x:c>
      <x:c r="C659" s="49" t="s">
        <x:v>89</x:v>
      </x:c>
      <x:c r="D659" s="49" t="s">
        <x:v>116</x:v>
      </x:c>
      <x:c r="E659" s="49" t="s">
        <x:v>307</x:v>
      </x:c>
      <x:c r="F659" s="49" t="s">
        <x:v>2657</x:v>
      </x:c>
      <x:c r="G659" s="49">
        <x:v>0.86</x:v>
      </x:c>
      <x:c r="H659" s="49">
        <x:v>0</x:v>
      </x:c>
      <x:c r="I659" s="49">
        <x:v>0.84</x:v>
      </x:c>
      <x:c r="J659" s="49" t="s">
        <x:v>2658</x:v>
      </x:c>
      <x:c r="K659" s="49" t="s">
        <x:v>2547</x:v>
      </x:c>
      <x:c r="L659" s="49" t="s">
        <x:v>316</x:v>
      </x:c>
      <x:c r="M659" s="49"/>
      <x:c r="N659" s="49" t="s">
        <x:v>1888</x:v>
      </x:c>
      <x:c r="O659" s="49" t="s">
        <x:v>191</x:v>
      </x:c>
      <x:c r="P659" s="49" t="s">
        <x:v>30</x:v>
      </x:c>
      <x:c r="Q659" s="49" t="s">
        <x:v>11</x:v>
      </x:c>
      <x:c r="R659" s="49">
        <x:v>0.84</x:v>
      </x:c>
      <x:c r="S659" s="49">
        <x:f t="shared" si="42"/>
        <x:v>0.84</x:v>
      </x:c>
      <x:c r="T659" s="49" t="s">
        <x:v>1890</x:v>
      </x:c>
      <x:c r="U659" s="49"/>
      <x:c r="V659" s="49"/>
      <x:c r="W659" s="49" t="str">
        <x:f t="shared" si="43"/>
      </x:c>
      <x:c r="X659" s="49"/>
      <x:c r="Y659" s="49"/>
      <x:c r="Z659" s="49"/>
      <x:c r="AA659" s="49"/>
      <x:c r="AB659" s="49"/>
      <x:c r="AC659" s="49"/>
      <x:c r="AD659" s="49"/>
      <x:c r="AE659" s="49"/>
      <x:c r="AF659" s="49"/>
      <x:c r="AG659" s="49"/>
      <x:c r="AH659" s="49"/>
      <x:c r="AI659" s="49"/>
      <x:c r="AJ659" s="49"/>
      <x:c r="AK659" s="49"/>
      <x:c r="AL659" s="49"/>
      <x:c r="AM659" s="49"/>
      <x:c r="AN659" s="49"/>
      <x:c r="AO659" s="49"/>
      <x:c r="AP659" s="49"/>
      <x:c r="AQ659" s="49"/>
      <x:c r="AR659" s="49"/>
      <x:c r="AS659" s="49"/>
      <x:c r="AT659" s="49"/>
      <x:c r="AU659" s="49"/>
      <x:c r="AV659" s="49"/>
      <x:c r="AW659" s="49"/>
      <x:c r="AX659" s="49"/>
      <x:c r="AY659" s="49"/>
    </x:row>
    <x:row r="660" ht="22" customHeight="1">
      <x:c r="A660" s="49" t="s">
        <x:v>2648</x:v>
      </x:c>
      <x:c r="B660" s="49" t="s">
        <x:v>2654</x:v>
      </x:c>
      <x:c r="C660" s="49" t="s">
        <x:v>89</x:v>
      </x:c>
      <x:c r="D660" s="49" t="s">
        <x:v>116</x:v>
      </x:c>
      <x:c r="E660" s="49" t="s">
        <x:v>307</x:v>
      </x:c>
      <x:c r="F660" s="49" t="s">
        <x:v>2659</x:v>
      </x:c>
      <x:c r="G660" s="49">
        <x:v>0.8</x:v>
      </x:c>
      <x:c r="H660" s="49">
        <x:v>0.25</x:v>
      </x:c>
      <x:c r="I660" s="49">
        <x:v>0.9</x:v>
      </x:c>
      <x:c r="J660" s="49" t="s">
        <x:v>2660</x:v>
      </x:c>
      <x:c r="K660" s="49" t="s">
        <x:v>2547</x:v>
      </x:c>
      <x:c r="L660" s="49" t="s">
        <x:v>2661</x:v>
      </x:c>
      <x:c r="M660" s="49"/>
      <x:c r="N660" s="49" t="s">
        <x:v>1888</x:v>
      </x:c>
      <x:c r="O660" s="49" t="s">
        <x:v>653</x:v>
      </x:c>
      <x:c r="P660" s="49" t="s">
        <x:v>30</x:v>
      </x:c>
      <x:c r="Q660" s="49" t="s">
        <x:v>23</x:v>
      </x:c>
      <x:c r="R660" s="49">
        <x:v>0.8</x:v>
      </x:c>
      <x:c r="S660" s="49">
        <x:f t="shared" si="42"/>
        <x:v>-1</x:v>
      </x:c>
      <x:c r="T660" s="49" t="s">
        <x:v>1890</x:v>
      </x:c>
      <x:c r="U660" s="49"/>
      <x:c r="V660" s="49"/>
      <x:c r="W660" s="49" t="str">
        <x:f t="shared" si="43"/>
      </x:c>
      <x:c r="X660" s="49"/>
      <x:c r="Y660" s="49"/>
      <x:c r="Z660" s="49"/>
      <x:c r="AA660" s="49"/>
      <x:c r="AB660" s="49"/>
      <x:c r="AC660" s="49"/>
      <x:c r="AD660" s="49"/>
      <x:c r="AE660" s="49"/>
      <x:c r="AF660" s="49"/>
      <x:c r="AG660" s="49"/>
      <x:c r="AH660" s="49"/>
      <x:c r="AI660" s="49"/>
      <x:c r="AJ660" s="49"/>
      <x:c r="AK660" s="49"/>
      <x:c r="AL660" s="49"/>
      <x:c r="AM660" s="49"/>
      <x:c r="AN660" s="49"/>
      <x:c r="AO660" s="49"/>
      <x:c r="AP660" s="49"/>
      <x:c r="AQ660" s="49"/>
      <x:c r="AR660" s="49"/>
      <x:c r="AS660" s="49"/>
      <x:c r="AT660" s="49"/>
      <x:c r="AU660" s="49"/>
      <x:c r="AV660" s="49"/>
      <x:c r="AW660" s="49"/>
      <x:c r="AX660" s="49"/>
      <x:c r="AY660" s="49"/>
    </x:row>
    <x:row r="661" ht="22" customHeight="1">
      <x:c r="A661" s="49" t="s">
        <x:v>2648</x:v>
      </x:c>
      <x:c r="B661" s="49" t="s">
        <x:v>2662</x:v>
      </x:c>
      <x:c r="C661" s="49" t="s">
        <x:v>244</x:v>
      </x:c>
      <x:c r="D661" s="49" t="s">
        <x:v>90</x:v>
      </x:c>
      <x:c r="E661" s="49" t="s">
        <x:v>2625</x:v>
      </x:c>
      <x:c r="F661" s="49" t="s">
        <x:v>2663</x:v>
      </x:c>
      <x:c r="G661" s="49">
        <x:v>0.8</x:v>
      </x:c>
      <x:c r="H661" s="49">
        <x:v>1.75</x:v>
      </x:c>
      <x:c r="I661" s="49">
        <x:v>0.96</x:v>
      </x:c>
      <x:c r="J661" s="49" t="s">
        <x:v>2664</x:v>
      </x:c>
      <x:c r="K661" s="49" t="s">
        <x:v>2547</x:v>
      </x:c>
      <x:c r="L661" s="49" t="s">
        <x:v>2665</x:v>
      </x:c>
      <x:c r="M661" s="49"/>
      <x:c r="N661" s="49" t="s">
        <x:v>1888</x:v>
      </x:c>
      <x:c r="O661" s="49" t="s">
        <x:v>231</x:v>
      </x:c>
      <x:c r="P661" s="49" t="s">
        <x:v>30</x:v>
      </x:c>
      <x:c r="Q661" s="49" t="s">
        <x:v>23</x:v>
      </x:c>
      <x:c r="R661" s="49">
        <x:v>0.8</x:v>
      </x:c>
      <x:c r="S661" s="49">
        <x:f t="shared" si="42"/>
        <x:v>-1</x:v>
      </x:c>
      <x:c r="T661" s="49" t="s">
        <x:v>1890</x:v>
      </x:c>
      <x:c r="U661" s="49"/>
      <x:c r="V661" s="49"/>
      <x:c r="W661" s="49" t="str">
        <x:f t="shared" si="43"/>
      </x:c>
      <x:c r="X661" s="49"/>
      <x:c r="Y661" s="49"/>
      <x:c r="Z661" s="49"/>
      <x:c r="AA661" s="49"/>
      <x:c r="AB661" s="49"/>
      <x:c r="AC661" s="49"/>
      <x:c r="AD661" s="49"/>
      <x:c r="AE661" s="49"/>
      <x:c r="AF661" s="49"/>
      <x:c r="AG661" s="49"/>
      <x:c r="AH661" s="49"/>
      <x:c r="AI661" s="49"/>
      <x:c r="AJ661" s="49"/>
      <x:c r="AK661" s="49"/>
      <x:c r="AL661" s="49"/>
      <x:c r="AM661" s="49"/>
      <x:c r="AN661" s="49"/>
      <x:c r="AO661" s="49"/>
      <x:c r="AP661" s="49"/>
      <x:c r="AQ661" s="49"/>
      <x:c r="AR661" s="49"/>
      <x:c r="AS661" s="49"/>
      <x:c r="AT661" s="49"/>
      <x:c r="AU661" s="49"/>
      <x:c r="AV661" s="49"/>
      <x:c r="AW661" s="49"/>
      <x:c r="AX661" s="49"/>
      <x:c r="AY661" s="49"/>
    </x:row>
    <x:row r="662" ht="22" customHeight="1">
      <x:c r="A662" s="49" t="s">
        <x:v>2648</x:v>
      </x:c>
      <x:c r="B662" s="49" t="s">
        <x:v>2662</x:v>
      </x:c>
      <x:c r="C662" s="49" t="s">
        <x:v>244</x:v>
      </x:c>
      <x:c r="D662" s="49" t="s">
        <x:v>90</x:v>
      </x:c>
      <x:c r="E662" s="49" t="s">
        <x:v>2625</x:v>
      </x:c>
      <x:c r="F662" s="49" t="s">
        <x:v>2666</x:v>
      </x:c>
      <x:c r="G662" s="49">
        <x:v>0.9</x:v>
      </x:c>
      <x:c r="H662" s="49">
        <x:v>0.5</x:v>
      </x:c>
      <x:c r="I662" s="49">
        <x:v>0.86</x:v>
      </x:c>
      <x:c r="J662" s="49" t="s">
        <x:v>2667</x:v>
      </x:c>
      <x:c r="K662" s="49" t="s">
        <x:v>2547</x:v>
      </x:c>
      <x:c r="L662" s="49" t="s">
        <x:v>2668</x:v>
      </x:c>
      <x:c r="M662" s="49"/>
      <x:c r="N662" s="49" t="s">
        <x:v>1888</x:v>
      </x:c>
      <x:c r="O662" s="49" t="s">
        <x:v>197</x:v>
      </x:c>
      <x:c r="P662" s="49" t="s">
        <x:v>30</x:v>
      </x:c>
      <x:c r="Q662" s="49" t="s">
        <x:v>11</x:v>
      </x:c>
      <x:c r="R662" s="49">
        <x:v>0.76</x:v>
      </x:c>
      <x:c r="S662" s="49">
        <x:f t="shared" si="42"/>
        <x:v>0.76</x:v>
      </x:c>
      <x:c r="T662" s="49" t="s">
        <x:v>1890</x:v>
      </x:c>
      <x:c r="U662" s="49"/>
      <x:c r="V662" s="49"/>
      <x:c r="W662" s="49" t="str">
        <x:f t="shared" si="43"/>
      </x:c>
      <x:c r="X662" s="49"/>
      <x:c r="Y662" s="49"/>
      <x:c r="Z662" s="49"/>
      <x:c r="AA662" s="49"/>
      <x:c r="AB662" s="49"/>
      <x:c r="AC662" s="49"/>
      <x:c r="AD662" s="49"/>
      <x:c r="AE662" s="49"/>
      <x:c r="AF662" s="49"/>
      <x:c r="AG662" s="49"/>
      <x:c r="AH662" s="49"/>
      <x:c r="AI662" s="49"/>
      <x:c r="AJ662" s="49"/>
      <x:c r="AK662" s="49"/>
      <x:c r="AL662" s="49"/>
      <x:c r="AM662" s="49"/>
      <x:c r="AN662" s="49"/>
      <x:c r="AO662" s="49"/>
      <x:c r="AP662" s="49"/>
      <x:c r="AQ662" s="49"/>
      <x:c r="AR662" s="49"/>
      <x:c r="AS662" s="49"/>
      <x:c r="AT662" s="49"/>
      <x:c r="AU662" s="49"/>
      <x:c r="AV662" s="49"/>
      <x:c r="AW662" s="49"/>
      <x:c r="AX662" s="49"/>
      <x:c r="AY662" s="49"/>
    </x:row>
    <x:row r="663" ht="22" customHeight="1">
      <x:c r="A663" s="49" t="s">
        <x:v>2648</x:v>
      </x:c>
      <x:c r="B663" s="49" t="s">
        <x:v>2662</x:v>
      </x:c>
      <x:c r="C663" s="49" t="s">
        <x:v>244</x:v>
      </x:c>
      <x:c r="D663" s="49" t="s">
        <x:v>90</x:v>
      </x:c>
      <x:c r="E663" s="49" t="s">
        <x:v>2625</x:v>
      </x:c>
      <x:c r="F663" s="49" t="s">
        <x:v>2669</x:v>
      </x:c>
      <x:c r="G663" s="49">
        <x:v>0.79</x:v>
      </x:c>
      <x:c r="H663" s="49">
        <x:v>1.75</x:v>
      </x:c>
      <x:c r="I663" s="49">
        <x:v>0.97</x:v>
      </x:c>
      <x:c r="J663" s="49" t="s">
        <x:v>2670</x:v>
      </x:c>
      <x:c r="K663" s="49" t="s">
        <x:v>2547</x:v>
      </x:c>
      <x:c r="L663" s="49" t="s">
        <x:v>2671</x:v>
      </x:c>
      <x:c r="M663" s="49"/>
      <x:c r="N663" s="49" t="s">
        <x:v>1888</x:v>
      </x:c>
      <x:c r="O663" s="49" t="s">
        <x:v>231</x:v>
      </x:c>
      <x:c r="P663" s="49" t="s">
        <x:v>30</x:v>
      </x:c>
      <x:c r="Q663" s="49" t="s">
        <x:v>23</x:v>
      </x:c>
      <x:c r="R663" s="49">
        <x:v>0.79</x:v>
      </x:c>
      <x:c r="S663" s="49">
        <x:f t="shared" si="42"/>
        <x:v>-1</x:v>
      </x:c>
      <x:c r="T663" s="49" t="s">
        <x:v>1890</x:v>
      </x:c>
      <x:c r="U663" s="49"/>
      <x:c r="V663" s="49"/>
      <x:c r="W663" s="49" t="str">
        <x:f t="shared" si="43"/>
      </x:c>
      <x:c r="X663" s="49"/>
      <x:c r="Y663" s="49"/>
      <x:c r="Z663" s="49"/>
      <x:c r="AA663" s="49"/>
      <x:c r="AB663" s="49"/>
      <x:c r="AC663" s="49"/>
      <x:c r="AD663" s="49"/>
      <x:c r="AE663" s="49"/>
      <x:c r="AF663" s="49"/>
      <x:c r="AG663" s="49"/>
      <x:c r="AH663" s="49"/>
      <x:c r="AI663" s="49"/>
      <x:c r="AJ663" s="49"/>
      <x:c r="AK663" s="49"/>
      <x:c r="AL663" s="49"/>
      <x:c r="AM663" s="49"/>
      <x:c r="AN663" s="49"/>
      <x:c r="AO663" s="49"/>
      <x:c r="AP663" s="49"/>
      <x:c r="AQ663" s="49"/>
      <x:c r="AR663" s="49"/>
      <x:c r="AS663" s="49"/>
      <x:c r="AT663" s="49"/>
      <x:c r="AU663" s="49"/>
      <x:c r="AV663" s="49"/>
      <x:c r="AW663" s="49"/>
      <x:c r="AX663" s="49"/>
      <x:c r="AY663" s="49"/>
    </x:row>
    <x:row r="664" ht="22" customHeight="1">
      <x:c r="A664" s="49" t="s">
        <x:v>2648</x:v>
      </x:c>
      <x:c r="B664" s="49" t="s">
        <x:v>2662</x:v>
      </x:c>
      <x:c r="C664" s="49" t="s">
        <x:v>244</x:v>
      </x:c>
      <x:c r="D664" s="49" t="s">
        <x:v>90</x:v>
      </x:c>
      <x:c r="E664" s="49" t="s">
        <x:v>2625</x:v>
      </x:c>
      <x:c r="F664" s="49" t="s">
        <x:v>2672</x:v>
      </x:c>
      <x:c r="G664" s="49">
        <x:v>0.76</x:v>
      </x:c>
      <x:c r="H664" s="49">
        <x:v>0.5</x:v>
      </x:c>
      <x:c r="I664" s="49">
        <x:v>1</x:v>
      </x:c>
      <x:c r="J664" s="49" t="s">
        <x:v>2673</x:v>
      </x:c>
      <x:c r="K664" s="49" t="s">
        <x:v>2547</x:v>
      </x:c>
      <x:c r="L664" s="49" t="s">
        <x:v>2674</x:v>
      </x:c>
      <x:c r="M664" s="49"/>
      <x:c r="N664" s="49" t="s">
        <x:v>1888</x:v>
      </x:c>
      <x:c r="O664" s="49" t="s">
        <x:v>201</x:v>
      </x:c>
      <x:c r="P664" s="49" t="s">
        <x:v>30</x:v>
      </x:c>
      <x:c r="Q664" s="49" t="s">
        <x:v>11</x:v>
      </x:c>
      <x:c r="R664" s="49">
        <x:v>0.76</x:v>
      </x:c>
      <x:c r="S664" s="49">
        <x:f t="shared" si="42"/>
        <x:v>0.76</x:v>
      </x:c>
      <x:c r="T664" s="49" t="s">
        <x:v>1890</x:v>
      </x:c>
      <x:c r="U664" s="49"/>
      <x:c r="V664" s="49"/>
      <x:c r="W664" s="49" t="str">
        <x:f t="shared" si="43"/>
      </x:c>
      <x:c r="X664" s="49"/>
      <x:c r="Y664" s="49"/>
      <x:c r="Z664" s="49"/>
      <x:c r="AA664" s="49"/>
      <x:c r="AB664" s="49"/>
      <x:c r="AC664" s="49"/>
      <x:c r="AD664" s="49"/>
      <x:c r="AE664" s="49"/>
      <x:c r="AF664" s="49"/>
      <x:c r="AG664" s="49"/>
      <x:c r="AH664" s="49"/>
      <x:c r="AI664" s="49"/>
      <x:c r="AJ664" s="49"/>
      <x:c r="AK664" s="49"/>
      <x:c r="AL664" s="49"/>
      <x:c r="AM664" s="49"/>
      <x:c r="AN664" s="49"/>
      <x:c r="AO664" s="49"/>
      <x:c r="AP664" s="49"/>
      <x:c r="AQ664" s="49"/>
      <x:c r="AR664" s="49"/>
      <x:c r="AS664" s="49"/>
      <x:c r="AT664" s="49"/>
      <x:c r="AU664" s="49"/>
      <x:c r="AV664" s="49"/>
      <x:c r="AW664" s="49"/>
      <x:c r="AX664" s="49"/>
      <x:c r="AY664" s="49"/>
    </x:row>
    <x:row r="665" ht="22" customHeight="1">
      <x:c r="A665" s="49" t="s">
        <x:v>2648</x:v>
      </x:c>
      <x:c r="B665" s="49" t="s">
        <x:v>2662</x:v>
      </x:c>
      <x:c r="C665" s="49" t="s">
        <x:v>244</x:v>
      </x:c>
      <x:c r="D665" s="49" t="s">
        <x:v>90</x:v>
      </x:c>
      <x:c r="E665" s="49" t="s">
        <x:v>2625</x:v>
      </x:c>
      <x:c r="F665" s="49" t="s">
        <x:v>2675</x:v>
      </x:c>
      <x:c r="G665" s="49">
        <x:v>0.8</x:v>
      </x:c>
      <x:c r="H665" s="49">
        <x:v>0.75</x:v>
      </x:c>
      <x:c r="I665" s="49">
        <x:v>0.96</x:v>
      </x:c>
      <x:c r="J665" s="49" t="s">
        <x:v>2676</x:v>
      </x:c>
      <x:c r="K665" s="49" t="s">
        <x:v>2547</x:v>
      </x:c>
      <x:c r="L665" s="49" t="s">
        <x:v>2677</x:v>
      </x:c>
      <x:c r="M665" s="49"/>
      <x:c r="N665" s="49" t="s">
        <x:v>1888</x:v>
      </x:c>
      <x:c r="O665" s="49" t="s">
        <x:v>231</x:v>
      </x:c>
      <x:c r="P665" s="49" t="s">
        <x:v>30</x:v>
      </x:c>
      <x:c r="Q665" s="49" t="s">
        <x:v>14</x:v>
      </x:c>
      <x:c r="R665" s="49">
        <x:v>0.8</x:v>
      </x:c>
      <x:c r="S665" s="49">
        <x:f t="shared" si="42"/>
        <x:v>0.4</x:v>
      </x:c>
      <x:c r="T665" s="49" t="s">
        <x:v>1890</x:v>
      </x:c>
      <x:c r="U665" s="49"/>
      <x:c r="V665" s="49"/>
      <x:c r="W665" s="49" t="str">
        <x:f t="shared" si="43"/>
      </x:c>
      <x:c r="X665" s="49"/>
      <x:c r="Y665" s="49"/>
      <x:c r="Z665" s="49"/>
      <x:c r="AA665" s="49"/>
      <x:c r="AB665" s="49"/>
      <x:c r="AC665" s="49"/>
      <x:c r="AD665" s="49"/>
      <x:c r="AE665" s="49"/>
      <x:c r="AF665" s="49"/>
      <x:c r="AG665" s="49"/>
      <x:c r="AH665" s="49"/>
      <x:c r="AI665" s="49"/>
      <x:c r="AJ665" s="49"/>
      <x:c r="AK665" s="49"/>
      <x:c r="AL665" s="49"/>
      <x:c r="AM665" s="49"/>
      <x:c r="AN665" s="49"/>
      <x:c r="AO665" s="49"/>
      <x:c r="AP665" s="49"/>
      <x:c r="AQ665" s="49"/>
      <x:c r="AR665" s="49"/>
      <x:c r="AS665" s="49"/>
      <x:c r="AT665" s="49"/>
      <x:c r="AU665" s="49"/>
      <x:c r="AV665" s="49"/>
      <x:c r="AW665" s="49"/>
      <x:c r="AX665" s="49"/>
      <x:c r="AY665" s="49"/>
    </x:row>
    <x:row r="666" ht="22" customHeight="1">
      <x:c r="A666" s="49" t="s">
        <x:v>2648</x:v>
      </x:c>
      <x:c r="B666" s="49" t="s">
        <x:v>2678</x:v>
      </x:c>
      <x:c r="C666" s="49" t="s">
        <x:v>447</x:v>
      </x:c>
      <x:c r="D666" s="49" t="s">
        <x:v>116</x:v>
      </x:c>
      <x:c r="E666" s="49" t="s">
        <x:v>2606</x:v>
      </x:c>
      <x:c r="F666" s="49" t="s">
        <x:v>2679</x:v>
      </x:c>
      <x:c r="G666" s="49">
        <x:v>0.85</x:v>
      </x:c>
      <x:c r="H666" s="49">
        <x:v>-0.25</x:v>
      </x:c>
      <x:c r="I666" s="49">
        <x:v>0.85</x:v>
      </x:c>
      <x:c r="J666" s="49" t="s">
        <x:v>2680</x:v>
      </x:c>
      <x:c r="K666" s="49" t="s">
        <x:v>2547</x:v>
      </x:c>
      <x:c r="L666" s="49" t="s">
        <x:v>2681</x:v>
      </x:c>
      <x:c r="M666" s="49"/>
      <x:c r="N666" s="49" t="s">
        <x:v>1888</x:v>
      </x:c>
      <x:c r="O666" s="49" t="s">
        <x:v>169</x:v>
      </x:c>
      <x:c r="P666" s="49" t="s">
        <x:v>30</x:v>
      </x:c>
      <x:c r="Q666" s="49" t="s">
        <x:v>11</x:v>
      </x:c>
      <x:c r="R666" s="49">
        <x:v>1</x:v>
      </x:c>
      <x:c r="S666" s="49">
        <x:f t="shared" si="42"/>
        <x:v>1</x:v>
      </x:c>
      <x:c r="T666" s="49" t="s">
        <x:v>1890</x:v>
      </x:c>
      <x:c r="U666" s="49"/>
      <x:c r="V666" s="49"/>
      <x:c r="W666" s="49" t="str">
        <x:f t="shared" si="43"/>
      </x:c>
      <x:c r="X666" s="49"/>
      <x:c r="Y666" s="49"/>
      <x:c r="Z666" s="49"/>
      <x:c r="AA666" s="49"/>
      <x:c r="AB666" s="49"/>
      <x:c r="AC666" s="49"/>
      <x:c r="AD666" s="49"/>
      <x:c r="AE666" s="49"/>
      <x:c r="AF666" s="49"/>
      <x:c r="AG666" s="49"/>
      <x:c r="AH666" s="49"/>
      <x:c r="AI666" s="49"/>
      <x:c r="AJ666" s="49"/>
      <x:c r="AK666" s="49"/>
      <x:c r="AL666" s="49"/>
      <x:c r="AM666" s="49"/>
      <x:c r="AN666" s="49"/>
      <x:c r="AO666" s="49"/>
      <x:c r="AP666" s="49"/>
      <x:c r="AQ666" s="49"/>
      <x:c r="AR666" s="49"/>
      <x:c r="AS666" s="49"/>
      <x:c r="AT666" s="49"/>
      <x:c r="AU666" s="49"/>
      <x:c r="AV666" s="49"/>
      <x:c r="AW666" s="49"/>
      <x:c r="AX666" s="49"/>
      <x:c r="AY666" s="49"/>
    </x:row>
    <x:row r="667" ht="22" customHeight="1">
      <x:c r="A667" s="49" t="s">
        <x:v>2648</x:v>
      </x:c>
      <x:c r="B667" s="49" t="s">
        <x:v>2678</x:v>
      </x:c>
      <x:c r="C667" s="49" t="s">
        <x:v>89</x:v>
      </x:c>
      <x:c r="D667" s="49" t="s">
        <x:v>116</x:v>
      </x:c>
      <x:c r="E667" s="49" t="s">
        <x:v>1479</x:v>
      </x:c>
      <x:c r="F667" s="49" t="s">
        <x:v>2682</x:v>
      </x:c>
      <x:c r="G667" s="49">
        <x:v>0.95</x:v>
      </x:c>
      <x:c r="H667" s="49">
        <x:v>-0.25</x:v>
      </x:c>
      <x:c r="I667" s="49">
        <x:v>0.87</x:v>
      </x:c>
      <x:c r="J667" s="49" t="s">
        <x:v>2683</x:v>
      </x:c>
      <x:c r="K667" s="49" t="s">
        <x:v>2547</x:v>
      </x:c>
      <x:c r="L667" s="49" t="s">
        <x:v>2684</x:v>
      </x:c>
      <x:c r="M667" s="49"/>
      <x:c r="N667" s="49" t="s">
        <x:v>1888</x:v>
      </x:c>
      <x:c r="O667" s="49" t="s">
        <x:v>178</x:v>
      </x:c>
      <x:c r="P667" s="49" t="s">
        <x:v>30</x:v>
      </x:c>
      <x:c r="Q667" s="49" t="s">
        <x:v>23</x:v>
      </x:c>
      <x:c r="R667" s="49">
        <x:v>0.83</x:v>
      </x:c>
      <x:c r="S667" s="49">
        <x:f t="shared" si="42"/>
        <x:v>-1</x:v>
      </x:c>
      <x:c r="T667" s="49" t="s">
        <x:v>1890</x:v>
      </x:c>
      <x:c r="U667" s="49"/>
      <x:c r="V667" s="49"/>
      <x:c r="W667" s="49" t="str">
        <x:f t="shared" si="43"/>
      </x:c>
      <x:c r="X667" s="49"/>
      <x:c r="Y667" s="49"/>
      <x:c r="Z667" s="49"/>
      <x:c r="AA667" s="49"/>
      <x:c r="AB667" s="49"/>
      <x:c r="AC667" s="49"/>
      <x:c r="AD667" s="49"/>
      <x:c r="AE667" s="49"/>
      <x:c r="AF667" s="49"/>
      <x:c r="AG667" s="49"/>
      <x:c r="AH667" s="49"/>
      <x:c r="AI667" s="49"/>
      <x:c r="AJ667" s="49"/>
      <x:c r="AK667" s="49"/>
      <x:c r="AL667" s="49"/>
      <x:c r="AM667" s="49"/>
      <x:c r="AN667" s="49"/>
      <x:c r="AO667" s="49"/>
      <x:c r="AP667" s="49"/>
      <x:c r="AQ667" s="49"/>
      <x:c r="AR667" s="49"/>
      <x:c r="AS667" s="49"/>
      <x:c r="AT667" s="49"/>
      <x:c r="AU667" s="49"/>
      <x:c r="AV667" s="49"/>
      <x:c r="AW667" s="49"/>
      <x:c r="AX667" s="49"/>
      <x:c r="AY667" s="49"/>
    </x:row>
    <x:row r="668" ht="22" customHeight="1">
      <x:c r="A668" s="49" t="s">
        <x:v>2648</x:v>
      </x:c>
      <x:c r="B668" s="49" t="s">
        <x:v>2678</x:v>
      </x:c>
      <x:c r="C668" s="49" t="s">
        <x:v>244</x:v>
      </x:c>
      <x:c r="D668" s="49" t="s">
        <x:v>90</x:v>
      </x:c>
      <x:c r="E668" s="49" t="s">
        <x:v>2625</x:v>
      </x:c>
      <x:c r="F668" s="49" t="s">
        <x:v>2685</x:v>
      </x:c>
      <x:c r="G668" s="49">
        <x:v>0.96</x:v>
      </x:c>
      <x:c r="H668" s="49">
        <x:v>1.25</x:v>
      </x:c>
      <x:c r="I668" s="49">
        <x:v>0.8</x:v>
      </x:c>
      <x:c r="J668" s="49" t="s">
        <x:v>2686</x:v>
      </x:c>
      <x:c r="K668" s="49" t="s">
        <x:v>2547</x:v>
      </x:c>
      <x:c r="L668" s="49" t="s">
        <x:v>2687</x:v>
      </x:c>
      <x:c r="M668" s="49"/>
      <x:c r="N668" s="49" t="s">
        <x:v>1888</x:v>
      </x:c>
      <x:c r="O668" s="49" t="s">
        <x:v>149</x:v>
      </x:c>
      <x:c r="P668" s="49" t="s">
        <x:v>30</x:v>
      </x:c>
      <x:c r="Q668" s="49" t="s">
        <x:v>23</x:v>
      </x:c>
      <x:c r="R668" s="49">
        <x:v>0.79</x:v>
      </x:c>
      <x:c r="S668" s="49">
        <x:f t="shared" si="42"/>
        <x:v>-1</x:v>
      </x:c>
      <x:c r="T668" s="49" t="s">
        <x:v>1890</x:v>
      </x:c>
      <x:c r="U668" s="49"/>
      <x:c r="V668" s="49"/>
      <x:c r="W668" s="49" t="str">
        <x:f t="shared" si="43"/>
      </x:c>
      <x:c r="X668" s="49"/>
      <x:c r="Y668" s="49"/>
      <x:c r="Z668" s="49"/>
      <x:c r="AA668" s="49"/>
      <x:c r="AB668" s="49"/>
      <x:c r="AC668" s="49"/>
      <x:c r="AD668" s="49"/>
      <x:c r="AE668" s="49"/>
      <x:c r="AF668" s="49"/>
      <x:c r="AG668" s="49"/>
      <x:c r="AH668" s="49"/>
      <x:c r="AI668" s="49"/>
      <x:c r="AJ668" s="49"/>
      <x:c r="AK668" s="49"/>
      <x:c r="AL668" s="49"/>
      <x:c r="AM668" s="49"/>
      <x:c r="AN668" s="49"/>
      <x:c r="AO668" s="49"/>
      <x:c r="AP668" s="49"/>
      <x:c r="AQ668" s="49"/>
      <x:c r="AR668" s="49"/>
      <x:c r="AS668" s="49"/>
      <x:c r="AT668" s="49"/>
      <x:c r="AU668" s="49"/>
      <x:c r="AV668" s="49"/>
      <x:c r="AW668" s="49"/>
      <x:c r="AX668" s="49"/>
      <x:c r="AY668" s="49"/>
    </x:row>
    <x:row r="669" ht="22" customHeight="1">
      <x:c r="A669" s="49" t="s">
        <x:v>2648</x:v>
      </x:c>
      <x:c r="B669" s="49" t="s">
        <x:v>2678</x:v>
      </x:c>
      <x:c r="C669" s="49" t="s">
        <x:v>244</x:v>
      </x:c>
      <x:c r="D669" s="49" t="s">
        <x:v>90</x:v>
      </x:c>
      <x:c r="E669" s="49" t="s">
        <x:v>2625</x:v>
      </x:c>
      <x:c r="F669" s="49" t="s">
        <x:v>2688</x:v>
      </x:c>
      <x:c r="G669" s="49">
        <x:v>0.85</x:v>
      </x:c>
      <x:c r="H669" s="49">
        <x:v>1</x:v>
      </x:c>
      <x:c r="I669" s="49">
        <x:v>0.91</x:v>
      </x:c>
      <x:c r="J669" s="49" t="s">
        <x:v>2689</x:v>
      </x:c>
      <x:c r="K669" s="49" t="s">
        <x:v>2547</x:v>
      </x:c>
      <x:c r="L669" s="49" t="s">
        <x:v>2690</x:v>
      </x:c>
      <x:c r="M669" s="49"/>
      <x:c r="N669" s="49" t="s">
        <x:v>1888</x:v>
      </x:c>
      <x:c r="O669" s="49" t="s">
        <x:v>126</x:v>
      </x:c>
      <x:c r="P669" s="49" t="s">
        <x:v>30</x:v>
      </x:c>
      <x:c r="Q669" s="49" t="s">
        <x:v>23</x:v>
      </x:c>
      <x:c r="R669" s="49">
        <x:v>0.8</x:v>
      </x:c>
      <x:c r="S669" s="49">
        <x:f t="shared" si="42"/>
        <x:v>-1</x:v>
      </x:c>
      <x:c r="T669" s="49" t="s">
        <x:v>1890</x:v>
      </x:c>
      <x:c r="U669" s="49"/>
      <x:c r="V669" s="49"/>
      <x:c r="W669" s="49" t="str">
        <x:f t="shared" si="43"/>
      </x:c>
      <x:c r="X669" s="49"/>
      <x:c r="Y669" s="49"/>
      <x:c r="Z669" s="49"/>
      <x:c r="AA669" s="49"/>
      <x:c r="AB669" s="49"/>
      <x:c r="AC669" s="49"/>
      <x:c r="AD669" s="49"/>
      <x:c r="AE669" s="49"/>
      <x:c r="AF669" s="49"/>
      <x:c r="AG669" s="49"/>
      <x:c r="AH669" s="49"/>
      <x:c r="AI669" s="49"/>
      <x:c r="AJ669" s="49"/>
      <x:c r="AK669" s="49"/>
      <x:c r="AL669" s="49"/>
      <x:c r="AM669" s="49"/>
      <x:c r="AN669" s="49"/>
      <x:c r="AO669" s="49"/>
      <x:c r="AP669" s="49"/>
      <x:c r="AQ669" s="49"/>
      <x:c r="AR669" s="49"/>
      <x:c r="AS669" s="49"/>
      <x:c r="AT669" s="49"/>
      <x:c r="AU669" s="49"/>
      <x:c r="AV669" s="49"/>
      <x:c r="AW669" s="49"/>
      <x:c r="AX669" s="49"/>
      <x:c r="AY669" s="49"/>
    </x:row>
    <x:row r="670" ht="22" customHeight="1">
      <x:c r="A670" s="49" t="s">
        <x:v>2648</x:v>
      </x:c>
      <x:c r="B670" s="49" t="s">
        <x:v>2691</x:v>
      </x:c>
      <x:c r="C670" s="49" t="s">
        <x:v>244</x:v>
      </x:c>
      <x:c r="D670" s="49" t="s">
        <x:v>90</x:v>
      </x:c>
      <x:c r="E670" s="49" t="s">
        <x:v>2625</x:v>
      </x:c>
      <x:c r="F670" s="49" t="s">
        <x:v>2692</x:v>
      </x:c>
      <x:c r="G670" s="49">
        <x:v>0.98</x:v>
      </x:c>
      <x:c r="H670" s="49">
        <x:v>2</x:v>
      </x:c>
      <x:c r="I670" s="49">
        <x:v>0.78</x:v>
      </x:c>
      <x:c r="J670" s="49" t="s">
        <x:v>2693</x:v>
      </x:c>
      <x:c r="K670" s="49" t="s">
        <x:v>2547</x:v>
      </x:c>
      <x:c r="L670" s="49" t="s">
        <x:v>2694</x:v>
      </x:c>
      <x:c r="M670" s="49"/>
      <x:c r="N670" s="49" t="s">
        <x:v>1888</x:v>
      </x:c>
      <x:c r="O670" s="49" t="s">
        <x:v>161</x:v>
      </x:c>
      <x:c r="P670" s="49" t="s">
        <x:v>30</x:v>
      </x:c>
      <x:c r="Q670" s="49" t="s">
        <x:v>17</x:v>
      </x:c>
      <x:c r="R670" s="49">
        <x:v>0.75</x:v>
      </x:c>
      <x:c r="S670" s="49">
        <x:f t="shared" si="42"/>
        <x:v>0</x:v>
      </x:c>
      <x:c r="T670" s="49" t="s">
        <x:v>1890</x:v>
      </x:c>
      <x:c r="U670" s="49"/>
      <x:c r="V670" s="49"/>
      <x:c r="W670" s="49" t="str">
        <x:f t="shared" si="43"/>
      </x:c>
      <x:c r="X670" s="49"/>
      <x:c r="Y670" s="49"/>
      <x:c r="Z670" s="49"/>
      <x:c r="AA670" s="49"/>
      <x:c r="AB670" s="49"/>
      <x:c r="AC670" s="49"/>
      <x:c r="AD670" s="49"/>
      <x:c r="AE670" s="49"/>
      <x:c r="AF670" s="49"/>
      <x:c r="AG670" s="49"/>
      <x:c r="AH670" s="49"/>
      <x:c r="AI670" s="49"/>
      <x:c r="AJ670" s="49"/>
      <x:c r="AK670" s="49"/>
      <x:c r="AL670" s="49"/>
      <x:c r="AM670" s="49"/>
      <x:c r="AN670" s="49"/>
      <x:c r="AO670" s="49"/>
      <x:c r="AP670" s="49"/>
      <x:c r="AQ670" s="49"/>
      <x:c r="AR670" s="49"/>
      <x:c r="AS670" s="49"/>
      <x:c r="AT670" s="49"/>
      <x:c r="AU670" s="49"/>
      <x:c r="AV670" s="49"/>
      <x:c r="AW670" s="49"/>
      <x:c r="AX670" s="49"/>
      <x:c r="AY670" s="49"/>
    </x:row>
    <x:row r="671" ht="22" customHeight="1">
      <x:c r="A671" s="49" t="s">
        <x:v>2648</x:v>
      </x:c>
      <x:c r="B671" s="49" t="s">
        <x:v>2695</x:v>
      </x:c>
      <x:c r="C671" s="49" t="s">
        <x:v>244</x:v>
      </x:c>
      <x:c r="D671" s="49" t="s">
        <x:v>116</x:v>
      </x:c>
      <x:c r="E671" s="49" t="s">
        <x:v>448</x:v>
      </x:c>
      <x:c r="F671" s="49" t="s">
        <x:v>2696</x:v>
      </x:c>
      <x:c r="G671" s="49">
        <x:v>0.78</x:v>
      </x:c>
      <x:c r="H671" s="49">
        <x:v>-0.25</x:v>
      </x:c>
      <x:c r="I671" s="49">
        <x:v>1.04</x:v>
      </x:c>
      <x:c r="J671" s="49" t="s">
        <x:v>2697</x:v>
      </x:c>
      <x:c r="K671" s="49" t="s">
        <x:v>2547</x:v>
      </x:c>
      <x:c r="L671" s="49" t="s">
        <x:v>2698</x:v>
      </x:c>
      <x:c r="M671" s="49"/>
      <x:c r="N671" s="49" t="s">
        <x:v>1888</x:v>
      </x:c>
      <x:c r="O671" s="49" t="s">
        <x:v>558</x:v>
      </x:c>
      <x:c r="P671" s="49" t="s">
        <x:v>30</x:v>
      </x:c>
      <x:c r="Q671" s="49" t="s">
        <x:v>23</x:v>
      </x:c>
      <x:c r="R671" s="49">
        <x:v>0.99</x:v>
      </x:c>
      <x:c r="S671" s="49">
        <x:f t="shared" si="42"/>
        <x:v>-1</x:v>
      </x:c>
      <x:c r="T671" s="49" t="s">
        <x:v>1890</x:v>
      </x:c>
      <x:c r="U671" s="49"/>
      <x:c r="V671" s="49"/>
      <x:c r="W671" s="49" t="str">
        <x:f t="shared" si="43"/>
      </x:c>
      <x:c r="X671" s="49"/>
      <x:c r="Y671" s="49"/>
      <x:c r="Z671" s="49"/>
      <x:c r="AA671" s="49"/>
      <x:c r="AB671" s="49"/>
      <x:c r="AC671" s="49"/>
      <x:c r="AD671" s="49"/>
      <x:c r="AE671" s="49"/>
      <x:c r="AF671" s="49"/>
      <x:c r="AG671" s="49"/>
      <x:c r="AH671" s="49"/>
      <x:c r="AI671" s="49"/>
      <x:c r="AJ671" s="49"/>
      <x:c r="AK671" s="49"/>
      <x:c r="AL671" s="49"/>
      <x:c r="AM671" s="49"/>
      <x:c r="AN671" s="49"/>
      <x:c r="AO671" s="49"/>
      <x:c r="AP671" s="49"/>
      <x:c r="AQ671" s="49"/>
      <x:c r="AR671" s="49"/>
      <x:c r="AS671" s="49"/>
      <x:c r="AT671" s="49"/>
      <x:c r="AU671" s="49"/>
      <x:c r="AV671" s="49"/>
      <x:c r="AW671" s="49"/>
      <x:c r="AX671" s="49"/>
      <x:c r="AY671" s="49"/>
    </x:row>
    <x:row r="672" ht="22" customHeight="1">
      <x:c r="A672" s="49" t="s">
        <x:v>2648</x:v>
      </x:c>
      <x:c r="B672" s="49" t="s">
        <x:v>2699</x:v>
      </x:c>
      <x:c r="C672" s="49" t="s">
        <x:v>447</x:v>
      </x:c>
      <x:c r="D672" s="49" t="s">
        <x:v>116</x:v>
      </x:c>
      <x:c r="E672" s="49" t="s">
        <x:v>2606</x:v>
      </x:c>
      <x:c r="F672" s="49" t="s">
        <x:v>2700</x:v>
      </x:c>
      <x:c r="G672" s="49">
        <x:v>0.94</x:v>
      </x:c>
      <x:c r="H672" s="49">
        <x:v>-0.25</x:v>
      </x:c>
      <x:c r="I672" s="49">
        <x:v>0.76</x:v>
      </x:c>
      <x:c r="J672" s="49" t="s">
        <x:v>2701</x:v>
      </x:c>
      <x:c r="K672" s="49" t="s">
        <x:v>2547</x:v>
      </x:c>
      <x:c r="L672" s="49" t="s">
        <x:v>2702</x:v>
      </x:c>
      <x:c r="M672" s="49"/>
      <x:c r="N672" s="49" t="s">
        <x:v>1888</x:v>
      </x:c>
      <x:c r="O672" s="49" t="s">
        <x:v>161</x:v>
      </x:c>
      <x:c r="P672" s="49" t="s">
        <x:v>30</x:v>
      </x:c>
      <x:c r="Q672" s="49" t="s">
        <x:v>11</x:v>
      </x:c>
      <x:c r="R672" s="49">
        <x:v>0.94</x:v>
      </x:c>
      <x:c r="S672" s="49">
        <x:f t="shared" si="42"/>
        <x:v>0.94</x:v>
      </x:c>
      <x:c r="T672" s="49" t="s">
        <x:v>1890</x:v>
      </x:c>
      <x:c r="U672" s="49"/>
      <x:c r="V672" s="49"/>
      <x:c r="W672" s="49" t="str">
        <x:f t="shared" si="43"/>
      </x:c>
      <x:c r="X672" s="49"/>
      <x:c r="Y672" s="49"/>
      <x:c r="Z672" s="49"/>
      <x:c r="AA672" s="49"/>
      <x:c r="AB672" s="49"/>
      <x:c r="AC672" s="49"/>
      <x:c r="AD672" s="49"/>
      <x:c r="AE672" s="49"/>
      <x:c r="AF672" s="49"/>
      <x:c r="AG672" s="49"/>
      <x:c r="AH672" s="49"/>
      <x:c r="AI672" s="49"/>
      <x:c r="AJ672" s="49"/>
      <x:c r="AK672" s="49"/>
      <x:c r="AL672" s="49"/>
      <x:c r="AM672" s="49"/>
      <x:c r="AN672" s="49"/>
      <x:c r="AO672" s="49"/>
      <x:c r="AP672" s="49"/>
      <x:c r="AQ672" s="49"/>
      <x:c r="AR672" s="49"/>
      <x:c r="AS672" s="49"/>
      <x:c r="AT672" s="49"/>
      <x:c r="AU672" s="49"/>
      <x:c r="AV672" s="49"/>
      <x:c r="AW672" s="49"/>
      <x:c r="AX672" s="49"/>
      <x:c r="AY672" s="49"/>
    </x:row>
    <x:row r="673" ht="22" customHeight="1">
      <x:c r="A673" s="49" t="s">
        <x:v>2648</x:v>
      </x:c>
      <x:c r="B673" s="49" t="s">
        <x:v>2703</x:v>
      </x:c>
      <x:c r="C673" s="49" t="s">
        <x:v>244</x:v>
      </x:c>
      <x:c r="D673" s="49" t="s">
        <x:v>116</x:v>
      </x:c>
      <x:c r="E673" s="49" t="s">
        <x:v>448</x:v>
      </x:c>
      <x:c r="F673" s="49" t="s">
        <x:v>2704</x:v>
      </x:c>
      <x:c r="G673" s="49">
        <x:v>0.84</x:v>
      </x:c>
      <x:c r="H673" s="49">
        <x:v>0.5</x:v>
      </x:c>
      <x:c r="I673" s="49">
        <x:v>0.98</x:v>
      </x:c>
      <x:c r="J673" s="49" t="s">
        <x:v>975</x:v>
      </x:c>
      <x:c r="K673" s="49" t="s">
        <x:v>2547</x:v>
      </x:c>
      <x:c r="L673" s="49" t="s">
        <x:v>2705</x:v>
      </x:c>
      <x:c r="M673" s="49"/>
      <x:c r="N673" s="49" t="s">
        <x:v>1888</x:v>
      </x:c>
      <x:c r="O673" s="49" t="s">
        <x:v>126</x:v>
      </x:c>
      <x:c r="P673" s="49" t="s">
        <x:v>30</x:v>
      </x:c>
      <x:c r="Q673" s="49" t="s">
        <x:v>11</x:v>
      </x:c>
      <x:c r="R673" s="49">
        <x:v>0.98</x:v>
      </x:c>
      <x:c r="S673" s="49">
        <x:f t="shared" si="42"/>
        <x:v>0.98</x:v>
      </x:c>
      <x:c r="T673" s="49" t="s">
        <x:v>1890</x:v>
      </x:c>
      <x:c r="U673" s="49"/>
      <x:c r="V673" s="49"/>
      <x:c r="W673" s="49" t="str">
        <x:f t="shared" si="43"/>
      </x:c>
      <x:c r="X673" s="49"/>
      <x:c r="Y673" s="49"/>
      <x:c r="Z673" s="49"/>
      <x:c r="AA673" s="49"/>
      <x:c r="AB673" s="49"/>
      <x:c r="AC673" s="49"/>
      <x:c r="AD673" s="49"/>
      <x:c r="AE673" s="49"/>
      <x:c r="AF673" s="49"/>
      <x:c r="AG673" s="49"/>
      <x:c r="AH673" s="49"/>
      <x:c r="AI673" s="49"/>
      <x:c r="AJ673" s="49"/>
      <x:c r="AK673" s="49"/>
      <x:c r="AL673" s="49"/>
      <x:c r="AM673" s="49"/>
      <x:c r="AN673" s="49"/>
      <x:c r="AO673" s="49"/>
      <x:c r="AP673" s="49"/>
      <x:c r="AQ673" s="49"/>
      <x:c r="AR673" s="49"/>
      <x:c r="AS673" s="49"/>
      <x:c r="AT673" s="49"/>
      <x:c r="AU673" s="49"/>
      <x:c r="AV673" s="49"/>
      <x:c r="AW673" s="49"/>
      <x:c r="AX673" s="49"/>
      <x:c r="AY673" s="49"/>
    </x:row>
    <x:row r="674" ht="22" customHeight="1">
      <x:c r="A674" s="49" t="s">
        <x:v>2706</x:v>
      </x:c>
      <x:c r="B674" s="49" t="s">
        <x:v>2707</x:v>
      </x:c>
      <x:c r="C674" s="49" t="s">
        <x:v>239</x:v>
      </x:c>
      <x:c r="D674" s="49" t="s">
        <x:v>116</x:v>
      </x:c>
      <x:c r="E674" s="49" t="s">
        <x:v>645</x:v>
      </x:c>
      <x:c r="F674" s="49" t="s">
        <x:v>2708</x:v>
      </x:c>
      <x:c r="G674" s="49">
        <x:v>0.87</x:v>
      </x:c>
      <x:c r="H674" s="49">
        <x:v>-0.5</x:v>
      </x:c>
      <x:c r="I674" s="49">
        <x:v>0.89</x:v>
      </x:c>
      <x:c r="J674" s="49" t="s">
        <x:v>2709</x:v>
      </x:c>
      <x:c r="K674" s="49" t="s">
        <x:v>2547</x:v>
      </x:c>
      <x:c r="L674" s="49" t="s">
        <x:v>248</x:v>
      </x:c>
      <x:c r="M674" s="49"/>
      <x:c r="N674" s="49" t="s">
        <x:v>1888</x:v>
      </x:c>
      <x:c r="O674" s="49" t="s">
        <x:v>155</x:v>
      </x:c>
      <x:c r="P674" s="49" t="s">
        <x:v>30</x:v>
      </x:c>
      <x:c r="Q674" s="49" t="s">
        <x:v>11</x:v>
      </x:c>
      <x:c r="R674" s="49">
        <x:v>0.8</x:v>
      </x:c>
      <x:c r="S674" s="49">
        <x:f t="shared" si="42"/>
        <x:v>0.8</x:v>
      </x:c>
      <x:c r="T674" s="49" t="s">
        <x:v>1890</x:v>
      </x:c>
      <x:c r="U674" s="49"/>
      <x:c r="V674" s="49"/>
      <x:c r="W674" s="49" t="str">
        <x:f t="shared" si="43"/>
      </x:c>
      <x:c r="X674" s="49"/>
      <x:c r="Y674" s="49"/>
      <x:c r="Z674" s="49"/>
      <x:c r="AA674" s="49"/>
      <x:c r="AB674" s="49"/>
      <x:c r="AC674" s="49"/>
      <x:c r="AD674" s="49"/>
      <x:c r="AE674" s="49"/>
      <x:c r="AF674" s="49"/>
      <x:c r="AG674" s="49"/>
      <x:c r="AH674" s="49"/>
      <x:c r="AI674" s="49"/>
      <x:c r="AJ674" s="49"/>
      <x:c r="AK674" s="49"/>
      <x:c r="AL674" s="49"/>
      <x:c r="AM674" s="49"/>
      <x:c r="AN674" s="49"/>
      <x:c r="AO674" s="49"/>
      <x:c r="AP674" s="49"/>
      <x:c r="AQ674" s="49"/>
      <x:c r="AR674" s="49"/>
      <x:c r="AS674" s="49"/>
      <x:c r="AT674" s="49"/>
      <x:c r="AU674" s="49"/>
      <x:c r="AV674" s="49"/>
      <x:c r="AW674" s="49"/>
      <x:c r="AX674" s="49"/>
      <x:c r="AY674" s="49"/>
    </x:row>
    <x:row r="675" ht="22" customHeight="1">
      <x:c r="A675" s="49" t="s">
        <x:v>2706</x:v>
      </x:c>
      <x:c r="B675" s="49" t="s">
        <x:v>2707</x:v>
      </x:c>
      <x:c r="C675" s="49" t="s">
        <x:v>239</x:v>
      </x:c>
      <x:c r="D675" s="49" t="s">
        <x:v>116</x:v>
      </x:c>
      <x:c r="E675" s="49" t="s">
        <x:v>656</x:v>
      </x:c>
      <x:c r="F675" s="49" t="s">
        <x:v>2710</x:v>
      </x:c>
      <x:c r="G675" s="49">
        <x:v>1.03</x:v>
      </x:c>
      <x:c r="H675" s="49">
        <x:v>0</x:v>
      </x:c>
      <x:c r="I675" s="49">
        <x:v>0.79</x:v>
      </x:c>
      <x:c r="J675" s="49" t="s">
        <x:v>2711</x:v>
      </x:c>
      <x:c r="K675" s="49" t="s">
        <x:v>2547</x:v>
      </x:c>
      <x:c r="L675" s="49" t="s">
        <x:v>251</x:v>
      </x:c>
      <x:c r="M675" s="49"/>
      <x:c r="N675" s="49" t="s">
        <x:v>1888</x:v>
      </x:c>
      <x:c r="O675" s="49" t="s">
        <x:v>161</x:v>
      </x:c>
      <x:c r="P675" s="49" t="s">
        <x:v>30</x:v>
      </x:c>
      <x:c r="Q675" s="49" t="s">
        <x:v>23</x:v>
      </x:c>
      <x:c r="R675" s="49">
        <x:v>0.82</x:v>
      </x:c>
      <x:c r="S675" s="49">
        <x:f t="shared" si="42"/>
        <x:v>-1</x:v>
      </x:c>
      <x:c r="T675" s="49" t="s">
        <x:v>1890</x:v>
      </x:c>
      <x:c r="U675" s="49"/>
      <x:c r="V675" s="49"/>
      <x:c r="W675" s="49" t="str">
        <x:f t="shared" si="43"/>
      </x:c>
      <x:c r="X675" s="49"/>
      <x:c r="Y675" s="49"/>
      <x:c r="Z675" s="49"/>
      <x:c r="AA675" s="49"/>
      <x:c r="AB675" s="49"/>
      <x:c r="AC675" s="49"/>
      <x:c r="AD675" s="49"/>
      <x:c r="AE675" s="49"/>
      <x:c r="AF675" s="49"/>
      <x:c r="AG675" s="49"/>
      <x:c r="AH675" s="49"/>
      <x:c r="AI675" s="49"/>
      <x:c r="AJ675" s="49"/>
      <x:c r="AK675" s="49"/>
      <x:c r="AL675" s="49"/>
      <x:c r="AM675" s="49"/>
      <x:c r="AN675" s="49"/>
      <x:c r="AO675" s="49"/>
      <x:c r="AP675" s="49"/>
      <x:c r="AQ675" s="49"/>
      <x:c r="AR675" s="49"/>
      <x:c r="AS675" s="49"/>
      <x:c r="AT675" s="49"/>
      <x:c r="AU675" s="49"/>
      <x:c r="AV675" s="49"/>
      <x:c r="AW675" s="49"/>
      <x:c r="AX675" s="49"/>
      <x:c r="AY675" s="49"/>
    </x:row>
    <x:row r="676" ht="22" customHeight="1">
      <x:c r="A676" s="49" t="s">
        <x:v>2706</x:v>
      </x:c>
      <x:c r="B676" s="49" t="s">
        <x:v>2712</x:v>
      </x:c>
      <x:c r="C676" s="49" t="s">
        <x:v>89</x:v>
      </x:c>
      <x:c r="D676" s="49" t="s">
        <x:v>116</x:v>
      </x:c>
      <x:c r="E676" s="49" t="s">
        <x:v>307</x:v>
      </x:c>
      <x:c r="F676" s="49" t="s">
        <x:v>2713</x:v>
      </x:c>
      <x:c r="G676" s="49">
        <x:v>0.84</x:v>
      </x:c>
      <x:c r="H676" s="49">
        <x:v>0.5</x:v>
      </x:c>
      <x:c r="I676" s="49">
        <x:v>0.86</x:v>
      </x:c>
      <x:c r="J676" s="49" t="s">
        <x:v>955</x:v>
      </x:c>
      <x:c r="K676" s="49" t="s">
        <x:v>2547</x:v>
      </x:c>
      <x:c r="L676" s="49" t="s">
        <x:v>1534</x:v>
      </x:c>
      <x:c r="M676" s="49"/>
      <x:c r="N676" s="49" t="s">
        <x:v>1888</x:v>
      </x:c>
      <x:c r="O676" s="49" t="s">
        <x:v>114</x:v>
      </x:c>
      <x:c r="P676" s="49" t="s">
        <x:v>30</x:v>
      </x:c>
      <x:c r="Q676" s="49" t="s">
        <x:v>23</x:v>
      </x:c>
      <x:c r="R676" s="49">
        <x:v>0.84</x:v>
      </x:c>
      <x:c r="S676" s="49">
        <x:f t="shared" si="42"/>
        <x:v>-1</x:v>
      </x:c>
      <x:c r="T676" s="49" t="s">
        <x:v>1890</x:v>
      </x:c>
      <x:c r="U676" s="49"/>
      <x:c r="V676" s="49"/>
      <x:c r="W676" s="49" t="str">
        <x:f t="shared" si="43"/>
      </x:c>
      <x:c r="X676" s="49"/>
      <x:c r="Y676" s="49"/>
      <x:c r="Z676" s="49"/>
      <x:c r="AA676" s="49"/>
      <x:c r="AB676" s="49"/>
      <x:c r="AC676" s="49"/>
      <x:c r="AD676" s="49"/>
      <x:c r="AE676" s="49"/>
      <x:c r="AF676" s="49"/>
      <x:c r="AG676" s="49"/>
      <x:c r="AH676" s="49"/>
      <x:c r="AI676" s="49"/>
      <x:c r="AJ676" s="49"/>
      <x:c r="AK676" s="49"/>
      <x:c r="AL676" s="49"/>
      <x:c r="AM676" s="49"/>
      <x:c r="AN676" s="49"/>
      <x:c r="AO676" s="49"/>
      <x:c r="AP676" s="49"/>
      <x:c r="AQ676" s="49"/>
      <x:c r="AR676" s="49"/>
      <x:c r="AS676" s="49"/>
      <x:c r="AT676" s="49"/>
      <x:c r="AU676" s="49"/>
      <x:c r="AV676" s="49"/>
      <x:c r="AW676" s="49"/>
      <x:c r="AX676" s="49"/>
      <x:c r="AY676" s="49"/>
    </x:row>
    <x:row r="677" ht="22" customHeight="1">
      <x:c r="A677" s="49" t="s">
        <x:v>2706</x:v>
      </x:c>
      <x:c r="B677" s="49" t="s">
        <x:v>2714</x:v>
      </x:c>
      <x:c r="C677" s="49" t="s">
        <x:v>244</x:v>
      </x:c>
      <x:c r="D677" s="49" t="s">
        <x:v>90</x:v>
      </x:c>
      <x:c r="E677" s="49" t="s">
        <x:v>2650</x:v>
      </x:c>
      <x:c r="F677" s="49" t="s">
        <x:v>2715</x:v>
      </x:c>
      <x:c r="G677" s="49">
        <x:v>0.88</x:v>
      </x:c>
      <x:c r="H677" s="49">
        <x:v>-2.75</x:v>
      </x:c>
      <x:c r="I677" s="49">
        <x:v>0.88</x:v>
      </x:c>
      <x:c r="J677" s="49" t="s">
        <x:v>2716</x:v>
      </x:c>
      <x:c r="K677" s="49" t="s">
        <x:v>2547</x:v>
      </x:c>
      <x:c r="L677" s="49" t="s">
        <x:v>2717</x:v>
      </x:c>
      <x:c r="M677" s="49"/>
      <x:c r="N677" s="49" t="s">
        <x:v>1888</x:v>
      </x:c>
      <x:c r="O677" s="49" t="s">
        <x:v>708</x:v>
      </x:c>
      <x:c r="P677" s="49" t="s">
        <x:v>30</x:v>
      </x:c>
      <x:c r="Q677" s="49" t="s">
        <x:v>23</x:v>
      </x:c>
      <x:c r="R677" s="49">
        <x:v>0.94</x:v>
      </x:c>
      <x:c r="S677" s="49">
        <x:f t="shared" si="42"/>
        <x:v>-1</x:v>
      </x:c>
      <x:c r="T677" s="49" t="s">
        <x:v>1890</x:v>
      </x:c>
      <x:c r="U677" s="49"/>
      <x:c r="V677" s="49"/>
      <x:c r="W677" s="49" t="str">
        <x:f t="shared" si="43"/>
      </x:c>
      <x:c r="X677" s="49"/>
      <x:c r="Y677" s="49"/>
      <x:c r="Z677" s="49"/>
      <x:c r="AA677" s="49"/>
      <x:c r="AB677" s="49"/>
      <x:c r="AC677" s="49"/>
      <x:c r="AD677" s="49"/>
      <x:c r="AE677" s="49"/>
      <x:c r="AF677" s="49"/>
      <x:c r="AG677" s="49"/>
      <x:c r="AH677" s="49"/>
      <x:c r="AI677" s="49"/>
      <x:c r="AJ677" s="49"/>
      <x:c r="AK677" s="49"/>
      <x:c r="AL677" s="49"/>
      <x:c r="AM677" s="49"/>
      <x:c r="AN677" s="49"/>
      <x:c r="AO677" s="49"/>
      <x:c r="AP677" s="49"/>
      <x:c r="AQ677" s="49"/>
      <x:c r="AR677" s="49"/>
      <x:c r="AS677" s="49"/>
      <x:c r="AT677" s="49"/>
      <x:c r="AU677" s="49"/>
      <x:c r="AV677" s="49"/>
      <x:c r="AW677" s="49"/>
      <x:c r="AX677" s="49"/>
      <x:c r="AY677" s="49"/>
    </x:row>
    <x:row r="678" ht="22" customHeight="1">
      <x:c r="A678" s="49" t="s">
        <x:v>2706</x:v>
      </x:c>
      <x:c r="B678" s="49" t="s">
        <x:v>2718</x:v>
      </x:c>
      <x:c r="C678" s="49" t="s">
        <x:v>333</x:v>
      </x:c>
      <x:c r="D678" s="49" t="s">
        <x:v>116</x:v>
      </x:c>
      <x:c r="E678" s="49" t="s">
        <x:v>953</x:v>
      </x:c>
      <x:c r="F678" s="49" t="s">
        <x:v>2719</x:v>
      </x:c>
      <x:c r="G678" s="49">
        <x:v>0.83</x:v>
      </x:c>
      <x:c r="H678" s="49">
        <x:v>0.25</x:v>
      </x:c>
      <x:c r="I678" s="49">
        <x:v>0.87</x:v>
      </x:c>
      <x:c r="J678" s="49" t="s">
        <x:v>2720</x:v>
      </x:c>
      <x:c r="K678" s="49" t="s">
        <x:v>2547</x:v>
      </x:c>
      <x:c r="L678" s="49" t="s">
        <x:v>1066</x:v>
      </x:c>
      <x:c r="M678" s="49"/>
      <x:c r="N678" s="49" t="s">
        <x:v>1888</x:v>
      </x:c>
      <x:c r="O678" s="49" t="s">
        <x:v>191</x:v>
      </x:c>
      <x:c r="P678" s="49" t="s">
        <x:v>30</x:v>
      </x:c>
      <x:c r="Q678" s="49" t="s">
        <x:v>23</x:v>
      </x:c>
      <x:c r="R678" s="49">
        <x:v>0.83</x:v>
      </x:c>
      <x:c r="S678" s="49">
        <x:f t="shared" si="42"/>
        <x:v>-1</x:v>
      </x:c>
      <x:c r="T678" s="49" t="s">
        <x:v>1890</x:v>
      </x:c>
      <x:c r="U678" s="49"/>
      <x:c r="V678" s="49"/>
      <x:c r="W678" s="49" t="str">
        <x:f t="shared" si="43"/>
      </x:c>
      <x:c r="X678" s="49"/>
      <x:c r="Y678" s="49"/>
      <x:c r="Z678" s="49"/>
      <x:c r="AA678" s="49"/>
      <x:c r="AB678" s="49"/>
      <x:c r="AC678" s="49"/>
      <x:c r="AD678" s="49"/>
      <x:c r="AE678" s="49"/>
      <x:c r="AF678" s="49"/>
      <x:c r="AG678" s="49"/>
      <x:c r="AH678" s="49"/>
      <x:c r="AI678" s="49"/>
      <x:c r="AJ678" s="49"/>
      <x:c r="AK678" s="49"/>
      <x:c r="AL678" s="49"/>
      <x:c r="AM678" s="49"/>
      <x:c r="AN678" s="49"/>
      <x:c r="AO678" s="49"/>
      <x:c r="AP678" s="49"/>
      <x:c r="AQ678" s="49"/>
      <x:c r="AR678" s="49"/>
      <x:c r="AS678" s="49"/>
      <x:c r="AT678" s="49"/>
      <x:c r="AU678" s="49"/>
      <x:c r="AV678" s="49"/>
      <x:c r="AW678" s="49"/>
      <x:c r="AX678" s="49"/>
      <x:c r="AY678" s="49"/>
    </x:row>
    <x:row r="679" ht="22" customHeight="1">
      <x:c r="A679" s="49" t="s">
        <x:v>2706</x:v>
      </x:c>
      <x:c r="B679" s="49" t="s">
        <x:v>2721</x:v>
      </x:c>
      <x:c r="C679" s="49" t="s">
        <x:v>244</x:v>
      </x:c>
      <x:c r="D679" s="49" t="s">
        <x:v>116</x:v>
      </x:c>
      <x:c r="E679" s="49" t="s">
        <x:v>674</x:v>
      </x:c>
      <x:c r="F679" s="49" t="s">
        <x:v>2722</x:v>
      </x:c>
      <x:c r="G679" s="49">
        <x:v>0.75</x:v>
      </x:c>
      <x:c r="H679" s="49">
        <x:v>0.75</x:v>
      </x:c>
      <x:c r="I679" s="49">
        <x:v>0.95</x:v>
      </x:c>
      <x:c r="J679" s="49" t="s">
        <x:v>2723</x:v>
      </x:c>
      <x:c r="K679" s="49" t="s">
        <x:v>2547</x:v>
      </x:c>
      <x:c r="L679" s="49" t="s">
        <x:v>2091</x:v>
      </x:c>
      <x:c r="M679" s="49"/>
      <x:c r="N679" s="49" t="s">
        <x:v>1888</x:v>
      </x:c>
      <x:c r="O679" s="49" t="s">
        <x:v>161</x:v>
      </x:c>
      <x:c r="P679" s="49" t="s">
        <x:v>30</x:v>
      </x:c>
      <x:c r="Q679" s="49" t="s">
        <x:v>11</x:v>
      </x:c>
      <x:c r="R679" s="49">
        <x:v>0.75</x:v>
      </x:c>
      <x:c r="S679" s="49">
        <x:f t="shared" si="42"/>
        <x:v>0.75</x:v>
      </x:c>
      <x:c r="T679" s="49" t="s">
        <x:v>1890</x:v>
      </x:c>
      <x:c r="U679" s="49"/>
      <x:c r="V679" s="49"/>
      <x:c r="W679" s="49" t="str">
        <x:f t="shared" si="43"/>
      </x:c>
      <x:c r="X679" s="49"/>
      <x:c r="Y679" s="49"/>
      <x:c r="Z679" s="49"/>
      <x:c r="AA679" s="49"/>
      <x:c r="AB679" s="49"/>
      <x:c r="AC679" s="49"/>
      <x:c r="AD679" s="49"/>
      <x:c r="AE679" s="49"/>
      <x:c r="AF679" s="49"/>
      <x:c r="AG679" s="49"/>
      <x:c r="AH679" s="49"/>
      <x:c r="AI679" s="49"/>
      <x:c r="AJ679" s="49"/>
      <x:c r="AK679" s="49"/>
      <x:c r="AL679" s="49"/>
      <x:c r="AM679" s="49"/>
      <x:c r="AN679" s="49"/>
      <x:c r="AO679" s="49"/>
      <x:c r="AP679" s="49"/>
      <x:c r="AQ679" s="49"/>
      <x:c r="AR679" s="49"/>
      <x:c r="AS679" s="49"/>
      <x:c r="AT679" s="49"/>
      <x:c r="AU679" s="49"/>
      <x:c r="AV679" s="49"/>
      <x:c r="AW679" s="49"/>
      <x:c r="AX679" s="49"/>
      <x:c r="AY679" s="49"/>
    </x:row>
    <x:row r="680" ht="22" customHeight="1">
      <x:c r="A680" s="49" t="s">
        <x:v>2706</x:v>
      </x:c>
      <x:c r="B680" s="49" t="s">
        <x:v>2724</x:v>
      </x:c>
      <x:c r="C680" s="49" t="s">
        <x:v>89</x:v>
      </x:c>
      <x:c r="D680" s="49" t="s">
        <x:v>116</x:v>
      </x:c>
      <x:c r="E680" s="49" t="s">
        <x:v>687</x:v>
      </x:c>
      <x:c r="F680" s="49" t="s">
        <x:v>2725</x:v>
      </x:c>
      <x:c r="G680" s="49">
        <x:v>0.88</x:v>
      </x:c>
      <x:c r="H680" s="49">
        <x:v>0</x:v>
      </x:c>
      <x:c r="I680" s="49">
        <x:v>0.82</x:v>
      </x:c>
      <x:c r="J680" s="49" t="s">
        <x:v>2726</x:v>
      </x:c>
      <x:c r="K680" s="49" t="s">
        <x:v>2547</x:v>
      </x:c>
      <x:c r="L680" s="49" t="s">
        <x:v>690</x:v>
      </x:c>
      <x:c r="M680" s="49"/>
      <x:c r="N680" s="49" t="s">
        <x:v>1888</x:v>
      </x:c>
      <x:c r="O680" s="49" t="s">
        <x:v>642</x:v>
      </x:c>
      <x:c r="P680" s="49" t="s">
        <x:v>30</x:v>
      </x:c>
      <x:c r="Q680" s="49" t="s">
        <x:v>11</x:v>
      </x:c>
      <x:c r="R680" s="49">
        <x:v>0.82</x:v>
      </x:c>
      <x:c r="S680" s="49">
        <x:f t="shared" si="42"/>
        <x:v>0.82</x:v>
      </x:c>
      <x:c r="T680" s="49" t="s">
        <x:v>1890</x:v>
      </x:c>
      <x:c r="U680" s="49"/>
      <x:c r="V680" s="49"/>
      <x:c r="W680" s="49" t="str">
        <x:f t="shared" si="43"/>
      </x:c>
      <x:c r="X680" s="49"/>
      <x:c r="Y680" s="49"/>
      <x:c r="Z680" s="49"/>
      <x:c r="AA680" s="49"/>
      <x:c r="AB680" s="49"/>
      <x:c r="AC680" s="49"/>
      <x:c r="AD680" s="49"/>
      <x:c r="AE680" s="49"/>
      <x:c r="AF680" s="49"/>
      <x:c r="AG680" s="49"/>
      <x:c r="AH680" s="49"/>
      <x:c r="AI680" s="49"/>
      <x:c r="AJ680" s="49"/>
      <x:c r="AK680" s="49"/>
      <x:c r="AL680" s="49"/>
      <x:c r="AM680" s="49"/>
      <x:c r="AN680" s="49"/>
      <x:c r="AO680" s="49"/>
      <x:c r="AP680" s="49"/>
      <x:c r="AQ680" s="49"/>
      <x:c r="AR680" s="49"/>
      <x:c r="AS680" s="49"/>
      <x:c r="AT680" s="49"/>
      <x:c r="AU680" s="49"/>
      <x:c r="AV680" s="49"/>
      <x:c r="AW680" s="49"/>
      <x:c r="AX680" s="49"/>
      <x:c r="AY680" s="49"/>
    </x:row>
    <x:row r="681" ht="22" customHeight="1">
      <x:c r="A681" s="49" t="s">
        <x:v>2706</x:v>
      </x:c>
      <x:c r="B681" s="49" t="s">
        <x:v>2727</x:v>
      </x:c>
      <x:c r="C681" s="49" t="s">
        <x:v>89</x:v>
      </x:c>
      <x:c r="D681" s="49" t="s">
        <x:v>116</x:v>
      </x:c>
      <x:c r="E681" s="49" t="s">
        <x:v>927</x:v>
      </x:c>
      <x:c r="F681" s="49" t="s">
        <x:v>2728</x:v>
      </x:c>
      <x:c r="G681" s="49">
        <x:v>0.81</x:v>
      </x:c>
      <x:c r="H681" s="49">
        <x:v>0.25</x:v>
      </x:c>
      <x:c r="I681" s="49">
        <x:v>0.95</x:v>
      </x:c>
      <x:c r="J681" s="49" t="s">
        <x:v>990</x:v>
      </x:c>
      <x:c r="K681" s="49" t="s">
        <x:v>2547</x:v>
      </x:c>
      <x:c r="L681" s="49" t="s">
        <x:v>2729</x:v>
      </x:c>
      <x:c r="M681" s="49"/>
      <x:c r="N681" s="49" t="s">
        <x:v>1888</x:v>
      </x:c>
      <x:c r="O681" s="49" t="s">
        <x:v>126</x:v>
      </x:c>
      <x:c r="P681" s="49" t="s">
        <x:v>30</x:v>
      </x:c>
      <x:c r="Q681" s="49" t="s">
        <x:v>20</x:v>
      </x:c>
      <x:c r="R681" s="49">
        <x:v>0.78</x:v>
      </x:c>
      <x:c r="S681" s="49">
        <x:f t="shared" si="42"/>
        <x:v>-0.5</x:v>
      </x:c>
      <x:c r="T681" s="49" t="s">
        <x:v>1890</x:v>
      </x:c>
      <x:c r="U681" s="49"/>
      <x:c r="V681" s="49"/>
      <x:c r="W681" s="49" t="str">
        <x:f t="shared" si="43"/>
      </x:c>
      <x:c r="X681" s="49"/>
      <x:c r="Y681" s="49"/>
      <x:c r="Z681" s="49"/>
      <x:c r="AA681" s="49"/>
      <x:c r="AB681" s="49"/>
      <x:c r="AC681" s="49"/>
      <x:c r="AD681" s="49"/>
      <x:c r="AE681" s="49"/>
      <x:c r="AF681" s="49"/>
      <x:c r="AG681" s="49"/>
      <x:c r="AH681" s="49"/>
      <x:c r="AI681" s="49"/>
      <x:c r="AJ681" s="49"/>
      <x:c r="AK681" s="49"/>
      <x:c r="AL681" s="49"/>
      <x:c r="AM681" s="49"/>
      <x:c r="AN681" s="49"/>
      <x:c r="AO681" s="49"/>
      <x:c r="AP681" s="49"/>
      <x:c r="AQ681" s="49"/>
      <x:c r="AR681" s="49"/>
      <x:c r="AS681" s="49"/>
      <x:c r="AT681" s="49"/>
      <x:c r="AU681" s="49"/>
      <x:c r="AV681" s="49"/>
      <x:c r="AW681" s="49"/>
      <x:c r="AX681" s="49"/>
      <x:c r="AY681" s="49"/>
    </x:row>
    <x:row r="682" ht="22" customHeight="1">
      <x:c r="A682" s="49" t="s">
        <x:v>2706</x:v>
      </x:c>
      <x:c r="B682" s="49" t="s">
        <x:v>2730</x:v>
      </x:c>
      <x:c r="C682" s="49" t="s">
        <x:v>89</x:v>
      </x:c>
      <x:c r="D682" s="49" t="s">
        <x:v>90</x:v>
      </x:c>
      <x:c r="E682" s="49" t="s">
        <x:v>151</x:v>
      </x:c>
      <x:c r="F682" s="49" t="s">
        <x:v>2731</x:v>
      </x:c>
      <x:c r="G682" s="49">
        <x:v>0.9</x:v>
      </x:c>
      <x:c r="H682" s="49">
        <x:v>-0.5</x:v>
      </x:c>
      <x:c r="I682" s="49">
        <x:v>0.8</x:v>
      </x:c>
      <x:c r="J682" s="49" t="s">
        <x:v>2546</x:v>
      </x:c>
      <x:c r="K682" s="49" t="s">
        <x:v>2547</x:v>
      </x:c>
      <x:c r="L682" s="49" t="s">
        <x:v>2732</x:v>
      </x:c>
      <x:c r="M682" s="49"/>
      <x:c r="N682" s="49" t="s">
        <x:v>1888</x:v>
      </x:c>
      <x:c r="O682" s="49" t="s">
        <x:v>231</x:v>
      </x:c>
      <x:c r="P682" s="49" t="s">
        <x:v>30</x:v>
      </x:c>
      <x:c r="Q682" s="49" t="s">
        <x:v>23</x:v>
      </x:c>
      <x:c r="R682" s="49">
        <x:v>0.8</x:v>
      </x:c>
      <x:c r="S682" s="49">
        <x:f t="shared" si="42"/>
        <x:v>-1</x:v>
      </x:c>
      <x:c r="T682" s="49" t="s">
        <x:v>1890</x:v>
      </x:c>
      <x:c r="U682" s="49"/>
      <x:c r="V682" s="49"/>
      <x:c r="W682" s="49" t="str">
        <x:f t="shared" si="43"/>
      </x:c>
      <x:c r="X682" s="49"/>
      <x:c r="Y682" s="49"/>
      <x:c r="Z682" s="49"/>
      <x:c r="AA682" s="49"/>
      <x:c r="AB682" s="49"/>
      <x:c r="AC682" s="49"/>
      <x:c r="AD682" s="49"/>
      <x:c r="AE682" s="49"/>
      <x:c r="AF682" s="49"/>
      <x:c r="AG682" s="49"/>
      <x:c r="AH682" s="49"/>
      <x:c r="AI682" s="49"/>
      <x:c r="AJ682" s="49"/>
      <x:c r="AK682" s="49"/>
      <x:c r="AL682" s="49"/>
      <x:c r="AM682" s="49"/>
      <x:c r="AN682" s="49"/>
      <x:c r="AO682" s="49"/>
      <x:c r="AP682" s="49"/>
      <x:c r="AQ682" s="49"/>
      <x:c r="AR682" s="49"/>
      <x:c r="AS682" s="49"/>
      <x:c r="AT682" s="49"/>
      <x:c r="AU682" s="49"/>
      <x:c r="AV682" s="49"/>
      <x:c r="AW682" s="49"/>
      <x:c r="AX682" s="49"/>
      <x:c r="AY682" s="49"/>
    </x:row>
    <x:row r="683" ht="22" customHeight="1">
      <x:c r="A683" s="49" t="s">
        <x:v>2706</x:v>
      </x:c>
      <x:c r="B683" s="49" t="s">
        <x:v>2730</x:v>
      </x:c>
      <x:c r="C683" s="49" t="s">
        <x:v>89</x:v>
      </x:c>
      <x:c r="D683" s="49" t="s">
        <x:v>90</x:v>
      </x:c>
      <x:c r="E683" s="49" t="s">
        <x:v>151</x:v>
      </x:c>
      <x:c r="F683" s="49" t="s">
        <x:v>2733</x:v>
      </x:c>
      <x:c r="G683" s="49">
        <x:v>0.84</x:v>
      </x:c>
      <x:c r="H683" s="49">
        <x:v>2.75</x:v>
      </x:c>
      <x:c r="I683" s="49">
        <x:v>0.86</x:v>
      </x:c>
      <x:c r="J683" s="49" t="s">
        <x:v>2734</x:v>
      </x:c>
      <x:c r="K683" s="49" t="s">
        <x:v>2547</x:v>
      </x:c>
      <x:c r="L683" s="49" t="s">
        <x:v>2735</x:v>
      </x:c>
      <x:c r="M683" s="49"/>
      <x:c r="N683" s="49" t="s">
        <x:v>1888</x:v>
      </x:c>
      <x:c r="O683" s="49" t="s">
        <x:v>273</x:v>
      </x:c>
      <x:c r="P683" s="49" t="s">
        <x:v>30</x:v>
      </x:c>
      <x:c r="Q683" s="49" t="s">
        <x:v>23</x:v>
      </x:c>
      <x:c r="R683" s="49">
        <x:v>0.84</x:v>
      </x:c>
      <x:c r="S683" s="49">
        <x:f t="shared" si="42"/>
        <x:v>-1</x:v>
      </x:c>
      <x:c r="T683" s="49" t="s">
        <x:v>1890</x:v>
      </x:c>
      <x:c r="U683" s="49"/>
      <x:c r="V683" s="49"/>
      <x:c r="W683" s="49" t="str">
        <x:f t="shared" si="43"/>
      </x:c>
      <x:c r="X683" s="49"/>
      <x:c r="Y683" s="49"/>
      <x:c r="Z683" s="49"/>
      <x:c r="AA683" s="49"/>
      <x:c r="AB683" s="49"/>
      <x:c r="AC683" s="49"/>
      <x:c r="AD683" s="49"/>
      <x:c r="AE683" s="49"/>
      <x:c r="AF683" s="49"/>
      <x:c r="AG683" s="49"/>
      <x:c r="AH683" s="49"/>
      <x:c r="AI683" s="49"/>
      <x:c r="AJ683" s="49"/>
      <x:c r="AK683" s="49"/>
      <x:c r="AL683" s="49"/>
      <x:c r="AM683" s="49"/>
      <x:c r="AN683" s="49"/>
      <x:c r="AO683" s="49"/>
      <x:c r="AP683" s="49"/>
      <x:c r="AQ683" s="49"/>
      <x:c r="AR683" s="49"/>
      <x:c r="AS683" s="49"/>
      <x:c r="AT683" s="49"/>
      <x:c r="AU683" s="49"/>
      <x:c r="AV683" s="49"/>
      <x:c r="AW683" s="49"/>
      <x:c r="AX683" s="49"/>
      <x:c r="AY683" s="49"/>
    </x:row>
    <x:row r="684" ht="22" customHeight="1">
      <x:c r="A684" s="49" t="s">
        <x:v>2706</x:v>
      </x:c>
      <x:c r="B684" s="49" t="s">
        <x:v>2730</x:v>
      </x:c>
      <x:c r="C684" s="49" t="s">
        <x:v>333</x:v>
      </x:c>
      <x:c r="D684" s="49" t="s">
        <x:v>116</x:v>
      </x:c>
      <x:c r="E684" s="49" t="s">
        <x:v>145</x:v>
      </x:c>
      <x:c r="F684" s="49" t="s">
        <x:v>2736</x:v>
      </x:c>
      <x:c r="G684" s="49">
        <x:v>0.82</x:v>
      </x:c>
      <x:c r="H684" s="49">
        <x:v>0.5</x:v>
      </x:c>
      <x:c r="I684" s="49">
        <x:v>1</x:v>
      </x:c>
      <x:c r="J684" s="49" t="s">
        <x:v>2737</x:v>
      </x:c>
      <x:c r="K684" s="49" t="s">
        <x:v>2547</x:v>
      </x:c>
      <x:c r="L684" s="49" t="s">
        <x:v>1639</x:v>
      </x:c>
      <x:c r="M684" s="49"/>
      <x:c r="N684" s="49" t="s">
        <x:v>1888</x:v>
      </x:c>
      <x:c r="O684" s="49" t="s">
        <x:v>126</x:v>
      </x:c>
      <x:c r="P684" s="49" t="s">
        <x:v>30</x:v>
      </x:c>
      <x:c r="Q684" s="49" t="s">
        <x:v>23</x:v>
      </x:c>
      <x:c r="R684" s="49">
        <x:v>0.83</x:v>
      </x:c>
      <x:c r="S684" s="49">
        <x:f t="shared" si="42"/>
        <x:v>-1</x:v>
      </x:c>
      <x:c r="T684" s="49" t="s">
        <x:v>1890</x:v>
      </x:c>
      <x:c r="U684" s="49"/>
      <x:c r="V684" s="49"/>
      <x:c r="W684" s="49" t="str">
        <x:f t="shared" si="43"/>
      </x:c>
      <x:c r="X684" s="49"/>
      <x:c r="Y684" s="49"/>
      <x:c r="Z684" s="49"/>
      <x:c r="AA684" s="49"/>
      <x:c r="AB684" s="49"/>
      <x:c r="AC684" s="49"/>
      <x:c r="AD684" s="49"/>
      <x:c r="AE684" s="49"/>
      <x:c r="AF684" s="49"/>
      <x:c r="AG684" s="49"/>
      <x:c r="AH684" s="49"/>
      <x:c r="AI684" s="49"/>
      <x:c r="AJ684" s="49"/>
      <x:c r="AK684" s="49"/>
      <x:c r="AL684" s="49"/>
      <x:c r="AM684" s="49"/>
      <x:c r="AN684" s="49"/>
      <x:c r="AO684" s="49"/>
      <x:c r="AP684" s="49"/>
      <x:c r="AQ684" s="49"/>
      <x:c r="AR684" s="49"/>
      <x:c r="AS684" s="49"/>
      <x:c r="AT684" s="49"/>
      <x:c r="AU684" s="49"/>
      <x:c r="AV684" s="49"/>
      <x:c r="AW684" s="49"/>
      <x:c r="AX684" s="49"/>
      <x:c r="AY684" s="49"/>
    </x:row>
    <x:row r="685" ht="22" customHeight="1">
      <x:c r="A685" s="49" t="s">
        <x:v>2706</x:v>
      </x:c>
      <x:c r="B685" s="49" t="s">
        <x:v>2738</x:v>
      </x:c>
      <x:c r="C685" s="49" t="s">
        <x:v>333</x:v>
      </x:c>
      <x:c r="D685" s="49" t="s">
        <x:v>116</x:v>
      </x:c>
      <x:c r="E685" s="49" t="s">
        <x:v>953</x:v>
      </x:c>
      <x:c r="F685" s="49" t="s">
        <x:v>2739</x:v>
      </x:c>
      <x:c r="G685" s="49">
        <x:v>0.83</x:v>
      </x:c>
      <x:c r="H685" s="49">
        <x:v>0.25</x:v>
      </x:c>
      <x:c r="I685" s="49">
        <x:v>0.87</x:v>
      </x:c>
      <x:c r="J685" s="49" t="s">
        <x:v>2720</x:v>
      </x:c>
      <x:c r="K685" s="49" t="s">
        <x:v>2547</x:v>
      </x:c>
      <x:c r="L685" s="49" t="s">
        <x:v>2740</x:v>
      </x:c>
      <x:c r="M685" s="49"/>
      <x:c r="N685" s="49" t="s">
        <x:v>1888</x:v>
      </x:c>
      <x:c r="O685" s="49" t="s">
        <x:v>201</x:v>
      </x:c>
      <x:c r="P685" s="49" t="s">
        <x:v>30</x:v>
      </x:c>
      <x:c r="Q685" s="49" t="s">
        <x:v>11</x:v>
      </x:c>
      <x:c r="R685" s="49">
        <x:v>0.83</x:v>
      </x:c>
      <x:c r="S685" s="49">
        <x:f t="shared" si="42"/>
        <x:v>0.83</x:v>
      </x:c>
      <x:c r="T685" s="49" t="s">
        <x:v>1890</x:v>
      </x:c>
      <x:c r="U685" s="49"/>
      <x:c r="V685" s="49"/>
      <x:c r="W685" s="49" t="str">
        <x:f t="shared" si="43"/>
      </x:c>
      <x:c r="X685" s="49"/>
      <x:c r="Y685" s="49"/>
      <x:c r="Z685" s="49"/>
      <x:c r="AA685" s="49"/>
      <x:c r="AB685" s="49"/>
      <x:c r="AC685" s="49"/>
      <x:c r="AD685" s="49"/>
      <x:c r="AE685" s="49"/>
      <x:c r="AF685" s="49"/>
      <x:c r="AG685" s="49"/>
      <x:c r="AH685" s="49"/>
      <x:c r="AI685" s="49"/>
      <x:c r="AJ685" s="49"/>
      <x:c r="AK685" s="49"/>
      <x:c r="AL685" s="49"/>
      <x:c r="AM685" s="49"/>
      <x:c r="AN685" s="49"/>
      <x:c r="AO685" s="49"/>
      <x:c r="AP685" s="49"/>
      <x:c r="AQ685" s="49"/>
      <x:c r="AR685" s="49"/>
      <x:c r="AS685" s="49"/>
      <x:c r="AT685" s="49"/>
      <x:c r="AU685" s="49"/>
      <x:c r="AV685" s="49"/>
      <x:c r="AW685" s="49"/>
      <x:c r="AX685" s="49"/>
      <x:c r="AY685" s="49"/>
    </x:row>
    <x:row r="686" ht="22" customHeight="1">
      <x:c r="A686" s="49" t="s">
        <x:v>2706</x:v>
      </x:c>
      <x:c r="B686" s="49" t="s">
        <x:v>2738</x:v>
      </x:c>
      <x:c r="C686" s="49" t="s">
        <x:v>333</x:v>
      </x:c>
      <x:c r="D686" s="49" t="s">
        <x:v>116</x:v>
      </x:c>
      <x:c r="E686" s="49" t="s">
        <x:v>953</x:v>
      </x:c>
      <x:c r="F686" s="49" t="s">
        <x:v>2741</x:v>
      </x:c>
      <x:c r="G686" s="49">
        <x:v>0.81</x:v>
      </x:c>
      <x:c r="H686" s="49">
        <x:v>0.75</x:v>
      </x:c>
      <x:c r="I686" s="49">
        <x:v>0.89</x:v>
      </x:c>
      <x:c r="J686" s="49" t="s">
        <x:v>2742</x:v>
      </x:c>
      <x:c r="K686" s="49" t="s">
        <x:v>2547</x:v>
      </x:c>
      <x:c r="L686" s="49" t="s">
        <x:v>2743</x:v>
      </x:c>
      <x:c r="M686" s="49"/>
      <x:c r="N686" s="49" t="s">
        <x:v>1888</x:v>
      </x:c>
      <x:c r="O686" s="49" t="s">
        <x:v>273</x:v>
      </x:c>
      <x:c r="P686" s="49" t="s">
        <x:v>30</x:v>
      </x:c>
      <x:c r="Q686" s="49" t="s">
        <x:v>23</x:v>
      </x:c>
      <x:c r="R686" s="49">
        <x:v>0.81</x:v>
      </x:c>
      <x:c r="S686" s="49">
        <x:f t="shared" si="42"/>
        <x:v>-1</x:v>
      </x:c>
      <x:c r="T686" s="49" t="s">
        <x:v>1890</x:v>
      </x:c>
      <x:c r="U686" s="49"/>
      <x:c r="V686" s="49"/>
      <x:c r="W686" s="49" t="str">
        <x:f t="shared" si="43"/>
      </x:c>
      <x:c r="X686" s="49"/>
      <x:c r="Y686" s="49"/>
      <x:c r="Z686" s="49"/>
      <x:c r="AA686" s="49"/>
      <x:c r="AB686" s="49"/>
      <x:c r="AC686" s="49"/>
      <x:c r="AD686" s="49"/>
      <x:c r="AE686" s="49"/>
      <x:c r="AF686" s="49"/>
      <x:c r="AG686" s="49"/>
      <x:c r="AH686" s="49"/>
      <x:c r="AI686" s="49"/>
      <x:c r="AJ686" s="49"/>
      <x:c r="AK686" s="49"/>
      <x:c r="AL686" s="49"/>
      <x:c r="AM686" s="49"/>
      <x:c r="AN686" s="49"/>
      <x:c r="AO686" s="49"/>
      <x:c r="AP686" s="49"/>
      <x:c r="AQ686" s="49"/>
      <x:c r="AR686" s="49"/>
      <x:c r="AS686" s="49"/>
      <x:c r="AT686" s="49"/>
      <x:c r="AU686" s="49"/>
      <x:c r="AV686" s="49"/>
      <x:c r="AW686" s="49"/>
      <x:c r="AX686" s="49"/>
      <x:c r="AY686" s="49"/>
    </x:row>
    <x:row r="687" ht="22" customHeight="1">
      <x:c r="A687" s="49" t="s">
        <x:v>2706</x:v>
      </x:c>
      <x:c r="B687" s="49" t="s">
        <x:v>2744</x:v>
      </x:c>
      <x:c r="C687" s="49" t="s">
        <x:v>89</x:v>
      </x:c>
      <x:c r="D687" s="49" t="s">
        <x:v>116</x:v>
      </x:c>
      <x:c r="E687" s="49" t="s">
        <x:v>927</x:v>
      </x:c>
      <x:c r="F687" s="49" t="s">
        <x:v>2745</x:v>
      </x:c>
      <x:c r="G687" s="49">
        <x:v>0.85</x:v>
      </x:c>
      <x:c r="H687" s="49">
        <x:v>0.75</x:v>
      </x:c>
      <x:c r="I687" s="49">
        <x:v>0.91</x:v>
      </x:c>
      <x:c r="J687" s="49" t="s">
        <x:v>2746</x:v>
      </x:c>
      <x:c r="K687" s="49" t="s">
        <x:v>2547</x:v>
      </x:c>
      <x:c r="L687" s="49" t="s">
        <x:v>2747</x:v>
      </x:c>
      <x:c r="M687" s="49"/>
      <x:c r="N687" s="49" t="s">
        <x:v>1888</x:v>
      </x:c>
      <x:c r="O687" s="49" t="s">
        <x:v>178</x:v>
      </x:c>
      <x:c r="P687" s="49" t="s">
        <x:v>30</x:v>
      </x:c>
      <x:c r="Q687" s="49" t="s">
        <x:v>14</x:v>
      </x:c>
      <x:c r="R687" s="49">
        <x:v>0.82</x:v>
      </x:c>
      <x:c r="S687" s="49">
        <x:f t="shared" si="42"/>
        <x:v>0.41</x:v>
      </x:c>
      <x:c r="T687" s="49" t="s">
        <x:v>1890</x:v>
      </x:c>
      <x:c r="U687" s="49"/>
      <x:c r="V687" s="49"/>
      <x:c r="W687" s="49" t="str">
        <x:f t="shared" si="43"/>
      </x:c>
      <x:c r="X687" s="49"/>
      <x:c r="Y687" s="49"/>
      <x:c r="Z687" s="49"/>
      <x:c r="AA687" s="49"/>
      <x:c r="AB687" s="49"/>
      <x:c r="AC687" s="49"/>
      <x:c r="AD687" s="49"/>
      <x:c r="AE687" s="49"/>
      <x:c r="AF687" s="49"/>
      <x:c r="AG687" s="49"/>
      <x:c r="AH687" s="49"/>
      <x:c r="AI687" s="49"/>
      <x:c r="AJ687" s="49"/>
      <x:c r="AK687" s="49"/>
      <x:c r="AL687" s="49"/>
      <x:c r="AM687" s="49"/>
      <x:c r="AN687" s="49"/>
      <x:c r="AO687" s="49"/>
      <x:c r="AP687" s="49"/>
      <x:c r="AQ687" s="49"/>
      <x:c r="AR687" s="49"/>
      <x:c r="AS687" s="49"/>
      <x:c r="AT687" s="49"/>
      <x:c r="AU687" s="49"/>
      <x:c r="AV687" s="49"/>
      <x:c r="AW687" s="49"/>
      <x:c r="AX687" s="49"/>
      <x:c r="AY687" s="49"/>
    </x:row>
    <x:row r="688" ht="22" customHeight="1">
      <x:c r="A688" s="49" t="s">
        <x:v>2706</x:v>
      </x:c>
      <x:c r="B688" s="49" t="s">
        <x:v>2748</x:v>
      </x:c>
      <x:c r="C688" s="49" t="s">
        <x:v>333</x:v>
      </x:c>
      <x:c r="D688" s="49" t="s">
        <x:v>116</x:v>
      </x:c>
      <x:c r="E688" s="49" t="s">
        <x:v>865</x:v>
      </x:c>
      <x:c r="F688" s="49" t="s">
        <x:v>2749</x:v>
      </x:c>
      <x:c r="G688" s="49">
        <x:v>1.03</x:v>
      </x:c>
      <x:c r="H688" s="49">
        <x:v>0.75</x:v>
      </x:c>
      <x:c r="I688" s="49">
        <x:v>0.85</x:v>
      </x:c>
      <x:c r="J688" s="49" t="s">
        <x:v>2750</x:v>
      </x:c>
      <x:c r="K688" s="49" t="s">
        <x:v>2547</x:v>
      </x:c>
      <x:c r="L688" s="49" t="s">
        <x:v>2751</x:v>
      </x:c>
      <x:c r="M688" s="49"/>
      <x:c r="N688" s="49" t="s">
        <x:v>1888</x:v>
      </x:c>
      <x:c r="O688" s="49" t="s">
        <x:v>126</x:v>
      </x:c>
      <x:c r="P688" s="49" t="s">
        <x:v>30</x:v>
      </x:c>
      <x:c r="Q688" s="49" t="s">
        <x:v>23</x:v>
      </x:c>
      <x:c r="R688" s="49">
        <x:v>0.96</x:v>
      </x:c>
      <x:c r="S688" s="49">
        <x:f t="shared" si="42"/>
        <x:v>-1</x:v>
      </x:c>
      <x:c r="T688" s="49" t="s">
        <x:v>1890</x:v>
      </x:c>
      <x:c r="U688" s="49"/>
      <x:c r="V688" s="49"/>
      <x:c r="W688" s="49" t="str">
        <x:f t="shared" si="43"/>
      </x:c>
      <x:c r="X688" s="49"/>
      <x:c r="Y688" s="49"/>
      <x:c r="Z688" s="49"/>
      <x:c r="AA688" s="49"/>
      <x:c r="AB688" s="49"/>
      <x:c r="AC688" s="49"/>
      <x:c r="AD688" s="49"/>
      <x:c r="AE688" s="49"/>
      <x:c r="AF688" s="49"/>
      <x:c r="AG688" s="49"/>
      <x:c r="AH688" s="49"/>
      <x:c r="AI688" s="49"/>
      <x:c r="AJ688" s="49"/>
      <x:c r="AK688" s="49"/>
      <x:c r="AL688" s="49"/>
      <x:c r="AM688" s="49"/>
      <x:c r="AN688" s="49"/>
      <x:c r="AO688" s="49"/>
      <x:c r="AP688" s="49"/>
      <x:c r="AQ688" s="49"/>
      <x:c r="AR688" s="49"/>
      <x:c r="AS688" s="49"/>
      <x:c r="AT688" s="49"/>
      <x:c r="AU688" s="49"/>
      <x:c r="AV688" s="49"/>
      <x:c r="AW688" s="49"/>
      <x:c r="AX688" s="49"/>
      <x:c r="AY688" s="49"/>
    </x:row>
    <x:row r="689" ht="22" customHeight="1">
      <x:c r="A689" s="49" t="s">
        <x:v>2706</x:v>
      </x:c>
      <x:c r="B689" s="49" t="s">
        <x:v>2752</x:v>
      </x:c>
      <x:c r="C689" s="49" t="s">
        <x:v>89</x:v>
      </x:c>
      <x:c r="D689" s="49" t="s">
        <x:v>116</x:v>
      </x:c>
      <x:c r="E689" s="49" t="s">
        <x:v>376</x:v>
      </x:c>
      <x:c r="F689" s="49" t="s">
        <x:v>2753</x:v>
      </x:c>
      <x:c r="G689" s="49">
        <x:v>0.8</x:v>
      </x:c>
      <x:c r="H689" s="49">
        <x:v>0.25</x:v>
      </x:c>
      <x:c r="I689" s="49">
        <x:v>0.9</x:v>
      </x:c>
      <x:c r="J689" s="49" t="s">
        <x:v>2660</x:v>
      </x:c>
      <x:c r="K689" s="49" t="s">
        <x:v>2547</x:v>
      </x:c>
      <x:c r="L689" s="49" t="s">
        <x:v>2754</x:v>
      </x:c>
      <x:c r="M689" s="49"/>
      <x:c r="N689" s="49" t="s">
        <x:v>1888</x:v>
      </x:c>
      <x:c r="O689" s="49" t="s">
        <x:v>126</x:v>
      </x:c>
      <x:c r="P689" s="49" t="s">
        <x:v>30</x:v>
      </x:c>
      <x:c r="Q689" s="49" t="s">
        <x:v>20</x:v>
      </x:c>
      <x:c r="R689" s="49">
        <x:v>0.8</x:v>
      </x:c>
      <x:c r="S689" s="49">
        <x:f t="shared" si="42"/>
        <x:v>-0.5</x:v>
      </x:c>
      <x:c r="T689" s="49" t="s">
        <x:v>1890</x:v>
      </x:c>
      <x:c r="U689" s="49"/>
      <x:c r="V689" s="49"/>
      <x:c r="W689" s="49" t="str">
        <x:f t="shared" si="43"/>
      </x:c>
      <x:c r="X689" s="49"/>
      <x:c r="Y689" s="49"/>
      <x:c r="Z689" s="49"/>
      <x:c r="AA689" s="49"/>
      <x:c r="AB689" s="49"/>
      <x:c r="AC689" s="49"/>
      <x:c r="AD689" s="49"/>
      <x:c r="AE689" s="49"/>
      <x:c r="AF689" s="49"/>
      <x:c r="AG689" s="49"/>
      <x:c r="AH689" s="49"/>
      <x:c r="AI689" s="49"/>
      <x:c r="AJ689" s="49"/>
      <x:c r="AK689" s="49"/>
      <x:c r="AL689" s="49"/>
      <x:c r="AM689" s="49"/>
      <x:c r="AN689" s="49"/>
      <x:c r="AO689" s="49"/>
      <x:c r="AP689" s="49"/>
      <x:c r="AQ689" s="49"/>
      <x:c r="AR689" s="49"/>
      <x:c r="AS689" s="49"/>
      <x:c r="AT689" s="49"/>
      <x:c r="AU689" s="49"/>
      <x:c r="AV689" s="49"/>
      <x:c r="AW689" s="49"/>
      <x:c r="AX689" s="49"/>
      <x:c r="AY689" s="49"/>
    </x:row>
    <x:row r="690" ht="22" customHeight="1">
      <x:c r="A690" s="49" t="s">
        <x:v>2706</x:v>
      </x:c>
      <x:c r="B690" s="49" t="s">
        <x:v>2752</x:v>
      </x:c>
      <x:c r="C690" s="49" t="s">
        <x:v>244</x:v>
      </x:c>
      <x:c r="D690" s="49" t="s">
        <x:v>116</x:v>
      </x:c>
      <x:c r="E690" s="49" t="s">
        <x:v>456</x:v>
      </x:c>
      <x:c r="F690" s="49" t="s">
        <x:v>2755</x:v>
      </x:c>
      <x:c r="G690" s="49">
        <x:v>0.84</x:v>
      </x:c>
      <x:c r="H690" s="49">
        <x:v>0.75</x:v>
      </x:c>
      <x:c r="I690" s="49">
        <x:v>0.86</x:v>
      </x:c>
      <x:c r="J690" s="49" t="s">
        <x:v>689</x:v>
      </x:c>
      <x:c r="K690" s="49" t="s">
        <x:v>2547</x:v>
      </x:c>
      <x:c r="L690" s="49" t="s">
        <x:v>465</x:v>
      </x:c>
      <x:c r="M690" s="49"/>
      <x:c r="N690" s="49" t="s">
        <x:v>1888</x:v>
      </x:c>
      <x:c r="O690" s="49" t="s">
        <x:v>126</x:v>
      </x:c>
      <x:c r="P690" s="49" t="s">
        <x:v>30</x:v>
      </x:c>
      <x:c r="Q690" s="49" t="s">
        <x:v>11</x:v>
      </x:c>
      <x:c r="R690" s="49">
        <x:v>0.86</x:v>
      </x:c>
      <x:c r="S690" s="49">
        <x:f t="shared" si="42"/>
        <x:v>0.86</x:v>
      </x:c>
      <x:c r="T690" s="49" t="s">
        <x:v>1890</x:v>
      </x:c>
      <x:c r="U690" s="49"/>
      <x:c r="V690" s="49"/>
      <x:c r="W690" s="49" t="str">
        <x:f t="shared" si="43"/>
      </x:c>
      <x:c r="X690" s="49"/>
      <x:c r="Y690" s="49"/>
      <x:c r="Z690" s="49"/>
      <x:c r="AA690" s="49"/>
      <x:c r="AB690" s="49"/>
      <x:c r="AC690" s="49"/>
      <x:c r="AD690" s="49"/>
      <x:c r="AE690" s="49"/>
      <x:c r="AF690" s="49"/>
      <x:c r="AG690" s="49"/>
      <x:c r="AH690" s="49"/>
      <x:c r="AI690" s="49"/>
      <x:c r="AJ690" s="49"/>
      <x:c r="AK690" s="49"/>
      <x:c r="AL690" s="49"/>
      <x:c r="AM690" s="49"/>
      <x:c r="AN690" s="49"/>
      <x:c r="AO690" s="49"/>
      <x:c r="AP690" s="49"/>
      <x:c r="AQ690" s="49"/>
      <x:c r="AR690" s="49"/>
      <x:c r="AS690" s="49"/>
      <x:c r="AT690" s="49"/>
      <x:c r="AU690" s="49"/>
      <x:c r="AV690" s="49"/>
      <x:c r="AW690" s="49"/>
      <x:c r="AX690" s="49"/>
      <x:c r="AY690" s="49"/>
    </x:row>
    <x:row r="691" ht="22" customHeight="1">
      <x:c r="A691" s="49" t="s">
        <x:v>2706</x:v>
      </x:c>
      <x:c r="B691" s="49" t="s">
        <x:v>2756</x:v>
      </x:c>
      <x:c r="C691" s="49" t="s">
        <x:v>89</x:v>
      </x:c>
      <x:c r="D691" s="49" t="s">
        <x:v>116</x:v>
      </x:c>
      <x:c r="E691" s="49" t="s">
        <x:v>764</x:v>
      </x:c>
      <x:c r="F691" s="49" t="s">
        <x:v>2757</x:v>
      </x:c>
      <x:c r="G691" s="49">
        <x:v>0.82</x:v>
      </x:c>
      <x:c r="H691" s="49">
        <x:v>0.25</x:v>
      </x:c>
      <x:c r="I691" s="49">
        <x:v>1</x:v>
      </x:c>
      <x:c r="J691" s="49" t="s">
        <x:v>2758</x:v>
      </x:c>
      <x:c r="K691" s="49" t="s">
        <x:v>2547</x:v>
      </x:c>
      <x:c r="L691" s="49" t="s">
        <x:v>2759</x:v>
      </x:c>
      <x:c r="M691" s="49"/>
      <x:c r="N691" s="49" t="s">
        <x:v>1888</x:v>
      </x:c>
      <x:c r="O691" s="49" t="s">
        <x:v>169</x:v>
      </x:c>
      <x:c r="P691" s="49" t="s">
        <x:v>30</x:v>
      </x:c>
      <x:c r="Q691" s="49" t="s">
        <x:v>23</x:v>
      </x:c>
      <x:c r="R691" s="49">
        <x:v>0.8</x:v>
      </x:c>
      <x:c r="S691" s="49">
        <x:f t="shared" si="42"/>
        <x:v>-1</x:v>
      </x:c>
      <x:c r="T691" s="49" t="s">
        <x:v>1890</x:v>
      </x:c>
      <x:c r="U691" s="49"/>
      <x:c r="V691" s="49"/>
      <x:c r="W691" s="49" t="str">
        <x:f t="shared" si="43"/>
      </x:c>
      <x:c r="X691" s="49"/>
      <x:c r="Y691" s="49"/>
      <x:c r="Z691" s="49"/>
      <x:c r="AA691" s="49"/>
      <x:c r="AB691" s="49"/>
      <x:c r="AC691" s="49"/>
      <x:c r="AD691" s="49"/>
      <x:c r="AE691" s="49"/>
      <x:c r="AF691" s="49"/>
      <x:c r="AG691" s="49"/>
      <x:c r="AH691" s="49"/>
      <x:c r="AI691" s="49"/>
      <x:c r="AJ691" s="49"/>
      <x:c r="AK691" s="49"/>
      <x:c r="AL691" s="49"/>
      <x:c r="AM691" s="49"/>
      <x:c r="AN691" s="49"/>
      <x:c r="AO691" s="49"/>
      <x:c r="AP691" s="49"/>
      <x:c r="AQ691" s="49"/>
      <x:c r="AR691" s="49"/>
      <x:c r="AS691" s="49"/>
      <x:c r="AT691" s="49"/>
      <x:c r="AU691" s="49"/>
      <x:c r="AV691" s="49"/>
      <x:c r="AW691" s="49"/>
      <x:c r="AX691" s="49"/>
      <x:c r="AY691" s="49"/>
    </x:row>
    <x:row r="692" ht="22" customHeight="1">
      <x:c r="A692" s="49" t="s">
        <x:v>2706</x:v>
      </x:c>
      <x:c r="B692" s="49" t="s">
        <x:v>2756</x:v>
      </x:c>
      <x:c r="C692" s="49" t="s">
        <x:v>89</x:v>
      </x:c>
      <x:c r="D692" s="49" t="s">
        <x:v>116</x:v>
      </x:c>
      <x:c r="E692" s="49" t="s">
        <x:v>764</x:v>
      </x:c>
      <x:c r="F692" s="49" t="s">
        <x:v>2760</x:v>
      </x:c>
      <x:c r="G692" s="49">
        <x:v>1.04</x:v>
      </x:c>
      <x:c r="H692" s="49">
        <x:v>0</x:v>
      </x:c>
      <x:c r="I692" s="49">
        <x:v>0.78</x:v>
      </x:c>
      <x:c r="J692" s="49" t="s">
        <x:v>2761</x:v>
      </x:c>
      <x:c r="K692" s="49" t="s">
        <x:v>2547</x:v>
      </x:c>
      <x:c r="L692" s="49" t="s">
        <x:v>2762</x:v>
      </x:c>
      <x:c r="M692" s="49"/>
      <x:c r="N692" s="49" t="s">
        <x:v>1888</x:v>
      </x:c>
      <x:c r="O692" s="49" t="s">
        <x:v>169</x:v>
      </x:c>
      <x:c r="P692" s="49" t="s">
        <x:v>30</x:v>
      </x:c>
      <x:c r="Q692" s="49" t="s">
        <x:v>11</x:v>
      </x:c>
      <x:c r="R692" s="49">
        <x:v>0.81</x:v>
      </x:c>
      <x:c r="S692" s="49">
        <x:f t="shared" si="42"/>
        <x:v>0.81</x:v>
      </x:c>
      <x:c r="T692" s="49" t="s">
        <x:v>1890</x:v>
      </x:c>
      <x:c r="U692" s="49"/>
      <x:c r="V692" s="49"/>
      <x:c r="W692" s="49" t="str">
        <x:f t="shared" si="43"/>
      </x:c>
      <x:c r="X692" s="49"/>
      <x:c r="Y692" s="49"/>
      <x:c r="Z692" s="49"/>
      <x:c r="AA692" s="49"/>
      <x:c r="AB692" s="49"/>
      <x:c r="AC692" s="49"/>
      <x:c r="AD692" s="49"/>
      <x:c r="AE692" s="49"/>
      <x:c r="AF692" s="49"/>
      <x:c r="AG692" s="49"/>
      <x:c r="AH692" s="49"/>
      <x:c r="AI692" s="49"/>
      <x:c r="AJ692" s="49"/>
      <x:c r="AK692" s="49"/>
      <x:c r="AL692" s="49"/>
      <x:c r="AM692" s="49"/>
      <x:c r="AN692" s="49"/>
      <x:c r="AO692" s="49"/>
      <x:c r="AP692" s="49"/>
      <x:c r="AQ692" s="49"/>
      <x:c r="AR692" s="49"/>
      <x:c r="AS692" s="49"/>
      <x:c r="AT692" s="49"/>
      <x:c r="AU692" s="49"/>
      <x:c r="AV692" s="49"/>
      <x:c r="AW692" s="49"/>
      <x:c r="AX692" s="49"/>
      <x:c r="AY692" s="49"/>
    </x:row>
    <x:row r="693" ht="22" customHeight="1">
      <x:c r="A693" s="49" t="s">
        <x:v>2706</x:v>
      </x:c>
      <x:c r="B693" s="49" t="s">
        <x:v>2763</x:v>
      </x:c>
      <x:c r="C693" s="49" t="s">
        <x:v>244</x:v>
      </x:c>
      <x:c r="D693" s="49" t="s">
        <x:v>116</x:v>
      </x:c>
      <x:c r="E693" s="49" t="s">
        <x:v>448</x:v>
      </x:c>
      <x:c r="F693" s="49" t="s">
        <x:v>2764</x:v>
      </x:c>
      <x:c r="G693" s="49">
        <x:v>0.88</x:v>
      </x:c>
      <x:c r="H693" s="49">
        <x:v>0.25</x:v>
      </x:c>
      <x:c r="I693" s="49">
        <x:v>0.94</x:v>
      </x:c>
      <x:c r="J693" s="49" t="s">
        <x:v>1468</x:v>
      </x:c>
      <x:c r="K693" s="49" t="s">
        <x:v>2547</x:v>
      </x:c>
      <x:c r="L693" s="49" t="s">
        <x:v>2765</x:v>
      </x:c>
      <x:c r="M693" s="49"/>
      <x:c r="N693" s="49" t="s">
        <x:v>1888</x:v>
      </x:c>
      <x:c r="O693" s="49" t="s">
        <x:v>149</x:v>
      </x:c>
      <x:c r="P693" s="49" t="s">
        <x:v>30</x:v>
      </x:c>
      <x:c r="Q693" s="49" t="s">
        <x:v>14</x:v>
      </x:c>
      <x:c r="R693" s="49">
        <x:v>0.99</x:v>
      </x:c>
      <x:c r="S693" s="49">
        <x:f t="shared" si="42"/>
        <x:v>0.495</x:v>
      </x:c>
      <x:c r="T693" s="49" t="s">
        <x:v>1890</x:v>
      </x:c>
      <x:c r="U693" s="49"/>
      <x:c r="V693" s="49"/>
      <x:c r="W693" s="49" t="str">
        <x:f t="shared" si="43"/>
      </x:c>
      <x:c r="X693" s="49"/>
      <x:c r="Y693" s="49"/>
      <x:c r="Z693" s="49"/>
      <x:c r="AA693" s="49"/>
      <x:c r="AB693" s="49"/>
      <x:c r="AC693" s="49"/>
      <x:c r="AD693" s="49"/>
      <x:c r="AE693" s="49"/>
      <x:c r="AF693" s="49"/>
      <x:c r="AG693" s="49"/>
      <x:c r="AH693" s="49"/>
      <x:c r="AI693" s="49"/>
      <x:c r="AJ693" s="49"/>
      <x:c r="AK693" s="49"/>
      <x:c r="AL693" s="49"/>
      <x:c r="AM693" s="49"/>
      <x:c r="AN693" s="49"/>
      <x:c r="AO693" s="49"/>
      <x:c r="AP693" s="49"/>
      <x:c r="AQ693" s="49"/>
      <x:c r="AR693" s="49"/>
      <x:c r="AS693" s="49"/>
      <x:c r="AT693" s="49"/>
      <x:c r="AU693" s="49"/>
      <x:c r="AV693" s="49"/>
      <x:c r="AW693" s="49"/>
      <x:c r="AX693" s="49"/>
      <x:c r="AY693" s="49"/>
    </x:row>
    <x:row r="694" ht="22" customHeight="1">
      <x:c r="A694" s="49" t="s">
        <x:v>2706</x:v>
      </x:c>
      <x:c r="B694" s="49" t="s">
        <x:v>2763</x:v>
      </x:c>
      <x:c r="C694" s="49" t="s">
        <x:v>244</x:v>
      </x:c>
      <x:c r="D694" s="49" t="s">
        <x:v>116</x:v>
      </x:c>
      <x:c r="E694" s="49" t="s">
        <x:v>448</x:v>
      </x:c>
      <x:c r="F694" s="49" t="s">
        <x:v>2766</x:v>
      </x:c>
      <x:c r="G694" s="49">
        <x:v>0.89</x:v>
      </x:c>
      <x:c r="H694" s="49">
        <x:v>0.25</x:v>
      </x:c>
      <x:c r="I694" s="49">
        <x:v>0.93</x:v>
      </x:c>
      <x:c r="J694" s="49" t="s">
        <x:v>575</x:v>
      </x:c>
      <x:c r="K694" s="49" t="s">
        <x:v>2547</x:v>
      </x:c>
      <x:c r="L694" s="49" t="s">
        <x:v>2767</x:v>
      </x:c>
      <x:c r="M694" s="49"/>
      <x:c r="N694" s="49" t="s">
        <x:v>1888</x:v>
      </x:c>
      <x:c r="O694" s="49" t="s">
        <x:v>149</x:v>
      </x:c>
      <x:c r="P694" s="49" t="s">
        <x:v>30</x:v>
      </x:c>
      <x:c r="Q694" s="49" t="s">
        <x:v>14</x:v>
      </x:c>
      <x:c r="R694" s="49">
        <x:v>1.04</x:v>
      </x:c>
      <x:c r="S694" s="49">
        <x:f t="shared" si="42"/>
        <x:v>0.52</x:v>
      </x:c>
      <x:c r="T694" s="49" t="s">
        <x:v>1890</x:v>
      </x:c>
      <x:c r="U694" s="49"/>
      <x:c r="V694" s="49"/>
      <x:c r="W694" s="49" t="str">
        <x:f t="shared" si="43"/>
      </x:c>
      <x:c r="X694" s="49"/>
      <x:c r="Y694" s="49"/>
      <x:c r="Z694" s="49"/>
      <x:c r="AA694" s="49"/>
      <x:c r="AB694" s="49"/>
      <x:c r="AC694" s="49"/>
      <x:c r="AD694" s="49"/>
      <x:c r="AE694" s="49"/>
      <x:c r="AF694" s="49"/>
      <x:c r="AG694" s="49"/>
      <x:c r="AH694" s="49"/>
      <x:c r="AI694" s="49"/>
      <x:c r="AJ694" s="49"/>
      <x:c r="AK694" s="49"/>
      <x:c r="AL694" s="49"/>
      <x:c r="AM694" s="49"/>
      <x:c r="AN694" s="49"/>
      <x:c r="AO694" s="49"/>
      <x:c r="AP694" s="49"/>
      <x:c r="AQ694" s="49"/>
      <x:c r="AR694" s="49"/>
      <x:c r="AS694" s="49"/>
      <x:c r="AT694" s="49"/>
      <x:c r="AU694" s="49"/>
      <x:c r="AV694" s="49"/>
      <x:c r="AW694" s="49"/>
      <x:c r="AX694" s="49"/>
      <x:c r="AY694" s="49"/>
    </x:row>
    <x:row r="695" ht="22" customHeight="1">
      <x:c r="A695" s="49" t="s">
        <x:v>2706</x:v>
      </x:c>
      <x:c r="B695" s="49" t="s">
        <x:v>2768</x:v>
      </x:c>
      <x:c r="C695" s="49" t="s">
        <x:v>244</x:v>
      </x:c>
      <x:c r="D695" s="49" t="s">
        <x:v>116</x:v>
      </x:c>
      <x:c r="E695" s="49" t="s">
        <x:v>448</x:v>
      </x:c>
      <x:c r="F695" s="49" t="s">
        <x:v>2769</x:v>
      </x:c>
      <x:c r="G695" s="49">
        <x:v>0.86</x:v>
      </x:c>
      <x:c r="H695" s="49">
        <x:v>-0.25</x:v>
      </x:c>
      <x:c r="I695" s="49">
        <x:v>0.96</x:v>
      </x:c>
      <x:c r="J695" s="49" t="s">
        <x:v>2770</x:v>
      </x:c>
      <x:c r="K695" s="49" t="s">
        <x:v>2547</x:v>
      </x:c>
      <x:c r="L695" s="49" t="s">
        <x:v>2771</x:v>
      </x:c>
      <x:c r="M695" s="49"/>
      <x:c r="N695" s="49" t="s">
        <x:v>1888</x:v>
      </x:c>
      <x:c r="O695" s="49" t="s">
        <x:v>149</x:v>
      </x:c>
      <x:c r="P695" s="49" t="s">
        <x:v>30</x:v>
      </x:c>
      <x:c r="Q695" s="49" t="s">
        <x:v>14</x:v>
      </x:c>
      <x:c r="R695" s="49">
        <x:v>1.02</x:v>
      </x:c>
      <x:c r="S695" s="49">
        <x:f t="shared" si="42"/>
        <x:v>0.51</x:v>
      </x:c>
      <x:c r="T695" s="49" t="s">
        <x:v>1890</x:v>
      </x:c>
      <x:c r="U695" s="49"/>
      <x:c r="V695" s="49"/>
      <x:c r="W695" s="49" t="str">
        <x:f t="shared" si="43"/>
      </x:c>
      <x:c r="X695" s="49"/>
      <x:c r="Y695" s="49"/>
      <x:c r="Z695" s="49"/>
      <x:c r="AA695" s="49"/>
      <x:c r="AB695" s="49"/>
      <x:c r="AC695" s="49"/>
      <x:c r="AD695" s="49"/>
      <x:c r="AE695" s="49"/>
      <x:c r="AF695" s="49"/>
      <x:c r="AG695" s="49"/>
      <x:c r="AH695" s="49"/>
      <x:c r="AI695" s="49"/>
      <x:c r="AJ695" s="49"/>
      <x:c r="AK695" s="49"/>
      <x:c r="AL695" s="49"/>
      <x:c r="AM695" s="49"/>
      <x:c r="AN695" s="49"/>
      <x:c r="AO695" s="49"/>
      <x:c r="AP695" s="49"/>
      <x:c r="AQ695" s="49"/>
      <x:c r="AR695" s="49"/>
      <x:c r="AS695" s="49"/>
      <x:c r="AT695" s="49"/>
      <x:c r="AU695" s="49"/>
      <x:c r="AV695" s="49"/>
      <x:c r="AW695" s="49"/>
      <x:c r="AX695" s="49"/>
      <x:c r="AY695" s="49"/>
    </x:row>
    <x:row r="696" ht="22" customHeight="1">
      <x:c r="A696" s="49" t="s">
        <x:v>2706</x:v>
      </x:c>
      <x:c r="B696" s="49" t="s">
        <x:v>2772</x:v>
      </x:c>
      <x:c r="C696" s="49" t="s">
        <x:v>447</x:v>
      </x:c>
      <x:c r="D696" s="49" t="s">
        <x:v>116</x:v>
      </x:c>
      <x:c r="E696" s="49" t="s">
        <x:v>1006</x:v>
      </x:c>
      <x:c r="F696" s="49" t="s">
        <x:v>2773</x:v>
      </x:c>
      <x:c r="G696" s="49">
        <x:v>0.88</x:v>
      </x:c>
      <x:c r="H696" s="49">
        <x:v>0.25</x:v>
      </x:c>
      <x:c r="I696" s="49">
        <x:v>1</x:v>
      </x:c>
      <x:c r="J696" s="49" t="s">
        <x:v>2774</x:v>
      </x:c>
      <x:c r="K696" s="49" t="s">
        <x:v>2547</x:v>
      </x:c>
      <x:c r="L696" s="49" t="s">
        <x:v>2622</x:v>
      </x:c>
      <x:c r="M696" s="49"/>
      <x:c r="N696" s="49" t="s">
        <x:v>1888</x:v>
      </x:c>
      <x:c r="O696" s="49" t="s">
        <x:v>141</x:v>
      </x:c>
      <x:c r="P696" s="49" t="s">
        <x:v>30</x:v>
      </x:c>
      <x:c r="Q696" s="49" t="s">
        <x:v>11</x:v>
      </x:c>
      <x:c r="R696" s="49">
        <x:v>0.98</x:v>
      </x:c>
      <x:c r="S696" s="49">
        <x:f t="shared" si="42"/>
        <x:v>0.98</x:v>
      </x:c>
      <x:c r="T696" s="49" t="s">
        <x:v>1890</x:v>
      </x:c>
      <x:c r="U696" s="49"/>
      <x:c r="V696" s="49"/>
      <x:c r="W696" s="49" t="str">
        <x:f t="shared" si="43"/>
      </x:c>
      <x:c r="X696" s="49"/>
      <x:c r="Y696" s="49"/>
      <x:c r="Z696" s="49"/>
      <x:c r="AA696" s="49"/>
      <x:c r="AB696" s="49"/>
      <x:c r="AC696" s="49"/>
      <x:c r="AD696" s="49"/>
      <x:c r="AE696" s="49"/>
      <x:c r="AF696" s="49"/>
      <x:c r="AG696" s="49"/>
      <x:c r="AH696" s="49"/>
      <x:c r="AI696" s="49"/>
      <x:c r="AJ696" s="49"/>
      <x:c r="AK696" s="49"/>
      <x:c r="AL696" s="49"/>
      <x:c r="AM696" s="49"/>
      <x:c r="AN696" s="49"/>
      <x:c r="AO696" s="49"/>
      <x:c r="AP696" s="49"/>
      <x:c r="AQ696" s="49"/>
      <x:c r="AR696" s="49"/>
      <x:c r="AS696" s="49"/>
      <x:c r="AT696" s="49"/>
      <x:c r="AU696" s="49"/>
      <x:c r="AV696" s="49"/>
      <x:c r="AW696" s="49"/>
      <x:c r="AX696" s="49"/>
      <x:c r="AY696" s="49"/>
    </x:row>
    <x:row r="697" ht="22" customHeight="1">
      <x:c r="A697" s="49" t="s">
        <x:v>2775</x:v>
      </x:c>
      <x:c r="B697" s="49" t="s">
        <x:v>2776</x:v>
      </x:c>
      <x:c r="C697" s="49" t="s">
        <x:v>239</x:v>
      </x:c>
      <x:c r="D697" s="49" t="s">
        <x:v>90</x:v>
      </x:c>
      <x:c r="E697" s="49" t="s">
        <x:v>1754</x:v>
      </x:c>
      <x:c r="F697" s="49" t="s">
        <x:v>2777</x:v>
      </x:c>
      <x:c r="G697" s="49">
        <x:v>0.86</x:v>
      </x:c>
      <x:c r="H697" s="49">
        <x:v>-0.5</x:v>
      </x:c>
      <x:c r="I697" s="49">
        <x:v>0.84</x:v>
      </x:c>
      <x:c r="J697" s="49" t="s">
        <x:v>2778</x:v>
      </x:c>
      <x:c r="K697" s="49" t="s">
        <x:v>2547</x:v>
      </x:c>
      <x:c r="L697" s="49" t="s">
        <x:v>2779</x:v>
      </x:c>
      <x:c r="M697" s="49"/>
      <x:c r="N697" s="49" t="s">
        <x:v>1888</x:v>
      </x:c>
      <x:c r="O697" s="49" t="s">
        <x:v>126</x:v>
      </x:c>
      <x:c r="P697" s="49" t="s">
        <x:v>30</x:v>
      </x:c>
      <x:c r="Q697" s="49" t="s">
        <x:v>23</x:v>
      </x:c>
      <x:c r="R697" s="49">
        <x:v>0.84</x:v>
      </x:c>
      <x:c r="S697" s="49">
        <x:f t="shared" si="42"/>
        <x:v>-1</x:v>
      </x:c>
      <x:c r="T697" s="49" t="s">
        <x:v>1890</x:v>
      </x:c>
      <x:c r="U697" s="49"/>
      <x:c r="V697" s="49"/>
      <x:c r="W697" s="49" t="str">
        <x:f t="shared" si="43"/>
      </x:c>
      <x:c r="X697" s="49"/>
      <x:c r="Y697" s="49"/>
      <x:c r="Z697" s="49"/>
      <x:c r="AA697" s="49"/>
      <x:c r="AB697" s="49"/>
      <x:c r="AC697" s="49"/>
      <x:c r="AD697" s="49"/>
      <x:c r="AE697" s="49"/>
      <x:c r="AF697" s="49"/>
      <x:c r="AG697" s="49"/>
      <x:c r="AH697" s="49"/>
      <x:c r="AI697" s="49"/>
      <x:c r="AJ697" s="49"/>
      <x:c r="AK697" s="49"/>
      <x:c r="AL697" s="49"/>
      <x:c r="AM697" s="49"/>
      <x:c r="AN697" s="49"/>
      <x:c r="AO697" s="49"/>
      <x:c r="AP697" s="49"/>
      <x:c r="AQ697" s="49"/>
      <x:c r="AR697" s="49"/>
      <x:c r="AS697" s="49"/>
      <x:c r="AT697" s="49"/>
      <x:c r="AU697" s="49"/>
      <x:c r="AV697" s="49"/>
      <x:c r="AW697" s="49"/>
      <x:c r="AX697" s="49"/>
      <x:c r="AY697" s="49"/>
    </x:row>
    <x:row r="698" ht="22" customHeight="1">
      <x:c r="A698" s="49" t="s">
        <x:v>2775</x:v>
      </x:c>
      <x:c r="B698" s="49" t="s">
        <x:v>2780</x:v>
      </x:c>
      <x:c r="C698" s="49" t="s">
        <x:v>239</x:v>
      </x:c>
      <x:c r="D698" s="49" t="s">
        <x:v>90</x:v>
      </x:c>
      <x:c r="E698" s="49" t="s">
        <x:v>1754</x:v>
      </x:c>
      <x:c r="F698" s="49" t="s">
        <x:v>2781</x:v>
      </x:c>
      <x:c r="G698" s="49">
        <x:v>0.83</x:v>
      </x:c>
      <x:c r="H698" s="49">
        <x:v>0.25</x:v>
      </x:c>
      <x:c r="I698" s="49">
        <x:v>0.87</x:v>
      </x:c>
      <x:c r="J698" s="49" t="s">
        <x:v>2720</x:v>
      </x:c>
      <x:c r="K698" s="49" t="s">
        <x:v>2547</x:v>
      </x:c>
      <x:c r="L698" s="49" t="s">
        <x:v>2782</x:v>
      </x:c>
      <x:c r="M698" s="49"/>
      <x:c r="N698" s="49" t="s">
        <x:v>1888</x:v>
      </x:c>
      <x:c r="O698" s="49" t="s">
        <x:v>126</x:v>
      </x:c>
      <x:c r="P698" s="49" t="s">
        <x:v>30</x:v>
      </x:c>
      <x:c r="Q698" s="49" t="s">
        <x:v>20</x:v>
      </x:c>
      <x:c r="R698" s="49">
        <x:v>0.83</x:v>
      </x:c>
      <x:c r="S698" s="49">
        <x:f t="shared" si="42"/>
        <x:v>-0.5</x:v>
      </x:c>
      <x:c r="T698" s="49" t="s">
        <x:v>1890</x:v>
      </x:c>
      <x:c r="U698" s="49"/>
      <x:c r="V698" s="49"/>
      <x:c r="W698" s="49" t="str">
        <x:f t="shared" si="43"/>
      </x:c>
      <x:c r="X698" s="49"/>
      <x:c r="Y698" s="49"/>
      <x:c r="Z698" s="49"/>
      <x:c r="AA698" s="49"/>
      <x:c r="AB698" s="49"/>
      <x:c r="AC698" s="49"/>
      <x:c r="AD698" s="49"/>
      <x:c r="AE698" s="49"/>
      <x:c r="AF698" s="49"/>
      <x:c r="AG698" s="49"/>
      <x:c r="AH698" s="49"/>
      <x:c r="AI698" s="49"/>
      <x:c r="AJ698" s="49"/>
      <x:c r="AK698" s="49"/>
      <x:c r="AL698" s="49"/>
      <x:c r="AM698" s="49"/>
      <x:c r="AN698" s="49"/>
      <x:c r="AO698" s="49"/>
      <x:c r="AP698" s="49"/>
      <x:c r="AQ698" s="49"/>
      <x:c r="AR698" s="49"/>
      <x:c r="AS698" s="49"/>
      <x:c r="AT698" s="49"/>
      <x:c r="AU698" s="49"/>
      <x:c r="AV698" s="49"/>
      <x:c r="AW698" s="49"/>
      <x:c r="AX698" s="49"/>
      <x:c r="AY698" s="49"/>
    </x:row>
    <x:row r="699" ht="22" customHeight="1">
      <x:c r="A699" s="49" t="s">
        <x:v>2775</x:v>
      </x:c>
      <x:c r="B699" s="49" t="s">
        <x:v>2783</x:v>
      </x:c>
      <x:c r="C699" s="49" t="s">
        <x:v>244</x:v>
      </x:c>
      <x:c r="D699" s="49" t="s">
        <x:v>90</x:v>
      </x:c>
      <x:c r="E699" s="49" t="s">
        <x:v>2650</x:v>
      </x:c>
      <x:c r="F699" s="49" t="s">
        <x:v>2784</x:v>
      </x:c>
      <x:c r="G699" s="49">
        <x:v>0.8</x:v>
      </x:c>
      <x:c r="H699" s="49">
        <x:v>1.5</x:v>
      </x:c>
      <x:c r="I699" s="49">
        <x:v>0.9</x:v>
      </x:c>
      <x:c r="J699" s="49" t="s">
        <x:v>2785</x:v>
      </x:c>
      <x:c r="K699" s="49" t="s">
        <x:v>2547</x:v>
      </x:c>
      <x:c r="L699" s="49" t="s">
        <x:v>2786</x:v>
      </x:c>
      <x:c r="M699" s="49"/>
      <x:c r="N699" s="49" t="s">
        <x:v>1888</x:v>
      </x:c>
      <x:c r="O699" s="49" t="s">
        <x:v>108</x:v>
      </x:c>
      <x:c r="P699" s="49" t="s">
        <x:v>30</x:v>
      </x:c>
      <x:c r="Q699" s="49" t="s">
        <x:v>11</x:v>
      </x:c>
      <x:c r="R699" s="49">
        <x:v>0.8</x:v>
      </x:c>
      <x:c r="S699" s="49">
        <x:f t="shared" si="42"/>
        <x:v>0.8</x:v>
      </x:c>
      <x:c r="T699" s="49" t="s">
        <x:v>1890</x:v>
      </x:c>
      <x:c r="U699" s="49"/>
      <x:c r="V699" s="49"/>
      <x:c r="W699" s="49" t="str">
        <x:f t="shared" si="43"/>
      </x:c>
      <x:c r="X699" s="49"/>
      <x:c r="Y699" s="49"/>
      <x:c r="Z699" s="49"/>
      <x:c r="AA699" s="49"/>
      <x:c r="AB699" s="49"/>
      <x:c r="AC699" s="49"/>
      <x:c r="AD699" s="49"/>
      <x:c r="AE699" s="49"/>
      <x:c r="AF699" s="49"/>
      <x:c r="AG699" s="49"/>
      <x:c r="AH699" s="49"/>
      <x:c r="AI699" s="49"/>
      <x:c r="AJ699" s="49"/>
      <x:c r="AK699" s="49"/>
      <x:c r="AL699" s="49"/>
      <x:c r="AM699" s="49"/>
      <x:c r="AN699" s="49"/>
      <x:c r="AO699" s="49"/>
      <x:c r="AP699" s="49"/>
      <x:c r="AQ699" s="49"/>
      <x:c r="AR699" s="49"/>
      <x:c r="AS699" s="49"/>
      <x:c r="AT699" s="49"/>
      <x:c r="AU699" s="49"/>
      <x:c r="AV699" s="49"/>
      <x:c r="AW699" s="49"/>
      <x:c r="AX699" s="49"/>
      <x:c r="AY699" s="49"/>
    </x:row>
    <x:row r="700" ht="22" customHeight="1">
      <x:c r="A700" s="49" t="s">
        <x:v>2775</x:v>
      </x:c>
      <x:c r="B700" s="49" t="s">
        <x:v>2783</x:v>
      </x:c>
      <x:c r="C700" s="49" t="s">
        <x:v>244</x:v>
      </x:c>
      <x:c r="D700" s="49" t="s">
        <x:v>90</x:v>
      </x:c>
      <x:c r="E700" s="49" t="s">
        <x:v>2083</x:v>
      </x:c>
      <x:c r="F700" s="49" t="s">
        <x:v>2787</x:v>
      </x:c>
      <x:c r="G700" s="49">
        <x:v>0.81</x:v>
      </x:c>
      <x:c r="H700" s="49">
        <x:v>0.25</x:v>
      </x:c>
      <x:c r="I700" s="49">
        <x:v>1.01</x:v>
      </x:c>
      <x:c r="J700" s="49" t="s">
        <x:v>766</x:v>
      </x:c>
      <x:c r="K700" s="49" t="s">
        <x:v>2547</x:v>
      </x:c>
      <x:c r="L700" s="49" t="s">
        <x:v>2788</x:v>
      </x:c>
      <x:c r="M700" s="49"/>
      <x:c r="N700" s="49" t="s">
        <x:v>1888</x:v>
      </x:c>
      <x:c r="O700" s="49" t="s">
        <x:v>161</x:v>
      </x:c>
      <x:c r="P700" s="49" t="s">
        <x:v>30</x:v>
      </x:c>
      <x:c r="Q700" s="49" t="s">
        <x:v>11</x:v>
      </x:c>
      <x:c r="R700" s="49">
        <x:v>0.81</x:v>
      </x:c>
      <x:c r="S700" s="49">
        <x:f t="shared" si="42"/>
        <x:v>0.81</x:v>
      </x:c>
      <x:c r="T700" s="49" t="s">
        <x:v>1890</x:v>
      </x:c>
      <x:c r="U700" s="49"/>
      <x:c r="V700" s="49"/>
      <x:c r="W700" s="49" t="str">
        <x:f t="shared" si="43"/>
      </x:c>
      <x:c r="X700" s="49"/>
      <x:c r="Y700" s="49"/>
      <x:c r="Z700" s="49"/>
      <x:c r="AA700" s="49"/>
      <x:c r="AB700" s="49"/>
      <x:c r="AC700" s="49"/>
      <x:c r="AD700" s="49"/>
      <x:c r="AE700" s="49"/>
      <x:c r="AF700" s="49"/>
      <x:c r="AG700" s="49"/>
      <x:c r="AH700" s="49"/>
      <x:c r="AI700" s="49"/>
      <x:c r="AJ700" s="49"/>
      <x:c r="AK700" s="49"/>
      <x:c r="AL700" s="49"/>
      <x:c r="AM700" s="49"/>
      <x:c r="AN700" s="49"/>
      <x:c r="AO700" s="49"/>
      <x:c r="AP700" s="49"/>
      <x:c r="AQ700" s="49"/>
      <x:c r="AR700" s="49"/>
      <x:c r="AS700" s="49"/>
      <x:c r="AT700" s="49"/>
      <x:c r="AU700" s="49"/>
      <x:c r="AV700" s="49"/>
      <x:c r="AW700" s="49"/>
      <x:c r="AX700" s="49"/>
      <x:c r="AY700" s="49"/>
    </x:row>
    <x:row r="701" ht="22" customHeight="1">
      <x:c r="A701" s="49" t="s">
        <x:v>2775</x:v>
      </x:c>
      <x:c r="B701" s="49" t="s">
        <x:v>2789</x:v>
      </x:c>
      <x:c r="C701" s="49" t="s">
        <x:v>244</x:v>
      </x:c>
      <x:c r="D701" s="49" t="s">
        <x:v>116</x:v>
      </x:c>
      <x:c r="E701" s="49" t="s">
        <x:v>2790</x:v>
      </x:c>
      <x:c r="F701" s="49" t="s">
        <x:v>2791</x:v>
      </x:c>
      <x:c r="G701" s="49">
        <x:v>0.75</x:v>
      </x:c>
      <x:c r="H701" s="49">
        <x:v>0</x:v>
      </x:c>
      <x:c r="I701" s="49">
        <x:v>0.95</x:v>
      </x:c>
      <x:c r="J701" s="49" t="s">
        <x:v>2580</x:v>
      </x:c>
      <x:c r="K701" s="49" t="s">
        <x:v>2547</x:v>
      </x:c>
      <x:c r="L701" s="49" t="s">
        <x:v>2792</x:v>
      </x:c>
      <x:c r="M701" s="49"/>
      <x:c r="N701" s="49" t="s">
        <x:v>1888</x:v>
      </x:c>
      <x:c r="O701" s="49" t="s">
        <x:v>161</x:v>
      </x:c>
      <x:c r="P701" s="49" t="s">
        <x:v>30</x:v>
      </x:c>
      <x:c r="Q701" s="49" t="s">
        <x:v>11</x:v>
      </x:c>
      <x:c r="R701" s="49">
        <x:v>0.83</x:v>
      </x:c>
      <x:c r="S701" s="49">
        <x:f t="shared" si="42"/>
        <x:v>0.83</x:v>
      </x:c>
      <x:c r="T701" s="49" t="s">
        <x:v>1890</x:v>
      </x:c>
      <x:c r="U701" s="49"/>
      <x:c r="V701" s="49"/>
      <x:c r="W701" s="49" t="str">
        <x:f t="shared" si="43"/>
      </x:c>
      <x:c r="X701" s="49"/>
      <x:c r="Y701" s="49"/>
      <x:c r="Z701" s="49"/>
      <x:c r="AA701" s="49"/>
      <x:c r="AB701" s="49"/>
      <x:c r="AC701" s="49"/>
      <x:c r="AD701" s="49"/>
      <x:c r="AE701" s="49"/>
      <x:c r="AF701" s="49"/>
      <x:c r="AG701" s="49"/>
      <x:c r="AH701" s="49"/>
      <x:c r="AI701" s="49"/>
      <x:c r="AJ701" s="49"/>
      <x:c r="AK701" s="49"/>
      <x:c r="AL701" s="49"/>
      <x:c r="AM701" s="49"/>
      <x:c r="AN701" s="49"/>
      <x:c r="AO701" s="49"/>
      <x:c r="AP701" s="49"/>
      <x:c r="AQ701" s="49"/>
      <x:c r="AR701" s="49"/>
      <x:c r="AS701" s="49"/>
      <x:c r="AT701" s="49"/>
      <x:c r="AU701" s="49"/>
      <x:c r="AV701" s="49"/>
      <x:c r="AW701" s="49"/>
      <x:c r="AX701" s="49"/>
      <x:c r="AY701" s="49"/>
    </x:row>
    <x:row r="702" ht="22" customHeight="1">
      <x:c r="A702" s="49" t="s">
        <x:v>2775</x:v>
      </x:c>
      <x:c r="B702" s="49" t="s">
        <x:v>2793</x:v>
      </x:c>
      <x:c r="C702" s="49" t="s">
        <x:v>333</x:v>
      </x:c>
      <x:c r="D702" s="49" t="s">
        <x:v>116</x:v>
      </x:c>
      <x:c r="E702" s="49" t="s">
        <x:v>953</x:v>
      </x:c>
      <x:c r="F702" s="49" t="s">
        <x:v>2794</x:v>
      </x:c>
      <x:c r="G702" s="49">
        <x:v>0.99</x:v>
      </x:c>
      <x:c r="H702" s="49">
        <x:v>0.25</x:v>
      </x:c>
      <x:c r="I702" s="49">
        <x:v>0.71</x:v>
      </x:c>
      <x:c r="J702" s="49" t="s">
        <x:v>2795</x:v>
      </x:c>
      <x:c r="K702" s="49" t="s">
        <x:v>2547</x:v>
      </x:c>
      <x:c r="L702" s="49" t="s">
        <x:v>2796</x:v>
      </x:c>
      <x:c r="M702" s="49"/>
      <x:c r="N702" s="49" t="s">
        <x:v>1888</x:v>
      </x:c>
      <x:c r="O702" s="49" t="s">
        <x:v>149</x:v>
      </x:c>
      <x:c r="P702" s="49" t="s">
        <x:v>30</x:v>
      </x:c>
      <x:c r="Q702" s="49" t="s">
        <x:v>20</x:v>
      </x:c>
      <x:c r="R702" s="49">
        <x:v>1.06</x:v>
      </x:c>
      <x:c r="S702" s="49">
        <x:f t="shared" si="42"/>
        <x:v>-0.5</x:v>
      </x:c>
      <x:c r="T702" s="49" t="s">
        <x:v>1890</x:v>
      </x:c>
      <x:c r="U702" s="49"/>
      <x:c r="V702" s="49"/>
      <x:c r="W702" s="49" t="str">
        <x:f t="shared" si="43"/>
      </x:c>
      <x:c r="X702" s="49"/>
      <x:c r="Y702" s="49"/>
      <x:c r="Z702" s="49"/>
      <x:c r="AA702" s="49"/>
      <x:c r="AB702" s="49"/>
      <x:c r="AC702" s="49"/>
      <x:c r="AD702" s="49"/>
      <x:c r="AE702" s="49"/>
      <x:c r="AF702" s="49"/>
      <x:c r="AG702" s="49"/>
      <x:c r="AH702" s="49"/>
      <x:c r="AI702" s="49"/>
      <x:c r="AJ702" s="49"/>
      <x:c r="AK702" s="49"/>
      <x:c r="AL702" s="49"/>
      <x:c r="AM702" s="49"/>
      <x:c r="AN702" s="49"/>
      <x:c r="AO702" s="49"/>
      <x:c r="AP702" s="49"/>
      <x:c r="AQ702" s="49"/>
      <x:c r="AR702" s="49"/>
      <x:c r="AS702" s="49"/>
      <x:c r="AT702" s="49"/>
      <x:c r="AU702" s="49"/>
      <x:c r="AV702" s="49"/>
      <x:c r="AW702" s="49"/>
      <x:c r="AX702" s="49"/>
      <x:c r="AY702" s="49"/>
    </x:row>
    <x:row r="703" ht="22" customHeight="1">
      <x:c r="A703" s="49" t="s">
        <x:v>2775</x:v>
      </x:c>
      <x:c r="B703" s="49" t="s">
        <x:v>2793</x:v>
      </x:c>
      <x:c r="C703" s="49" t="s">
        <x:v>333</x:v>
      </x:c>
      <x:c r="D703" s="49" t="s">
        <x:v>116</x:v>
      </x:c>
      <x:c r="E703" s="49" t="s">
        <x:v>953</x:v>
      </x:c>
      <x:c r="F703" s="49" t="s">
        <x:v>2797</x:v>
      </x:c>
      <x:c r="G703" s="49">
        <x:v>0.78</x:v>
      </x:c>
      <x:c r="H703" s="49">
        <x:v>0.5</x:v>
      </x:c>
      <x:c r="I703" s="49">
        <x:v>0.92</x:v>
      </x:c>
      <x:c r="J703" s="49" t="s">
        <x:v>2798</x:v>
      </x:c>
      <x:c r="K703" s="49" t="s">
        <x:v>2547</x:v>
      </x:c>
      <x:c r="L703" s="49" t="s">
        <x:v>2799</x:v>
      </x:c>
      <x:c r="M703" s="49"/>
      <x:c r="N703" s="49" t="s">
        <x:v>1888</x:v>
      </x:c>
      <x:c r="O703" s="49" t="s">
        <x:v>134</x:v>
      </x:c>
      <x:c r="P703" s="49" t="s">
        <x:v>30</x:v>
      </x:c>
      <x:c r="Q703" s="49" t="s">
        <x:v>23</x:v>
      </x:c>
      <x:c r="R703" s="49">
        <x:v>0.78</x:v>
      </x:c>
      <x:c r="S703" s="49">
        <x:f t="shared" si="42"/>
        <x:v>-1</x:v>
      </x:c>
      <x:c r="T703" s="49" t="s">
        <x:v>1890</x:v>
      </x:c>
      <x:c r="U703" s="49"/>
      <x:c r="V703" s="49"/>
      <x:c r="W703" s="49" t="str">
        <x:f t="shared" si="43"/>
      </x:c>
      <x:c r="X703" s="49"/>
      <x:c r="Y703" s="49"/>
      <x:c r="Z703" s="49"/>
      <x:c r="AA703" s="49"/>
      <x:c r="AB703" s="49"/>
      <x:c r="AC703" s="49"/>
      <x:c r="AD703" s="49"/>
      <x:c r="AE703" s="49"/>
      <x:c r="AF703" s="49"/>
      <x:c r="AG703" s="49"/>
      <x:c r="AH703" s="49"/>
      <x:c r="AI703" s="49"/>
      <x:c r="AJ703" s="49"/>
      <x:c r="AK703" s="49"/>
      <x:c r="AL703" s="49"/>
      <x:c r="AM703" s="49"/>
      <x:c r="AN703" s="49"/>
      <x:c r="AO703" s="49"/>
      <x:c r="AP703" s="49"/>
      <x:c r="AQ703" s="49"/>
      <x:c r="AR703" s="49"/>
      <x:c r="AS703" s="49"/>
      <x:c r="AT703" s="49"/>
      <x:c r="AU703" s="49"/>
      <x:c r="AV703" s="49"/>
      <x:c r="AW703" s="49"/>
      <x:c r="AX703" s="49"/>
      <x:c r="AY703" s="49"/>
    </x:row>
    <x:row r="704" ht="22" customHeight="1">
      <x:c r="A704" s="49" t="s">
        <x:v>2775</x:v>
      </x:c>
      <x:c r="B704" s="49" t="s">
        <x:v>2800</x:v>
      </x:c>
      <x:c r="C704" s="49" t="s">
        <x:v>244</x:v>
      </x:c>
      <x:c r="D704" s="49" t="s">
        <x:v>116</x:v>
      </x:c>
      <x:c r="E704" s="49" t="s">
        <x:v>498</x:v>
      </x:c>
      <x:c r="F704" s="49" t="s">
        <x:v>2801</x:v>
      </x:c>
      <x:c r="G704" s="49">
        <x:v>0.77</x:v>
      </x:c>
      <x:c r="H704" s="49">
        <x:v>1.25</x:v>
      </x:c>
      <x:c r="I704" s="49">
        <x:v>0.93</x:v>
      </x:c>
      <x:c r="J704" s="49" t="s">
        <x:v>2802</x:v>
      </x:c>
      <x:c r="K704" s="49" t="s">
        <x:v>2547</x:v>
      </x:c>
      <x:c r="L704" s="49" t="s">
        <x:v>2803</x:v>
      </x:c>
      <x:c r="M704" s="49"/>
      <x:c r="N704" s="49" t="s">
        <x:v>1888</x:v>
      </x:c>
      <x:c r="O704" s="49" t="s">
        <x:v>161</x:v>
      </x:c>
      <x:c r="P704" s="49" t="s">
        <x:v>30</x:v>
      </x:c>
      <x:c r="Q704" s="49" t="s">
        <x:v>11</x:v>
      </x:c>
      <x:c r="R704" s="49">
        <x:v>0.81</x:v>
      </x:c>
      <x:c r="S704" s="49">
        <x:f t="shared" si="42"/>
        <x:v>0.81</x:v>
      </x:c>
      <x:c r="T704" s="49" t="s">
        <x:v>1890</x:v>
      </x:c>
      <x:c r="U704" s="49"/>
      <x:c r="V704" s="49"/>
      <x:c r="W704" s="49" t="str">
        <x:f t="shared" si="43"/>
      </x:c>
      <x:c r="X704" s="49"/>
      <x:c r="Y704" s="49"/>
      <x:c r="Z704" s="49"/>
      <x:c r="AA704" s="49"/>
      <x:c r="AB704" s="49"/>
      <x:c r="AC704" s="49"/>
      <x:c r="AD704" s="49"/>
      <x:c r="AE704" s="49"/>
      <x:c r="AF704" s="49"/>
      <x:c r="AG704" s="49"/>
      <x:c r="AH704" s="49"/>
      <x:c r="AI704" s="49"/>
      <x:c r="AJ704" s="49"/>
      <x:c r="AK704" s="49"/>
      <x:c r="AL704" s="49"/>
      <x:c r="AM704" s="49"/>
      <x:c r="AN704" s="49"/>
      <x:c r="AO704" s="49"/>
      <x:c r="AP704" s="49"/>
      <x:c r="AQ704" s="49"/>
      <x:c r="AR704" s="49"/>
      <x:c r="AS704" s="49"/>
      <x:c r="AT704" s="49"/>
      <x:c r="AU704" s="49"/>
      <x:c r="AV704" s="49"/>
      <x:c r="AW704" s="49"/>
      <x:c r="AX704" s="49"/>
      <x:c r="AY704" s="49"/>
    </x:row>
    <x:row r="705" ht="22" customHeight="1">
      <x:c r="A705" s="49" t="s">
        <x:v>2775</x:v>
      </x:c>
      <x:c r="B705" s="49" t="s">
        <x:v>2804</x:v>
      </x:c>
      <x:c r="C705" s="49" t="s">
        <x:v>244</x:v>
      </x:c>
      <x:c r="D705" s="49" t="s">
        <x:v>116</x:v>
      </x:c>
      <x:c r="E705" s="49" t="s">
        <x:v>2790</x:v>
      </x:c>
      <x:c r="F705" s="49" t="s">
        <x:v>2805</x:v>
      </x:c>
      <x:c r="G705" s="49">
        <x:v>0.89</x:v>
      </x:c>
      <x:c r="H705" s="49">
        <x:v>0</x:v>
      </x:c>
      <x:c r="I705" s="49">
        <x:v>0.81</x:v>
      </x:c>
      <x:c r="J705" s="49" t="s">
        <x:v>2806</x:v>
      </x:c>
      <x:c r="K705" s="49" t="s">
        <x:v>2547</x:v>
      </x:c>
      <x:c r="L705" s="49" t="s">
        <x:v>2807</x:v>
      </x:c>
      <x:c r="M705" s="49"/>
      <x:c r="N705" s="49" t="s">
        <x:v>1888</x:v>
      </x:c>
      <x:c r="O705" s="49" t="s">
        <x:v>149</x:v>
      </x:c>
      <x:c r="P705" s="49" t="s">
        <x:v>30</x:v>
      </x:c>
      <x:c r="Q705" s="49" t="s">
        <x:v>17</x:v>
      </x:c>
      <x:c r="R705" s="49">
        <x:v>0.81</x:v>
      </x:c>
      <x:c r="S705" s="49">
        <x:f t="shared" si="42"/>
        <x:v>0</x:v>
      </x:c>
      <x:c r="T705" s="49" t="s">
        <x:v>1890</x:v>
      </x:c>
      <x:c r="U705" s="49"/>
      <x:c r="V705" s="49"/>
      <x:c r="W705" s="49" t="str">
        <x:f t="shared" si="43"/>
      </x:c>
      <x:c r="X705" s="49"/>
      <x:c r="Y705" s="49"/>
      <x:c r="Z705" s="49"/>
      <x:c r="AA705" s="49"/>
      <x:c r="AB705" s="49"/>
      <x:c r="AC705" s="49"/>
      <x:c r="AD705" s="49"/>
      <x:c r="AE705" s="49"/>
      <x:c r="AF705" s="49"/>
      <x:c r="AG705" s="49"/>
      <x:c r="AH705" s="49"/>
      <x:c r="AI705" s="49"/>
      <x:c r="AJ705" s="49"/>
      <x:c r="AK705" s="49"/>
      <x:c r="AL705" s="49"/>
      <x:c r="AM705" s="49"/>
      <x:c r="AN705" s="49"/>
      <x:c r="AO705" s="49"/>
      <x:c r="AP705" s="49"/>
      <x:c r="AQ705" s="49"/>
      <x:c r="AR705" s="49"/>
      <x:c r="AS705" s="49"/>
      <x:c r="AT705" s="49"/>
      <x:c r="AU705" s="49"/>
      <x:c r="AV705" s="49"/>
      <x:c r="AW705" s="49"/>
      <x:c r="AX705" s="49"/>
      <x:c r="AY705" s="49"/>
    </x:row>
    <x:row r="706" ht="22" customHeight="1">
      <x:c r="A706" s="49" t="s">
        <x:v>2775</x:v>
      </x:c>
      <x:c r="B706" s="49" t="s">
        <x:v>2804</x:v>
      </x:c>
      <x:c r="C706" s="49" t="s">
        <x:v>89</x:v>
      </x:c>
      <x:c r="D706" s="49" t="s">
        <x:v>116</x:v>
      </x:c>
      <x:c r="E706" s="49" t="s">
        <x:v>927</x:v>
      </x:c>
      <x:c r="F706" s="49" t="s">
        <x:v>2808</x:v>
      </x:c>
      <x:c r="G706" s="49">
        <x:v>0.8</x:v>
      </x:c>
      <x:c r="H706" s="49">
        <x:v>1.25</x:v>
      </x:c>
      <x:c r="I706" s="49">
        <x:v>0.96</x:v>
      </x:c>
      <x:c r="J706" s="49" t="s">
        <x:v>2809</x:v>
      </x:c>
      <x:c r="K706" s="49" t="s">
        <x:v>2547</x:v>
      </x:c>
      <x:c r="L706" s="49" t="s">
        <x:v>1982</x:v>
      </x:c>
      <x:c r="M706" s="49"/>
      <x:c r="N706" s="49" t="s">
        <x:v>1888</x:v>
      </x:c>
      <x:c r="O706" s="49" t="s">
        <x:v>161</x:v>
      </x:c>
      <x:c r="P706" s="49" t="s">
        <x:v>30</x:v>
      </x:c>
      <x:c r="Q706" s="49" t="s">
        <x:v>11</x:v>
      </x:c>
      <x:c r="R706" s="49">
        <x:v>0.83</x:v>
      </x:c>
      <x:c r="S706" s="49">
        <x:f t="shared" si="42"/>
        <x:v>0.83</x:v>
      </x:c>
      <x:c r="T706" s="49" t="s">
        <x:v>1890</x:v>
      </x:c>
      <x:c r="U706" s="49"/>
      <x:c r="V706" s="49"/>
      <x:c r="W706" s="49" t="str">
        <x:f t="shared" si="43"/>
      </x:c>
      <x:c r="X706" s="49"/>
      <x:c r="Y706" s="49"/>
      <x:c r="Z706" s="49"/>
      <x:c r="AA706" s="49"/>
      <x:c r="AB706" s="49"/>
      <x:c r="AC706" s="49"/>
      <x:c r="AD706" s="49"/>
      <x:c r="AE706" s="49"/>
      <x:c r="AF706" s="49"/>
      <x:c r="AG706" s="49"/>
      <x:c r="AH706" s="49"/>
      <x:c r="AI706" s="49"/>
      <x:c r="AJ706" s="49"/>
      <x:c r="AK706" s="49"/>
      <x:c r="AL706" s="49"/>
      <x:c r="AM706" s="49"/>
      <x:c r="AN706" s="49"/>
      <x:c r="AO706" s="49"/>
      <x:c r="AP706" s="49"/>
      <x:c r="AQ706" s="49"/>
      <x:c r="AR706" s="49"/>
      <x:c r="AS706" s="49"/>
      <x:c r="AT706" s="49"/>
      <x:c r="AU706" s="49"/>
      <x:c r="AV706" s="49"/>
      <x:c r="AW706" s="49"/>
      <x:c r="AX706" s="49"/>
      <x:c r="AY706" s="49"/>
    </x:row>
    <x:row r="707" ht="22" customHeight="1">
      <x:c r="A707" s="49" t="s">
        <x:v>2775</x:v>
      </x:c>
      <x:c r="B707" s="49" t="s">
        <x:v>2804</x:v>
      </x:c>
      <x:c r="C707" s="49" t="s">
        <x:v>89</x:v>
      </x:c>
      <x:c r="D707" s="49" t="s">
        <x:v>116</x:v>
      </x:c>
      <x:c r="E707" s="49" t="s">
        <x:v>687</x:v>
      </x:c>
      <x:c r="F707" s="49" t="s">
        <x:v>2810</x:v>
      </x:c>
      <x:c r="G707" s="49">
        <x:v>0.88</x:v>
      </x:c>
      <x:c r="H707" s="49">
        <x:v>-1.75</x:v>
      </x:c>
      <x:c r="I707" s="49">
        <x:v>0.82</x:v>
      </x:c>
      <x:c r="J707" s="49" t="s">
        <x:v>2811</x:v>
      </x:c>
      <x:c r="K707" s="49" t="s">
        <x:v>2547</x:v>
      </x:c>
      <x:c r="L707" s="49" t="s">
        <x:v>2812</x:v>
      </x:c>
      <x:c r="M707" s="49"/>
      <x:c r="N707" s="49" t="s">
        <x:v>1888</x:v>
      </x:c>
      <x:c r="O707" s="49" t="s">
        <x:v>114</x:v>
      </x:c>
      <x:c r="P707" s="49" t="s">
        <x:v>30</x:v>
      </x:c>
      <x:c r="Q707" s="49" t="s">
        <x:v>14</x:v>
      </x:c>
      <x:c r="R707" s="49">
        <x:v>0.82</x:v>
      </x:c>
      <x:c r="S707" s="49">
        <x:f t="shared" si="42"/>
        <x:v>0.41</x:v>
      </x:c>
      <x:c r="T707" s="49" t="s">
        <x:v>1890</x:v>
      </x:c>
      <x:c r="U707" s="49"/>
      <x:c r="V707" s="49"/>
      <x:c r="W707" s="49" t="str">
        <x:f t="shared" si="43"/>
      </x:c>
      <x:c r="X707" s="49"/>
      <x:c r="Y707" s="49"/>
      <x:c r="Z707" s="49"/>
      <x:c r="AA707" s="49"/>
      <x:c r="AB707" s="49"/>
      <x:c r="AC707" s="49"/>
      <x:c r="AD707" s="49"/>
      <x:c r="AE707" s="49"/>
      <x:c r="AF707" s="49"/>
      <x:c r="AG707" s="49"/>
      <x:c r="AH707" s="49"/>
      <x:c r="AI707" s="49"/>
      <x:c r="AJ707" s="49"/>
      <x:c r="AK707" s="49"/>
      <x:c r="AL707" s="49"/>
      <x:c r="AM707" s="49"/>
      <x:c r="AN707" s="49"/>
      <x:c r="AO707" s="49"/>
      <x:c r="AP707" s="49"/>
      <x:c r="AQ707" s="49"/>
      <x:c r="AR707" s="49"/>
      <x:c r="AS707" s="49"/>
      <x:c r="AT707" s="49"/>
      <x:c r="AU707" s="49"/>
      <x:c r="AV707" s="49"/>
      <x:c r="AW707" s="49"/>
      <x:c r="AX707" s="49"/>
      <x:c r="AY707" s="49"/>
    </x:row>
    <x:row r="708" ht="22" customHeight="1">
      <x:c r="A708" s="49" t="s">
        <x:v>2775</x:v>
      </x:c>
      <x:c r="B708" s="49" t="s">
        <x:v>2804</x:v>
      </x:c>
      <x:c r="C708" s="49" t="s">
        <x:v>89</x:v>
      </x:c>
      <x:c r="D708" s="49" t="s">
        <x:v>116</x:v>
      </x:c>
      <x:c r="E708" s="49" t="s">
        <x:v>1479</x:v>
      </x:c>
      <x:c r="F708" s="49" t="s">
        <x:v>2813</x:v>
      </x:c>
      <x:c r="G708" s="49">
        <x:v>0.89</x:v>
      </x:c>
      <x:c r="H708" s="49">
        <x:v>0.5</x:v>
      </x:c>
      <x:c r="I708" s="49">
        <x:v>0.93</x:v>
      </x:c>
      <x:c r="J708" s="49" t="s">
        <x:v>2814</x:v>
      </x:c>
      <x:c r="K708" s="49" t="s">
        <x:v>2547</x:v>
      </x:c>
      <x:c r="L708" s="49" t="s">
        <x:v>2815</x:v>
      </x:c>
      <x:c r="M708" s="49"/>
      <x:c r="N708" s="49" t="s">
        <x:v>1888</x:v>
      </x:c>
      <x:c r="O708" s="49" t="s">
        <x:v>201</x:v>
      </x:c>
      <x:c r="P708" s="49" t="s">
        <x:v>30</x:v>
      </x:c>
      <x:c r="Q708" s="49" t="s">
        <x:v>23</x:v>
      </x:c>
      <x:c r="R708" s="49">
        <x:v>0.91</x:v>
      </x:c>
      <x:c r="S708" s="49" t="n">
        <x:f t="shared" ref="S708:S736" si="44">IF(OR(Q708="",Q708="待结算"),"",IF(Q708="红",R708,IF(Q708="半红",R708*0.5,IF(Q708="走",0,IF(Q708="半黑",-0.5,-1)))))</x:f>
        <x:v>-1</x:v>
      </x:c>
      <x:c r="T708" s="49" t="s">
        <x:v>1890</x:v>
      </x:c>
      <x:c r="U708" s="49"/>
      <x:c r="V708" s="49"/>
      <x:c r="W708" s="49" t="str">
        <x:f t="shared" ref="W708:W736" si="45">IF(OR(U708="",U708="待结算"),"",IF(U708="红",V708,IF(U708="半红",V708*0.5,IF(U708="走",0,IF(U708="半黑",-0.5,-1)))))</x:f>
      </x:c>
      <x:c r="X708" s="49"/>
      <x:c r="Y708" s="49"/>
      <x:c r="Z708" s="49"/>
      <x:c r="AA708" s="49"/>
      <x:c r="AB708" s="49"/>
      <x:c r="AC708" s="49"/>
      <x:c r="AD708" s="49"/>
      <x:c r="AE708" s="49"/>
      <x:c r="AF708" s="49"/>
      <x:c r="AG708" s="49"/>
      <x:c r="AH708" s="49"/>
      <x:c r="AI708" s="49"/>
      <x:c r="AJ708" s="49"/>
      <x:c r="AK708" s="49"/>
      <x:c r="AL708" s="49"/>
      <x:c r="AM708" s="49"/>
      <x:c r="AN708" s="49"/>
      <x:c r="AO708" s="49"/>
      <x:c r="AP708" s="49"/>
      <x:c r="AQ708" s="49"/>
      <x:c r="AR708" s="49"/>
      <x:c r="AS708" s="49"/>
      <x:c r="AT708" s="49"/>
      <x:c r="AU708" s="49"/>
      <x:c r="AV708" s="49"/>
      <x:c r="AW708" s="49"/>
      <x:c r="AX708" s="49"/>
      <x:c r="AY708" s="49"/>
    </x:row>
    <x:row r="709" ht="22" customHeight="1">
      <x:c r="A709" s="49" t="s">
        <x:v>2775</x:v>
      </x:c>
      <x:c r="B709" s="49" t="s">
        <x:v>2816</x:v>
      </x:c>
      <x:c r="C709" s="49" t="s">
        <x:v>244</x:v>
      </x:c>
      <x:c r="D709" s="49" t="s">
        <x:v>116</x:v>
      </x:c>
      <x:c r="E709" s="49" t="s">
        <x:v>498</x:v>
      </x:c>
      <x:c r="F709" s="49" t="s">
        <x:v>2817</x:v>
      </x:c>
      <x:c r="G709" s="49">
        <x:v>0.73</x:v>
      </x:c>
      <x:c r="H709" s="49">
        <x:v>0.25</x:v>
      </x:c>
      <x:c r="I709" s="49">
        <x:v>0.97</x:v>
      </x:c>
      <x:c r="J709" s="49" t="s">
        <x:v>1065</x:v>
      </x:c>
      <x:c r="K709" s="49" t="s">
        <x:v>2547</x:v>
      </x:c>
      <x:c r="L709" s="49" t="s">
        <x:v>2818</x:v>
      </x:c>
      <x:c r="M709" s="49"/>
      <x:c r="N709" s="49" t="s">
        <x:v>1888</x:v>
      </x:c>
      <x:c r="O709" s="49" t="s">
        <x:v>201</x:v>
      </x:c>
      <x:c r="P709" s="49" t="s">
        <x:v>30</x:v>
      </x:c>
      <x:c r="Q709" s="49" t="s">
        <x:v>11</x:v>
      </x:c>
      <x:c r="R709" s="49">
        <x:v>0.76</x:v>
      </x:c>
      <x:c r="S709" s="49">
        <x:f t="shared" si="44"/>
        <x:v>0.76</x:v>
      </x:c>
      <x:c r="T709" s="49" t="s">
        <x:v>1890</x:v>
      </x:c>
      <x:c r="U709" s="49"/>
      <x:c r="V709" s="49"/>
      <x:c r="W709" s="49" t="str">
        <x:f t="shared" si="45"/>
      </x:c>
      <x:c r="X709" s="49"/>
      <x:c r="Y709" s="49"/>
      <x:c r="Z709" s="49"/>
      <x:c r="AA709" s="49"/>
      <x:c r="AB709" s="49"/>
      <x:c r="AC709" s="49"/>
      <x:c r="AD709" s="49"/>
      <x:c r="AE709" s="49"/>
      <x:c r="AF709" s="49"/>
      <x:c r="AG709" s="49"/>
      <x:c r="AH709" s="49"/>
      <x:c r="AI709" s="49"/>
      <x:c r="AJ709" s="49"/>
      <x:c r="AK709" s="49"/>
      <x:c r="AL709" s="49"/>
      <x:c r="AM709" s="49"/>
      <x:c r="AN709" s="49"/>
      <x:c r="AO709" s="49"/>
      <x:c r="AP709" s="49"/>
      <x:c r="AQ709" s="49"/>
      <x:c r="AR709" s="49"/>
      <x:c r="AS709" s="49"/>
      <x:c r="AT709" s="49"/>
      <x:c r="AU709" s="49"/>
      <x:c r="AV709" s="49"/>
      <x:c r="AW709" s="49"/>
      <x:c r="AX709" s="49"/>
      <x:c r="AY709" s="49"/>
    </x:row>
    <x:row r="710" ht="22" customHeight="1">
      <x:c r="A710" s="49" t="s">
        <x:v>2775</x:v>
      </x:c>
      <x:c r="B710" s="49" t="s">
        <x:v>2816</x:v>
      </x:c>
      <x:c r="C710" s="49" t="s">
        <x:v>89</x:v>
      </x:c>
      <x:c r="D710" s="49" t="s">
        <x:v>116</x:v>
      </x:c>
      <x:c r="E710" s="49" t="s">
        <x:v>307</x:v>
      </x:c>
      <x:c r="F710" s="49" t="s">
        <x:v>2819</x:v>
      </x:c>
      <x:c r="G710" s="49">
        <x:v>0.77</x:v>
      </x:c>
      <x:c r="H710" s="49">
        <x:v>-1.25</x:v>
      </x:c>
      <x:c r="I710" s="49">
        <x:v>0.93</x:v>
      </x:c>
      <x:c r="J710" s="49" t="s">
        <x:v>2820</x:v>
      </x:c>
      <x:c r="K710" s="49" t="s">
        <x:v>2547</x:v>
      </x:c>
      <x:c r="L710" s="49" t="s">
        <x:v>2821</x:v>
      </x:c>
      <x:c r="M710" s="49"/>
      <x:c r="N710" s="49" t="s">
        <x:v>1888</x:v>
      </x:c>
      <x:c r="O710" s="49" t="s">
        <x:v>201</x:v>
      </x:c>
      <x:c r="P710" s="49" t="s">
        <x:v>30</x:v>
      </x:c>
      <x:c r="Q710" s="49" t="s">
        <x:v>11</x:v>
      </x:c>
      <x:c r="R710" s="49">
        <x:v>0.96</x:v>
      </x:c>
      <x:c r="S710" s="49">
        <x:f t="shared" si="44"/>
        <x:v>0.96</x:v>
      </x:c>
      <x:c r="T710" s="49" t="s">
        <x:v>1890</x:v>
      </x:c>
      <x:c r="U710" s="49"/>
      <x:c r="V710" s="49"/>
      <x:c r="W710" s="49" t="str">
        <x:f t="shared" si="45"/>
      </x:c>
      <x:c r="X710" s="49"/>
      <x:c r="Y710" s="49"/>
      <x:c r="Z710" s="49"/>
      <x:c r="AA710" s="49"/>
      <x:c r="AB710" s="49"/>
      <x:c r="AC710" s="49"/>
      <x:c r="AD710" s="49"/>
      <x:c r="AE710" s="49"/>
      <x:c r="AF710" s="49"/>
      <x:c r="AG710" s="49"/>
      <x:c r="AH710" s="49"/>
      <x:c r="AI710" s="49"/>
      <x:c r="AJ710" s="49"/>
      <x:c r="AK710" s="49"/>
      <x:c r="AL710" s="49"/>
      <x:c r="AM710" s="49"/>
      <x:c r="AN710" s="49"/>
      <x:c r="AO710" s="49"/>
      <x:c r="AP710" s="49"/>
      <x:c r="AQ710" s="49"/>
      <x:c r="AR710" s="49"/>
      <x:c r="AS710" s="49"/>
      <x:c r="AT710" s="49"/>
      <x:c r="AU710" s="49"/>
      <x:c r="AV710" s="49"/>
      <x:c r="AW710" s="49"/>
      <x:c r="AX710" s="49"/>
      <x:c r="AY710" s="49"/>
    </x:row>
    <x:row r="711" ht="22" customHeight="1">
      <x:c r="A711" s="49" t="s">
        <x:v>2775</x:v>
      </x:c>
      <x:c r="B711" s="49" t="s">
        <x:v>2822</x:v>
      </x:c>
      <x:c r="C711" s="49" t="s">
        <x:v>244</x:v>
      </x:c>
      <x:c r="D711" s="49" t="s">
        <x:v>116</x:v>
      </x:c>
      <x:c r="E711" s="49" t="s">
        <x:v>812</x:v>
      </x:c>
      <x:c r="F711" s="49" t="s">
        <x:v>2823</x:v>
      </x:c>
      <x:c r="G711" s="49">
        <x:v>0.95</x:v>
      </x:c>
      <x:c r="H711" s="49">
        <x:v>0.75</x:v>
      </x:c>
      <x:c r="I711" s="49">
        <x:v>0.87</x:v>
      </x:c>
      <x:c r="J711" s="49" t="s">
        <x:v>2824</x:v>
      </x:c>
      <x:c r="K711" s="49" t="s">
        <x:v>2547</x:v>
      </x:c>
      <x:c r="L711" s="49" t="s">
        <x:v>2825</x:v>
      </x:c>
      <x:c r="M711" s="49"/>
      <x:c r="N711" s="49" t="s">
        <x:v>1888</x:v>
      </x:c>
      <x:c r="O711" s="49" t="s">
        <x:v>149</x:v>
      </x:c>
      <x:c r="P711" s="49" t="s">
        <x:v>30</x:v>
      </x:c>
      <x:c r="Q711" s="49" t="s">
        <x:v>11</x:v>
      </x:c>
      <x:c r="R711" s="49">
        <x:v>1.03</x:v>
      </x:c>
      <x:c r="S711" s="49">
        <x:f t="shared" si="44"/>
        <x:v>1.03</x:v>
      </x:c>
      <x:c r="T711" s="49" t="s">
        <x:v>1890</x:v>
      </x:c>
      <x:c r="U711" s="49"/>
      <x:c r="V711" s="49"/>
      <x:c r="W711" s="49" t="str">
        <x:f t="shared" si="45"/>
      </x:c>
      <x:c r="X711" s="49"/>
      <x:c r="Y711" s="49"/>
      <x:c r="Z711" s="49"/>
      <x:c r="AA711" s="49"/>
      <x:c r="AB711" s="49"/>
      <x:c r="AC711" s="49"/>
      <x:c r="AD711" s="49"/>
      <x:c r="AE711" s="49"/>
      <x:c r="AF711" s="49"/>
      <x:c r="AG711" s="49"/>
      <x:c r="AH711" s="49"/>
      <x:c r="AI711" s="49"/>
      <x:c r="AJ711" s="49"/>
      <x:c r="AK711" s="49"/>
      <x:c r="AL711" s="49"/>
      <x:c r="AM711" s="49"/>
      <x:c r="AN711" s="49"/>
      <x:c r="AO711" s="49"/>
      <x:c r="AP711" s="49"/>
      <x:c r="AQ711" s="49"/>
      <x:c r="AR711" s="49"/>
      <x:c r="AS711" s="49"/>
      <x:c r="AT711" s="49"/>
      <x:c r="AU711" s="49"/>
      <x:c r="AV711" s="49"/>
      <x:c r="AW711" s="49"/>
      <x:c r="AX711" s="49"/>
      <x:c r="AY711" s="49"/>
    </x:row>
    <x:row r="712" ht="22" customHeight="1">
      <x:c r="A712" s="49" t="s">
        <x:v>2775</x:v>
      </x:c>
      <x:c r="B712" s="49" t="s">
        <x:v>2822</x:v>
      </x:c>
      <x:c r="C712" s="49" t="s">
        <x:v>244</x:v>
      </x:c>
      <x:c r="D712" s="49" t="s">
        <x:v>116</x:v>
      </x:c>
      <x:c r="E712" s="49" t="s">
        <x:v>498</x:v>
      </x:c>
      <x:c r="F712" s="49" t="s">
        <x:v>2826</x:v>
      </x:c>
      <x:c r="G712" s="49">
        <x:v>0.81</x:v>
      </x:c>
      <x:c r="H712" s="49">
        <x:v>0.75</x:v>
      </x:c>
      <x:c r="I712" s="49">
        <x:v>0.89</x:v>
      </x:c>
      <x:c r="J712" s="49" t="s">
        <x:v>2742</x:v>
      </x:c>
      <x:c r="K712" s="49" t="s">
        <x:v>2547</x:v>
      </x:c>
      <x:c r="L712" s="49" t="s">
        <x:v>2827</x:v>
      </x:c>
      <x:c r="M712" s="49"/>
      <x:c r="N712" s="49" t="s">
        <x:v>1888</x:v>
      </x:c>
      <x:c r="O712" s="49" t="s">
        <x:v>161</x:v>
      </x:c>
      <x:c r="P712" s="49" t="s">
        <x:v>30</x:v>
      </x:c>
      <x:c r="Q712" s="49" t="s">
        <x:v>11</x:v>
      </x:c>
      <x:c r="R712" s="49">
        <x:v>0.84</x:v>
      </x:c>
      <x:c r="S712" s="49">
        <x:f t="shared" si="44"/>
        <x:v>0.84</x:v>
      </x:c>
      <x:c r="T712" s="49" t="s">
        <x:v>1890</x:v>
      </x:c>
      <x:c r="U712" s="49"/>
      <x:c r="V712" s="49"/>
      <x:c r="W712" s="49" t="str">
        <x:f t="shared" si="45"/>
      </x:c>
      <x:c r="X712" s="49"/>
      <x:c r="Y712" s="49"/>
      <x:c r="Z712" s="49"/>
      <x:c r="AA712" s="49"/>
      <x:c r="AB712" s="49"/>
      <x:c r="AC712" s="49"/>
      <x:c r="AD712" s="49"/>
      <x:c r="AE712" s="49"/>
      <x:c r="AF712" s="49"/>
      <x:c r="AG712" s="49"/>
      <x:c r="AH712" s="49"/>
      <x:c r="AI712" s="49"/>
      <x:c r="AJ712" s="49"/>
      <x:c r="AK712" s="49"/>
      <x:c r="AL712" s="49"/>
      <x:c r="AM712" s="49"/>
      <x:c r="AN712" s="49"/>
      <x:c r="AO712" s="49"/>
      <x:c r="AP712" s="49"/>
      <x:c r="AQ712" s="49"/>
      <x:c r="AR712" s="49"/>
      <x:c r="AS712" s="49"/>
      <x:c r="AT712" s="49"/>
      <x:c r="AU712" s="49"/>
      <x:c r="AV712" s="49"/>
      <x:c r="AW712" s="49"/>
      <x:c r="AX712" s="49"/>
      <x:c r="AY712" s="49"/>
    </x:row>
    <x:row r="713" ht="22" customHeight="1">
      <x:c r="A713" s="49" t="s">
        <x:v>2775</x:v>
      </x:c>
      <x:c r="B713" s="49" t="s">
        <x:v>2822</x:v>
      </x:c>
      <x:c r="C713" s="49" t="s">
        <x:v>89</x:v>
      </x:c>
      <x:c r="D713" s="49" t="s">
        <x:v>116</x:v>
      </x:c>
      <x:c r="E713" s="49" t="s">
        <x:v>687</x:v>
      </x:c>
      <x:c r="F713" s="49" t="s">
        <x:v>2828</x:v>
      </x:c>
      <x:c r="G713" s="49">
        <x:v>0.76</x:v>
      </x:c>
      <x:c r="H713" s="49">
        <x:v>0.5</x:v>
      </x:c>
      <x:c r="I713" s="49">
        <x:v>0.94</x:v>
      </x:c>
      <x:c r="J713" s="49" t="s">
        <x:v>286</x:v>
      </x:c>
      <x:c r="K713" s="49" t="s">
        <x:v>2547</x:v>
      </x:c>
      <x:c r="L713" s="49" t="s">
        <x:v>2829</x:v>
      </x:c>
      <x:c r="M713" s="49"/>
      <x:c r="N713" s="49" t="s">
        <x:v>1888</x:v>
      </x:c>
      <x:c r="O713" s="49" t="s">
        <x:v>114</x:v>
      </x:c>
      <x:c r="P713" s="49" t="s">
        <x:v>30</x:v>
      </x:c>
      <x:c r="Q713" s="49" t="s">
        <x:v>23</x:v>
      </x:c>
      <x:c r="R713" s="49">
        <x:v>0.84</x:v>
      </x:c>
      <x:c r="S713" s="49">
        <x:f t="shared" si="44"/>
        <x:v>-1</x:v>
      </x:c>
      <x:c r="T713" s="49" t="s">
        <x:v>1890</x:v>
      </x:c>
      <x:c r="U713" s="49"/>
      <x:c r="V713" s="49"/>
      <x:c r="W713" s="49" t="str">
        <x:f t="shared" si="45"/>
      </x:c>
      <x:c r="X713" s="49"/>
      <x:c r="Y713" s="49"/>
      <x:c r="Z713" s="49"/>
      <x:c r="AA713" s="49"/>
      <x:c r="AB713" s="49"/>
      <x:c r="AC713" s="49"/>
      <x:c r="AD713" s="49"/>
      <x:c r="AE713" s="49"/>
      <x:c r="AF713" s="49"/>
      <x:c r="AG713" s="49"/>
      <x:c r="AH713" s="49"/>
      <x:c r="AI713" s="49"/>
      <x:c r="AJ713" s="49"/>
      <x:c r="AK713" s="49"/>
      <x:c r="AL713" s="49"/>
      <x:c r="AM713" s="49"/>
      <x:c r="AN713" s="49"/>
      <x:c r="AO713" s="49"/>
      <x:c r="AP713" s="49"/>
      <x:c r="AQ713" s="49"/>
      <x:c r="AR713" s="49"/>
      <x:c r="AS713" s="49"/>
      <x:c r="AT713" s="49"/>
      <x:c r="AU713" s="49"/>
      <x:c r="AV713" s="49"/>
      <x:c r="AW713" s="49"/>
      <x:c r="AX713" s="49"/>
      <x:c r="AY713" s="49"/>
    </x:row>
    <x:row r="714" ht="22" customHeight="1">
      <x:c r="A714" s="49" t="s">
        <x:v>2775</x:v>
      </x:c>
      <x:c r="B714" s="49" t="s">
        <x:v>2822</x:v>
      </x:c>
      <x:c r="C714" s="49" t="s">
        <x:v>333</x:v>
      </x:c>
      <x:c r="D714" s="49" t="s">
        <x:v>116</x:v>
      </x:c>
      <x:c r="E714" s="49" t="s">
        <x:v>953</x:v>
      </x:c>
      <x:c r="F714" s="49" t="s">
        <x:v>2830</x:v>
      </x:c>
      <x:c r="G714" s="49">
        <x:v>0.76</x:v>
      </x:c>
      <x:c r="H714" s="49">
        <x:v>1</x:v>
      </x:c>
      <x:c r="I714" s="49">
        <x:v>0.94</x:v>
      </x:c>
      <x:c r="J714" s="49" t="s">
        <x:v>2831</x:v>
      </x:c>
      <x:c r="K714" s="49" t="s">
        <x:v>2547</x:v>
      </x:c>
      <x:c r="L714" s="49" t="s">
        <x:v>2832</x:v>
      </x:c>
      <x:c r="M714" s="49"/>
      <x:c r="N714" s="49" t="s">
        <x:v>1888</x:v>
      </x:c>
      <x:c r="O714" s="49" t="s">
        <x:v>201</x:v>
      </x:c>
      <x:c r="P714" s="49" t="s">
        <x:v>30</x:v>
      </x:c>
      <x:c r="Q714" s="49" t="s">
        <x:v>17</x:v>
      </x:c>
      <x:c r="R714" s="49">
        <x:v>0.82</x:v>
      </x:c>
      <x:c r="S714" s="49">
        <x:f t="shared" si="44"/>
        <x:v>0</x:v>
      </x:c>
      <x:c r="T714" s="49" t="s">
        <x:v>1890</x:v>
      </x:c>
      <x:c r="U714" s="49"/>
      <x:c r="V714" s="49"/>
      <x:c r="W714" s="49" t="str">
        <x:f t="shared" si="45"/>
      </x:c>
      <x:c r="X714" s="49"/>
      <x:c r="Y714" s="49"/>
      <x:c r="Z714" s="49"/>
      <x:c r="AA714" s="49"/>
      <x:c r="AB714" s="49"/>
      <x:c r="AC714" s="49"/>
      <x:c r="AD714" s="49"/>
      <x:c r="AE714" s="49"/>
      <x:c r="AF714" s="49"/>
      <x:c r="AG714" s="49"/>
      <x:c r="AH714" s="49"/>
      <x:c r="AI714" s="49"/>
      <x:c r="AJ714" s="49"/>
      <x:c r="AK714" s="49"/>
      <x:c r="AL714" s="49"/>
      <x:c r="AM714" s="49"/>
      <x:c r="AN714" s="49"/>
      <x:c r="AO714" s="49"/>
      <x:c r="AP714" s="49"/>
      <x:c r="AQ714" s="49"/>
      <x:c r="AR714" s="49"/>
      <x:c r="AS714" s="49"/>
      <x:c r="AT714" s="49"/>
      <x:c r="AU714" s="49"/>
      <x:c r="AV714" s="49"/>
      <x:c r="AW714" s="49"/>
      <x:c r="AX714" s="49"/>
      <x:c r="AY714" s="49"/>
    </x:row>
    <x:row r="715" ht="22" customHeight="1">
      <x:c r="A715" s="49" t="s">
        <x:v>2775</x:v>
      </x:c>
      <x:c r="B715" s="49" t="s">
        <x:v>2833</x:v>
      </x:c>
      <x:c r="C715" s="49" t="s">
        <x:v>244</x:v>
      </x:c>
      <x:c r="D715" s="49" t="s">
        <x:v>90</x:v>
      </x:c>
      <x:c r="E715" s="49" t="s">
        <x:v>2834</x:v>
      </x:c>
      <x:c r="F715" s="49" t="s">
        <x:v>2835</x:v>
      </x:c>
      <x:c r="G715" s="49">
        <x:v>0.75</x:v>
      </x:c>
      <x:c r="H715" s="49">
        <x:v>0</x:v>
      </x:c>
      <x:c r="I715" s="49">
        <x:v>0.95</x:v>
      </x:c>
      <x:c r="J715" s="49" t="s">
        <x:v>2580</x:v>
      </x:c>
      <x:c r="K715" s="49" t="s">
        <x:v>2547</x:v>
      </x:c>
      <x:c r="L715" s="49" t="s">
        <x:v>2836</x:v>
      </x:c>
      <x:c r="M715" s="49"/>
      <x:c r="N715" s="49" t="s">
        <x:v>1888</x:v>
      </x:c>
      <x:c r="O715" s="49" t="s">
        <x:v>558</x:v>
      </x:c>
      <x:c r="P715" s="49" t="s">
        <x:v>30</x:v>
      </x:c>
      <x:c r="Q715" s="49" t="s">
        <x:v>23</x:v>
      </x:c>
      <x:c r="R715" s="49">
        <x:v>0.75</x:v>
      </x:c>
      <x:c r="S715" s="49">
        <x:f t="shared" si="44"/>
        <x:v>-1</x:v>
      </x:c>
      <x:c r="T715" s="49" t="s">
        <x:v>1890</x:v>
      </x:c>
      <x:c r="U715" s="49"/>
      <x:c r="V715" s="49"/>
      <x:c r="W715" s="49" t="str">
        <x:f t="shared" si="45"/>
      </x:c>
      <x:c r="X715" s="49"/>
      <x:c r="Y715" s="49"/>
      <x:c r="Z715" s="49"/>
      <x:c r="AA715" s="49"/>
      <x:c r="AB715" s="49"/>
      <x:c r="AC715" s="49"/>
      <x:c r="AD715" s="49"/>
      <x:c r="AE715" s="49"/>
      <x:c r="AF715" s="49"/>
      <x:c r="AG715" s="49"/>
      <x:c r="AH715" s="49"/>
      <x:c r="AI715" s="49"/>
      <x:c r="AJ715" s="49"/>
      <x:c r="AK715" s="49"/>
      <x:c r="AL715" s="49"/>
      <x:c r="AM715" s="49"/>
      <x:c r="AN715" s="49"/>
      <x:c r="AO715" s="49"/>
      <x:c r="AP715" s="49"/>
      <x:c r="AQ715" s="49"/>
      <x:c r="AR715" s="49"/>
      <x:c r="AS715" s="49"/>
      <x:c r="AT715" s="49"/>
      <x:c r="AU715" s="49"/>
      <x:c r="AV715" s="49"/>
      <x:c r="AW715" s="49"/>
      <x:c r="AX715" s="49"/>
      <x:c r="AY715" s="49"/>
    </x:row>
    <x:row r="716" ht="22" customHeight="1">
      <x:c r="A716" s="49" t="s">
        <x:v>2775</x:v>
      </x:c>
      <x:c r="B716" s="49" t="s">
        <x:v>2837</x:v>
      </x:c>
      <x:c r="C716" s="49" t="s">
        <x:v>89</x:v>
      </x:c>
      <x:c r="D716" s="49" t="s">
        <x:v>116</x:v>
      </x:c>
      <x:c r="E716" s="49" t="s">
        <x:v>927</x:v>
      </x:c>
      <x:c r="F716" s="49" t="s">
        <x:v>2838</x:v>
      </x:c>
      <x:c r="G716" s="49">
        <x:v>0.82</x:v>
      </x:c>
      <x:c r="H716" s="49">
        <x:v>0.5</x:v>
      </x:c>
      <x:c r="I716" s="49">
        <x:v>0.94</x:v>
      </x:c>
      <x:c r="J716" s="49" t="s">
        <x:v>932</x:v>
      </x:c>
      <x:c r="K716" s="49" t="s">
        <x:v>2547</x:v>
      </x:c>
      <x:c r="L716" s="49" t="s">
        <x:v>2839</x:v>
      </x:c>
      <x:c r="M716" s="49"/>
      <x:c r="N716" s="49" t="s">
        <x:v>1888</x:v>
      </x:c>
      <x:c r="O716" s="49" t="s">
        <x:v>161</x:v>
      </x:c>
      <x:c r="P716" s="49" t="s">
        <x:v>30</x:v>
      </x:c>
      <x:c r="Q716" s="49" t="s">
        <x:v>11</x:v>
      </x:c>
      <x:c r="R716" s="49">
        <x:v>0.79</x:v>
      </x:c>
      <x:c r="S716" s="49">
        <x:f t="shared" si="44"/>
        <x:v>0.79</x:v>
      </x:c>
      <x:c r="T716" s="49" t="s">
        <x:v>1890</x:v>
      </x:c>
      <x:c r="U716" s="49"/>
      <x:c r="V716" s="49"/>
      <x:c r="W716" s="49" t="str">
        <x:f t="shared" si="45"/>
      </x:c>
      <x:c r="X716" s="49"/>
      <x:c r="Y716" s="49"/>
      <x:c r="Z716" s="49"/>
      <x:c r="AA716" s="49"/>
      <x:c r="AB716" s="49"/>
      <x:c r="AC716" s="49"/>
      <x:c r="AD716" s="49"/>
      <x:c r="AE716" s="49"/>
      <x:c r="AF716" s="49"/>
      <x:c r="AG716" s="49"/>
      <x:c r="AH716" s="49"/>
      <x:c r="AI716" s="49"/>
      <x:c r="AJ716" s="49"/>
      <x:c r="AK716" s="49"/>
      <x:c r="AL716" s="49"/>
      <x:c r="AM716" s="49"/>
      <x:c r="AN716" s="49"/>
      <x:c r="AO716" s="49"/>
      <x:c r="AP716" s="49"/>
      <x:c r="AQ716" s="49"/>
      <x:c r="AR716" s="49"/>
      <x:c r="AS716" s="49"/>
      <x:c r="AT716" s="49"/>
      <x:c r="AU716" s="49"/>
      <x:c r="AV716" s="49"/>
      <x:c r="AW716" s="49"/>
      <x:c r="AX716" s="49"/>
      <x:c r="AY716" s="49"/>
    </x:row>
    <x:row r="717" ht="22" customHeight="1">
      <x:c r="A717" s="49" t="s">
        <x:v>2775</x:v>
      </x:c>
      <x:c r="B717" s="49" t="s">
        <x:v>2840</x:v>
      </x:c>
      <x:c r="C717" s="49" t="s">
        <x:v>244</x:v>
      </x:c>
      <x:c r="D717" s="49" t="s">
        <x:v>116</x:v>
      </x:c>
      <x:c r="E717" s="49" t="s">
        <x:v>498</x:v>
      </x:c>
      <x:c r="F717" s="49" t="s">
        <x:v>2841</x:v>
      </x:c>
      <x:c r="G717" s="49">
        <x:v>0.8</x:v>
      </x:c>
      <x:c r="H717" s="49">
        <x:v>1.25</x:v>
      </x:c>
      <x:c r="I717" s="49">
        <x:v>0.96</x:v>
      </x:c>
      <x:c r="J717" s="49" t="s">
        <x:v>2809</x:v>
      </x:c>
      <x:c r="K717" s="49" t="s">
        <x:v>2547</x:v>
      </x:c>
      <x:c r="L717" s="49" t="s">
        <x:v>1918</x:v>
      </x:c>
      <x:c r="M717" s="49"/>
      <x:c r="N717" s="49" t="s">
        <x:v>1888</x:v>
      </x:c>
      <x:c r="O717" s="49" t="s">
        <x:v>141</x:v>
      </x:c>
      <x:c r="P717" s="49" t="s">
        <x:v>30</x:v>
      </x:c>
      <x:c r="Q717" s="49" t="s">
        <x:v>11</x:v>
      </x:c>
      <x:c r="R717" s="49">
        <x:v>0.8</x:v>
      </x:c>
      <x:c r="S717" s="49">
        <x:f t="shared" si="44"/>
        <x:v>0.8</x:v>
      </x:c>
      <x:c r="T717" s="49" t="s">
        <x:v>1890</x:v>
      </x:c>
      <x:c r="U717" s="49"/>
      <x:c r="V717" s="49"/>
      <x:c r="W717" s="49" t="str">
        <x:f t="shared" si="45"/>
      </x:c>
      <x:c r="X717" s="49"/>
      <x:c r="Y717" s="49"/>
      <x:c r="Z717" s="49"/>
      <x:c r="AA717" s="49"/>
      <x:c r="AB717" s="49"/>
      <x:c r="AC717" s="49"/>
      <x:c r="AD717" s="49"/>
      <x:c r="AE717" s="49"/>
      <x:c r="AF717" s="49"/>
      <x:c r="AG717" s="49"/>
      <x:c r="AH717" s="49"/>
      <x:c r="AI717" s="49"/>
      <x:c r="AJ717" s="49"/>
      <x:c r="AK717" s="49"/>
      <x:c r="AL717" s="49"/>
      <x:c r="AM717" s="49"/>
      <x:c r="AN717" s="49"/>
      <x:c r="AO717" s="49"/>
      <x:c r="AP717" s="49"/>
      <x:c r="AQ717" s="49"/>
      <x:c r="AR717" s="49"/>
      <x:c r="AS717" s="49"/>
      <x:c r="AT717" s="49"/>
      <x:c r="AU717" s="49"/>
      <x:c r="AV717" s="49"/>
      <x:c r="AW717" s="49"/>
      <x:c r="AX717" s="49"/>
      <x:c r="AY717" s="49"/>
    </x:row>
    <x:row r="718" ht="22" customHeight="1">
      <x:c r="A718" s="49" t="s">
        <x:v>2775</x:v>
      </x:c>
      <x:c r="B718" s="49" t="s">
        <x:v>2840</x:v>
      </x:c>
      <x:c r="C718" s="49" t="s">
        <x:v>89</x:v>
      </x:c>
      <x:c r="D718" s="49" t="s">
        <x:v>116</x:v>
      </x:c>
      <x:c r="E718" s="49" t="s">
        <x:v>687</x:v>
      </x:c>
      <x:c r="F718" s="49" t="s">
        <x:v>2842</x:v>
      </x:c>
      <x:c r="G718" s="49">
        <x:v>0.84</x:v>
      </x:c>
      <x:c r="H718" s="49">
        <x:v>0.75</x:v>
      </x:c>
      <x:c r="I718" s="49">
        <x:v>0.86</x:v>
      </x:c>
      <x:c r="J718" s="49" t="s">
        <x:v>689</x:v>
      </x:c>
      <x:c r="K718" s="49" t="s">
        <x:v>2547</x:v>
      </x:c>
      <x:c r="L718" s="49" t="s">
        <x:v>2843</x:v>
      </x:c>
      <x:c r="M718" s="49"/>
      <x:c r="N718" s="49" t="s">
        <x:v>1888</x:v>
      </x:c>
      <x:c r="O718" s="49" t="s">
        <x:v>231</x:v>
      </x:c>
      <x:c r="P718" s="49" t="s">
        <x:v>30</x:v>
      </x:c>
      <x:c r="Q718" s="49" t="s">
        <x:v>14</x:v>
      </x:c>
      <x:c r="R718" s="49">
        <x:v>0.84</x:v>
      </x:c>
      <x:c r="S718" s="49">
        <x:f t="shared" si="44"/>
        <x:v>0.42</x:v>
      </x:c>
      <x:c r="T718" s="49" t="s">
        <x:v>1890</x:v>
      </x:c>
      <x:c r="U718" s="49"/>
      <x:c r="V718" s="49"/>
      <x:c r="W718" s="49" t="str">
        <x:f t="shared" si="45"/>
      </x:c>
      <x:c r="X718" s="49"/>
      <x:c r="Y718" s="49"/>
      <x:c r="Z718" s="49"/>
      <x:c r="AA718" s="49"/>
      <x:c r="AB718" s="49"/>
      <x:c r="AC718" s="49"/>
      <x:c r="AD718" s="49"/>
      <x:c r="AE718" s="49"/>
      <x:c r="AF718" s="49"/>
      <x:c r="AG718" s="49"/>
      <x:c r="AH718" s="49"/>
      <x:c r="AI718" s="49"/>
      <x:c r="AJ718" s="49"/>
      <x:c r="AK718" s="49"/>
      <x:c r="AL718" s="49"/>
      <x:c r="AM718" s="49"/>
      <x:c r="AN718" s="49"/>
      <x:c r="AO718" s="49"/>
      <x:c r="AP718" s="49"/>
      <x:c r="AQ718" s="49"/>
      <x:c r="AR718" s="49"/>
      <x:c r="AS718" s="49"/>
      <x:c r="AT718" s="49"/>
      <x:c r="AU718" s="49"/>
      <x:c r="AV718" s="49"/>
      <x:c r="AW718" s="49"/>
      <x:c r="AX718" s="49"/>
      <x:c r="AY718" s="49"/>
    </x:row>
    <x:row r="719" ht="22" customHeight="1">
      <x:c r="A719" s="49" t="s">
        <x:v>2775</x:v>
      </x:c>
      <x:c r="B719" s="49" t="s">
        <x:v>2844</x:v>
      </x:c>
      <x:c r="C719" s="49" t="s">
        <x:v>333</x:v>
      </x:c>
      <x:c r="D719" s="49" t="s">
        <x:v>116</x:v>
      </x:c>
      <x:c r="E719" s="49" t="s">
        <x:v>953</x:v>
      </x:c>
      <x:c r="F719" s="49" t="s">
        <x:v>2845</x:v>
      </x:c>
      <x:c r="G719" s="49">
        <x:v>0.97</x:v>
      </x:c>
      <x:c r="H719" s="49">
        <x:v>0.25</x:v>
      </x:c>
      <x:c r="I719" s="49">
        <x:v>0.73</x:v>
      </x:c>
      <x:c r="J719" s="49" t="s">
        <x:v>2846</x:v>
      </x:c>
      <x:c r="K719" s="49" t="s">
        <x:v>2547</x:v>
      </x:c>
      <x:c r="L719" s="49" t="s">
        <x:v>2847</x:v>
      </x:c>
      <x:c r="M719" s="49"/>
      <x:c r="N719" s="49" t="s">
        <x:v>1888</x:v>
      </x:c>
      <x:c r="O719" s="49" t="s">
        <x:v>161</x:v>
      </x:c>
      <x:c r="P719" s="49" t="s">
        <x:v>30</x:v>
      </x:c>
      <x:c r="Q719" s="49" t="s">
        <x:v>11</x:v>
      </x:c>
      <x:c r="R719" s="49">
        <x:v>0.79</x:v>
      </x:c>
      <x:c r="S719" s="49">
        <x:f t="shared" si="44"/>
        <x:v>0.79</x:v>
      </x:c>
      <x:c r="T719" s="49" t="s">
        <x:v>1890</x:v>
      </x:c>
      <x:c r="U719" s="49"/>
      <x:c r="V719" s="49"/>
      <x:c r="W719" s="49" t="str">
        <x:f t="shared" si="45"/>
      </x:c>
      <x:c r="X719" s="49"/>
      <x:c r="Y719" s="49"/>
      <x:c r="Z719" s="49"/>
      <x:c r="AA719" s="49"/>
      <x:c r="AB719" s="49"/>
      <x:c r="AC719" s="49"/>
      <x:c r="AD719" s="49"/>
      <x:c r="AE719" s="49"/>
      <x:c r="AF719" s="49"/>
      <x:c r="AG719" s="49"/>
      <x:c r="AH719" s="49"/>
      <x:c r="AI719" s="49"/>
      <x:c r="AJ719" s="49"/>
      <x:c r="AK719" s="49"/>
      <x:c r="AL719" s="49"/>
      <x:c r="AM719" s="49"/>
      <x:c r="AN719" s="49"/>
      <x:c r="AO719" s="49"/>
      <x:c r="AP719" s="49"/>
      <x:c r="AQ719" s="49"/>
      <x:c r="AR719" s="49"/>
      <x:c r="AS719" s="49"/>
      <x:c r="AT719" s="49"/>
      <x:c r="AU719" s="49"/>
      <x:c r="AV719" s="49"/>
      <x:c r="AW719" s="49"/>
      <x:c r="AX719" s="49"/>
      <x:c r="AY719" s="49"/>
    </x:row>
    <x:row r="720" ht="22" customHeight="1">
      <x:c r="A720" s="49" t="s">
        <x:v>2775</x:v>
      </x:c>
      <x:c r="B720" s="49" t="s">
        <x:v>2844</x:v>
      </x:c>
      <x:c r="C720" s="49" t="s">
        <x:v>333</x:v>
      </x:c>
      <x:c r="D720" s="49" t="s">
        <x:v>116</x:v>
      </x:c>
      <x:c r="E720" s="49" t="s">
        <x:v>953</x:v>
      </x:c>
      <x:c r="F720" s="49" t="s">
        <x:v>2848</x:v>
      </x:c>
      <x:c r="G720" s="49">
        <x:v>0.89</x:v>
      </x:c>
      <x:c r="H720" s="49">
        <x:v>0</x:v>
      </x:c>
      <x:c r="I720" s="49">
        <x:v>0.81</x:v>
      </x:c>
      <x:c r="J720" s="49" t="s">
        <x:v>2806</x:v>
      </x:c>
      <x:c r="K720" s="49" t="s">
        <x:v>2547</x:v>
      </x:c>
      <x:c r="L720" s="49" t="s">
        <x:v>2849</x:v>
      </x:c>
      <x:c r="M720" s="49"/>
      <x:c r="N720" s="49" t="s">
        <x:v>1888</x:v>
      </x:c>
      <x:c r="O720" s="49" t="s">
        <x:v>2850</x:v>
      </x:c>
      <x:c r="P720" s="49" t="s">
        <x:v>30</x:v>
      </x:c>
      <x:c r="Q720" s="49" t="s">
        <x:v>11</x:v>
      </x:c>
      <x:c r="R720" s="49">
        <x:v>0.79</x:v>
      </x:c>
      <x:c r="S720" s="49">
        <x:f t="shared" si="44"/>
        <x:v>0.79</x:v>
      </x:c>
      <x:c r="T720" s="49" t="s">
        <x:v>1890</x:v>
      </x:c>
      <x:c r="U720" s="49"/>
      <x:c r="V720" s="49"/>
      <x:c r="W720" s="49" t="str">
        <x:f t="shared" si="45"/>
      </x:c>
      <x:c r="X720" s="49"/>
      <x:c r="Y720" s="49"/>
      <x:c r="Z720" s="49"/>
      <x:c r="AA720" s="49"/>
      <x:c r="AB720" s="49"/>
      <x:c r="AC720" s="49"/>
      <x:c r="AD720" s="49"/>
      <x:c r="AE720" s="49"/>
      <x:c r="AF720" s="49"/>
      <x:c r="AG720" s="49"/>
      <x:c r="AH720" s="49"/>
      <x:c r="AI720" s="49"/>
      <x:c r="AJ720" s="49"/>
      <x:c r="AK720" s="49"/>
      <x:c r="AL720" s="49"/>
      <x:c r="AM720" s="49"/>
      <x:c r="AN720" s="49"/>
      <x:c r="AO720" s="49"/>
      <x:c r="AP720" s="49"/>
      <x:c r="AQ720" s="49"/>
      <x:c r="AR720" s="49"/>
      <x:c r="AS720" s="49"/>
      <x:c r="AT720" s="49"/>
      <x:c r="AU720" s="49"/>
      <x:c r="AV720" s="49"/>
      <x:c r="AW720" s="49"/>
      <x:c r="AX720" s="49"/>
      <x:c r="AY720" s="49"/>
    </x:row>
    <x:row r="721" ht="22" customHeight="1">
      <x:c r="A721" s="49" t="s">
        <x:v>2775</x:v>
      </x:c>
      <x:c r="B721" s="49" t="s">
        <x:v>2851</x:v>
      </x:c>
      <x:c r="C721" s="49" t="s">
        <x:v>89</x:v>
      </x:c>
      <x:c r="D721" s="49" t="s">
        <x:v>116</x:v>
      </x:c>
      <x:c r="E721" s="49" t="s">
        <x:v>927</x:v>
      </x:c>
      <x:c r="F721" s="49" t="s">
        <x:v>2852</x:v>
      </x:c>
      <x:c r="G721" s="49">
        <x:v>0.89</x:v>
      </x:c>
      <x:c r="H721" s="49">
        <x:v>0.25</x:v>
      </x:c>
      <x:c r="I721" s="49">
        <x:v>0.87</x:v>
      </x:c>
      <x:c r="J721" s="49" t="s">
        <x:v>2853</x:v>
      </x:c>
      <x:c r="K721" s="49" t="s">
        <x:v>2547</x:v>
      </x:c>
      <x:c r="L721" s="49" t="s">
        <x:v>2854</x:v>
      </x:c>
      <x:c r="M721" s="49"/>
      <x:c r="N721" s="49" t="s">
        <x:v>1888</x:v>
      </x:c>
      <x:c r="O721" s="49" t="s">
        <x:v>161</x:v>
      </x:c>
      <x:c r="P721" s="49" t="s">
        <x:v>30</x:v>
      </x:c>
      <x:c r="Q721" s="49" t="s">
        <x:v>11</x:v>
      </x:c>
      <x:c r="R721" s="49">
        <x:v>0.82</x:v>
      </x:c>
      <x:c r="S721" s="49">
        <x:f t="shared" si="44"/>
        <x:v>0.82</x:v>
      </x:c>
      <x:c r="T721" s="49" t="s">
        <x:v>1890</x:v>
      </x:c>
      <x:c r="U721" s="49"/>
      <x:c r="V721" s="49"/>
      <x:c r="W721" s="49" t="str">
        <x:f t="shared" si="45"/>
      </x:c>
      <x:c r="X721" s="49"/>
      <x:c r="Y721" s="49"/>
      <x:c r="Z721" s="49"/>
      <x:c r="AA721" s="49"/>
      <x:c r="AB721" s="49"/>
      <x:c r="AC721" s="49"/>
      <x:c r="AD721" s="49"/>
      <x:c r="AE721" s="49"/>
      <x:c r="AF721" s="49"/>
      <x:c r="AG721" s="49"/>
      <x:c r="AH721" s="49"/>
      <x:c r="AI721" s="49"/>
      <x:c r="AJ721" s="49"/>
      <x:c r="AK721" s="49"/>
      <x:c r="AL721" s="49"/>
      <x:c r="AM721" s="49"/>
      <x:c r="AN721" s="49"/>
      <x:c r="AO721" s="49"/>
      <x:c r="AP721" s="49"/>
      <x:c r="AQ721" s="49"/>
      <x:c r="AR721" s="49"/>
      <x:c r="AS721" s="49"/>
      <x:c r="AT721" s="49"/>
      <x:c r="AU721" s="49"/>
      <x:c r="AV721" s="49"/>
      <x:c r="AW721" s="49"/>
      <x:c r="AX721" s="49"/>
      <x:c r="AY721" s="49"/>
    </x:row>
    <x:row r="722" ht="22" customHeight="1">
      <x:c r="A722" s="49" t="s">
        <x:v>2775</x:v>
      </x:c>
      <x:c r="B722" s="49" t="s">
        <x:v>2851</x:v>
      </x:c>
      <x:c r="C722" s="49" t="s">
        <x:v>89</x:v>
      </x:c>
      <x:c r="D722" s="49" t="s">
        <x:v>116</x:v>
      </x:c>
      <x:c r="E722" s="49" t="s">
        <x:v>927</x:v>
      </x:c>
      <x:c r="F722" s="49" t="s">
        <x:v>2855</x:v>
      </x:c>
      <x:c r="G722" s="49">
        <x:v>0.83</x:v>
      </x:c>
      <x:c r="H722" s="49">
        <x:v>0.25</x:v>
      </x:c>
      <x:c r="I722" s="49">
        <x:v>0.93</x:v>
      </x:c>
      <x:c r="J722" s="49" t="s">
        <x:v>636</x:v>
      </x:c>
      <x:c r="K722" s="49" t="s">
        <x:v>2547</x:v>
      </x:c>
      <x:c r="L722" s="49" t="s">
        <x:v>2856</x:v>
      </x:c>
      <x:c r="M722" s="49"/>
      <x:c r="N722" s="49" t="s">
        <x:v>1888</x:v>
      </x:c>
      <x:c r="O722" s="49" t="s">
        <x:v>126</x:v>
      </x:c>
      <x:c r="P722" s="49" t="s">
        <x:v>30</x:v>
      </x:c>
      <x:c r="Q722" s="49" t="s">
        <x:v>20</x:v>
      </x:c>
      <x:c r="R722" s="49">
        <x:v>0.8</x:v>
      </x:c>
      <x:c r="S722" s="49">
        <x:f t="shared" si="44"/>
        <x:v>-0.5</x:v>
      </x:c>
      <x:c r="T722" s="49" t="s">
        <x:v>1890</x:v>
      </x:c>
      <x:c r="U722" s="49"/>
      <x:c r="V722" s="49"/>
      <x:c r="W722" s="49" t="str">
        <x:f t="shared" si="45"/>
      </x:c>
      <x:c r="X722" s="49"/>
      <x:c r="Y722" s="49"/>
      <x:c r="Z722" s="49"/>
      <x:c r="AA722" s="49"/>
      <x:c r="AB722" s="49"/>
      <x:c r="AC722" s="49"/>
      <x:c r="AD722" s="49"/>
      <x:c r="AE722" s="49"/>
      <x:c r="AF722" s="49"/>
      <x:c r="AG722" s="49"/>
      <x:c r="AH722" s="49"/>
      <x:c r="AI722" s="49"/>
      <x:c r="AJ722" s="49"/>
      <x:c r="AK722" s="49"/>
      <x:c r="AL722" s="49"/>
      <x:c r="AM722" s="49"/>
      <x:c r="AN722" s="49"/>
      <x:c r="AO722" s="49"/>
      <x:c r="AP722" s="49"/>
      <x:c r="AQ722" s="49"/>
      <x:c r="AR722" s="49"/>
      <x:c r="AS722" s="49"/>
      <x:c r="AT722" s="49"/>
      <x:c r="AU722" s="49"/>
      <x:c r="AV722" s="49"/>
      <x:c r="AW722" s="49"/>
      <x:c r="AX722" s="49"/>
      <x:c r="AY722" s="49"/>
    </x:row>
    <x:row r="723" ht="22" customHeight="1">
      <x:c r="A723" s="49" t="s">
        <x:v>2775</x:v>
      </x:c>
      <x:c r="B723" s="49" t="s">
        <x:v>2857</x:v>
      </x:c>
      <x:c r="C723" s="49" t="s">
        <x:v>244</x:v>
      </x:c>
      <x:c r="D723" s="49" t="s">
        <x:v>116</x:v>
      </x:c>
      <x:c r="E723" s="49" t="s">
        <x:v>456</x:v>
      </x:c>
      <x:c r="F723" s="49" t="s">
        <x:v>2858</x:v>
      </x:c>
      <x:c r="G723" s="49">
        <x:v>0.8</x:v>
      </x:c>
      <x:c r="H723" s="49">
        <x:v>0.75</x:v>
      </x:c>
      <x:c r="I723" s="49">
        <x:v>0.9</x:v>
      </x:c>
      <x:c r="J723" s="49" t="s">
        <x:v>2646</x:v>
      </x:c>
      <x:c r="K723" s="49" t="s">
        <x:v>2547</x:v>
      </x:c>
      <x:c r="L723" s="49" t="s">
        <x:v>2859</x:v>
      </x:c>
      <x:c r="M723" s="49"/>
      <x:c r="N723" s="49" t="s">
        <x:v>1888</x:v>
      </x:c>
      <x:c r="O723" s="49" t="s">
        <x:v>149</x:v>
      </x:c>
      <x:c r="P723" s="49" t="s">
        <x:v>30</x:v>
      </x:c>
      <x:c r="Q723" s="49" t="s">
        <x:v>11</x:v>
      </x:c>
      <x:c r="R723" s="49">
        <x:v>0.9</x:v>
      </x:c>
      <x:c r="S723" s="49">
        <x:f t="shared" si="44"/>
        <x:v>0.9</x:v>
      </x:c>
      <x:c r="T723" s="49" t="s">
        <x:v>1890</x:v>
      </x:c>
      <x:c r="U723" s="49"/>
      <x:c r="V723" s="49"/>
      <x:c r="W723" s="49" t="str">
        <x:f t="shared" si="45"/>
      </x:c>
      <x:c r="X723" s="49"/>
      <x:c r="Y723" s="49"/>
      <x:c r="Z723" s="49"/>
      <x:c r="AA723" s="49"/>
      <x:c r="AB723" s="49"/>
      <x:c r="AC723" s="49"/>
      <x:c r="AD723" s="49"/>
      <x:c r="AE723" s="49"/>
      <x:c r="AF723" s="49"/>
      <x:c r="AG723" s="49"/>
      <x:c r="AH723" s="49"/>
      <x:c r="AI723" s="49"/>
      <x:c r="AJ723" s="49"/>
      <x:c r="AK723" s="49"/>
      <x:c r="AL723" s="49"/>
      <x:c r="AM723" s="49"/>
      <x:c r="AN723" s="49"/>
      <x:c r="AO723" s="49"/>
      <x:c r="AP723" s="49"/>
      <x:c r="AQ723" s="49"/>
      <x:c r="AR723" s="49"/>
      <x:c r="AS723" s="49"/>
      <x:c r="AT723" s="49"/>
      <x:c r="AU723" s="49"/>
      <x:c r="AV723" s="49"/>
      <x:c r="AW723" s="49"/>
      <x:c r="AX723" s="49"/>
      <x:c r="AY723" s="49"/>
    </x:row>
    <x:row r="724" ht="22" customHeight="1">
      <x:c r="A724" s="49" t="s">
        <x:v>2775</x:v>
      </x:c>
      <x:c r="B724" s="49" t="s">
        <x:v>2857</x:v>
      </x:c>
      <x:c r="C724" s="49" t="s">
        <x:v>447</x:v>
      </x:c>
      <x:c r="D724" s="49" t="s">
        <x:v>116</x:v>
      </x:c>
      <x:c r="E724" s="49" t="s">
        <x:v>1006</x:v>
      </x:c>
      <x:c r="F724" s="49" t="s">
        <x:v>2860</x:v>
      </x:c>
      <x:c r="G724" s="49">
        <x:v>1</x:v>
      </x:c>
      <x:c r="H724" s="49">
        <x:v>0</x:v>
      </x:c>
      <x:c r="I724" s="49">
        <x:v>0.88</x:v>
      </x:c>
      <x:c r="J724" s="49" t="s">
        <x:v>2861</x:v>
      </x:c>
      <x:c r="K724" s="49" t="s">
        <x:v>2547</x:v>
      </x:c>
      <x:c r="L724" s="49" t="s">
        <x:v>2862</x:v>
      </x:c>
      <x:c r="M724" s="49"/>
      <x:c r="N724" s="49" t="s">
        <x:v>1888</x:v>
      </x:c>
      <x:c r="O724" s="49" t="s">
        <x:v>126</x:v>
      </x:c>
      <x:c r="P724" s="49" t="s">
        <x:v>30</x:v>
      </x:c>
      <x:c r="Q724" s="49" t="s">
        <x:v>17</x:v>
      </x:c>
      <x:c r="R724" s="49">
        <x:v>1.03</x:v>
      </x:c>
      <x:c r="S724" s="49">
        <x:f t="shared" si="44"/>
        <x:v>0</x:v>
      </x:c>
      <x:c r="T724" s="49" t="s">
        <x:v>1890</x:v>
      </x:c>
      <x:c r="U724" s="49"/>
      <x:c r="V724" s="49"/>
      <x:c r="W724" s="49" t="str">
        <x:f t="shared" si="45"/>
      </x:c>
      <x:c r="X724" s="49"/>
      <x:c r="Y724" s="49"/>
      <x:c r="Z724" s="49"/>
      <x:c r="AA724" s="49"/>
      <x:c r="AB724" s="49"/>
      <x:c r="AC724" s="49"/>
      <x:c r="AD724" s="49"/>
      <x:c r="AE724" s="49"/>
      <x:c r="AF724" s="49"/>
      <x:c r="AG724" s="49"/>
      <x:c r="AH724" s="49"/>
      <x:c r="AI724" s="49"/>
      <x:c r="AJ724" s="49"/>
      <x:c r="AK724" s="49"/>
      <x:c r="AL724" s="49"/>
      <x:c r="AM724" s="49"/>
      <x:c r="AN724" s="49"/>
      <x:c r="AO724" s="49"/>
      <x:c r="AP724" s="49"/>
      <x:c r="AQ724" s="49"/>
      <x:c r="AR724" s="49"/>
      <x:c r="AS724" s="49"/>
      <x:c r="AT724" s="49"/>
      <x:c r="AU724" s="49"/>
      <x:c r="AV724" s="49"/>
      <x:c r="AW724" s="49"/>
      <x:c r="AX724" s="49"/>
      <x:c r="AY724" s="49"/>
    </x:row>
    <x:row r="725" ht="22" customHeight="1">
      <x:c r="A725" s="49" t="s">
        <x:v>2775</x:v>
      </x:c>
      <x:c r="B725" s="49" t="s">
        <x:v>2863</x:v>
      </x:c>
      <x:c r="C725" s="49" t="s">
        <x:v>447</x:v>
      </x:c>
      <x:c r="D725" s="49" t="s">
        <x:v>116</x:v>
      </x:c>
      <x:c r="E725" s="49" t="s">
        <x:v>2606</x:v>
      </x:c>
      <x:c r="F725" s="49" t="s">
        <x:v>2864</x:v>
      </x:c>
      <x:c r="G725" s="49">
        <x:v>1</x:v>
      </x:c>
      <x:c r="H725" s="49">
        <x:v>-0.25</x:v>
      </x:c>
      <x:c r="I725" s="49">
        <x:v>0.82</x:v>
      </x:c>
      <x:c r="J725" s="49" t="s">
        <x:v>2865</x:v>
      </x:c>
      <x:c r="K725" s="49" t="s">
        <x:v>2547</x:v>
      </x:c>
      <x:c r="L725" s="49" t="s">
        <x:v>2866</x:v>
      </x:c>
      <x:c r="M725" s="49"/>
      <x:c r="N725" s="49" t="s">
        <x:v>1888</x:v>
      </x:c>
      <x:c r="O725" s="49" t="s">
        <x:v>191</x:v>
      </x:c>
      <x:c r="P725" s="49" t="s">
        <x:v>30</x:v>
      </x:c>
      <x:c r="Q725" s="49" t="s">
        <x:v>23</x:v>
      </x:c>
      <x:c r="R725" s="49">
        <x:v>1</x:v>
      </x:c>
      <x:c r="S725" s="49">
        <x:f t="shared" si="44"/>
        <x:v>-1</x:v>
      </x:c>
      <x:c r="T725" s="49" t="s">
        <x:v>1890</x:v>
      </x:c>
      <x:c r="U725" s="49"/>
      <x:c r="V725" s="49"/>
      <x:c r="W725" s="49" t="str">
        <x:f t="shared" si="45"/>
      </x:c>
      <x:c r="X725" s="49"/>
      <x:c r="Y725" s="49"/>
      <x:c r="Z725" s="49"/>
      <x:c r="AA725" s="49"/>
      <x:c r="AB725" s="49"/>
      <x:c r="AC725" s="49"/>
      <x:c r="AD725" s="49"/>
      <x:c r="AE725" s="49"/>
      <x:c r="AF725" s="49"/>
      <x:c r="AG725" s="49"/>
      <x:c r="AH725" s="49"/>
      <x:c r="AI725" s="49"/>
      <x:c r="AJ725" s="49"/>
      <x:c r="AK725" s="49"/>
      <x:c r="AL725" s="49"/>
      <x:c r="AM725" s="49"/>
      <x:c r="AN725" s="49"/>
      <x:c r="AO725" s="49"/>
      <x:c r="AP725" s="49"/>
      <x:c r="AQ725" s="49"/>
      <x:c r="AR725" s="49"/>
      <x:c r="AS725" s="49"/>
      <x:c r="AT725" s="49"/>
      <x:c r="AU725" s="49"/>
      <x:c r="AV725" s="49"/>
      <x:c r="AW725" s="49"/>
      <x:c r="AX725" s="49"/>
      <x:c r="AY725" s="49"/>
    </x:row>
    <x:row r="726" ht="22" customHeight="1">
      <x:c r="A726" s="49" t="s">
        <x:v>2775</x:v>
      </x:c>
      <x:c r="B726" s="49" t="s">
        <x:v>2867</x:v>
      </x:c>
      <x:c r="C726" s="49" t="s">
        <x:v>447</x:v>
      </x:c>
      <x:c r="D726" s="49" t="s">
        <x:v>116</x:v>
      </x:c>
      <x:c r="E726" s="49" t="s">
        <x:v>2606</x:v>
      </x:c>
      <x:c r="F726" s="49" t="s">
        <x:v>2868</x:v>
      </x:c>
      <x:c r="G726" s="49">
        <x:v>0.85</x:v>
      </x:c>
      <x:c r="H726" s="49">
        <x:v>0.25</x:v>
      </x:c>
      <x:c r="I726" s="49">
        <x:v>0.97</x:v>
      </x:c>
      <x:c r="J726" s="49" t="s">
        <x:v>2869</x:v>
      </x:c>
      <x:c r="K726" s="49" t="s">
        <x:v>2547</x:v>
      </x:c>
      <x:c r="L726" s="49" t="s">
        <x:v>2870</x:v>
      </x:c>
      <x:c r="M726" s="49"/>
      <x:c r="N726" s="49" t="s">
        <x:v>1888</x:v>
      </x:c>
      <x:c r="O726" s="49" t="s">
        <x:v>149</x:v>
      </x:c>
      <x:c r="P726" s="49" t="s">
        <x:v>30</x:v>
      </x:c>
      <x:c r="Q726" s="49" t="s">
        <x:v>14</x:v>
      </x:c>
      <x:c r="R726" s="49">
        <x:v>1</x:v>
      </x:c>
      <x:c r="S726" s="49">
        <x:f t="shared" si="44"/>
        <x:v>0.5</x:v>
      </x:c>
      <x:c r="T726" s="49" t="s">
        <x:v>1890</x:v>
      </x:c>
      <x:c r="U726" s="49"/>
      <x:c r="V726" s="49"/>
      <x:c r="W726" s="49" t="str">
        <x:f t="shared" si="45"/>
      </x:c>
      <x:c r="X726" s="49"/>
      <x:c r="Y726" s="49"/>
      <x:c r="Z726" s="49"/>
      <x:c r="AA726" s="49"/>
      <x:c r="AB726" s="49"/>
      <x:c r="AC726" s="49"/>
      <x:c r="AD726" s="49"/>
      <x:c r="AE726" s="49"/>
      <x:c r="AF726" s="49"/>
      <x:c r="AG726" s="49"/>
      <x:c r="AH726" s="49"/>
      <x:c r="AI726" s="49"/>
      <x:c r="AJ726" s="49"/>
      <x:c r="AK726" s="49"/>
      <x:c r="AL726" s="49"/>
      <x:c r="AM726" s="49"/>
      <x:c r="AN726" s="49"/>
      <x:c r="AO726" s="49"/>
      <x:c r="AP726" s="49"/>
      <x:c r="AQ726" s="49"/>
      <x:c r="AR726" s="49"/>
      <x:c r="AS726" s="49"/>
      <x:c r="AT726" s="49"/>
      <x:c r="AU726" s="49"/>
      <x:c r="AV726" s="49"/>
      <x:c r="AW726" s="49"/>
      <x:c r="AX726" s="49"/>
      <x:c r="AY726" s="49"/>
    </x:row>
    <x:row r="727" ht="22" customHeight="1">
      <x:c r="A727" s="49" t="s">
        <x:v>33</x:v>
      </x:c>
      <x:c r="B727" s="49" t="s">
        <x:v>2871</x:v>
      </x:c>
      <x:c r="C727" s="49" t="s">
        <x:v>244</x:v>
      </x:c>
      <x:c r="D727" s="49" t="s">
        <x:v>90</x:v>
      </x:c>
      <x:c r="E727" s="49" t="s">
        <x:v>2650</x:v>
      </x:c>
      <x:c r="F727" s="49" t="s">
        <x:v>2872</x:v>
      </x:c>
      <x:c r="G727" s="60">
        <x:v>0.8</x:v>
      </x:c>
      <x:c r="H727" s="60">
        <x:v>-1.75</x:v>
      </x:c>
      <x:c r="I727" s="60">
        <x:v>1.02</x:v>
      </x:c>
      <x:c r="J727" s="49" t="s">
        <x:v>2873</x:v>
      </x:c>
      <x:c r="K727" s="49" t="s">
        <x:v>106</x:v>
      </x:c>
      <x:c r="L727" s="49" t="s">
        <x:v>2874</x:v>
      </x:c>
      <x:c r="M727" s="61">
        <x:v>0.592</x:v>
      </x:c>
      <x:c r="N727" s="49" t="s">
        <x:v>2875</x:v>
      </x:c>
      <x:c r="O727" s="49" t="s">
        <x:v>273</x:v>
      </x:c>
      <x:c r="P727" s="49" t="s">
        <x:v>30</x:v>
      </x:c>
      <x:c r="Q727" s="49" t="s">
        <x:v>23</x:v>
      </x:c>
      <x:c r="R727" s="50">
        <x:v>0.8</x:v>
      </x:c>
      <x:c r="S727" s="50">
        <x:f t="shared" si="44"/>
        <x:v>-1</x:v>
      </x:c>
      <x:c r="T727" s="49" t="s">
        <x:v>2876</x:v>
      </x:c>
      <x:c r="U727" s="49" t="str">
        <x:f t="shared" ref="U727:U736" si="46">IF(Q727="","",IF(Q727="待结算","待结算",IF(Q727="红","黑",IF(Q727="半红","半黑",IF(Q727="走","走",IF(Q727="半黑","半红","红"))))))</x:f>
        <x:v>红</x:v>
      </x:c>
      <x:c r="V727" s="50" t="n">
        <x:f t="shared" ref="V727:V736" si="47">IF(OR(Q727="",Q727="待结算"),"",IF(L727=LEFT(F727,FIND(" vs ",F727)-1),I727,G727))</x:f>
        <x:v>1.02</x:v>
      </x:c>
      <x:c r="W727" s="50">
        <x:f t="shared" si="45"/>
        <x:v>1.02</x:v>
      </x:c>
      <x:c r="X727" s="49">
        <x:v>0.85</x:v>
      </x:c>
      <x:c r="Y727" s="49">
        <x:v>1.75</x:v>
      </x:c>
      <x:c r="Z727" s="49">
        <x:v>0.91</x:v>
      </x:c>
      <x:c r="AA727" s="49">
        <x:v>-1.75</x:v>
      </x:c>
      <x:c r="AB727" s="49">
        <x:v>0.85</x:v>
      </x:c>
      <x:c r="AC727" s="49">
        <x:v>0.8</x:v>
      </x:c>
      <x:c r="AD727" s="49">
        <x:v>1.17</x:v>
      </x:c>
      <x:c r="AE727" s="49">
        <x:v>5.8</x:v>
      </x:c>
      <x:c r="AF727" s="49">
        <x:v>10.5</x:v>
      </x:c>
      <x:c r="AG727" s="49">
        <x:v>0.122352743042399</x:v>
      </x:c>
      <x:c r="AH727" s="49"/>
      <x:c r="AI727" s="49">
        <x:v>0.761526053194283</x:v>
      </x:c>
      <x:c r="AJ727" s="49">
        <x:v>0.15361818659264</x:v>
      </x:c>
      <x:c r="AK727" s="49">
        <x:v>0.0848557602130772</x:v>
      </x:c>
      <x:c r="AL727" s="49"/>
      <x:c r="AM727" s="49"/>
      <x:c r="AN727" s="49"/>
      <x:c r="AO727" s="49"/>
      <x:c r="AP727" s="49">
        <x:v>-1.75</x:v>
      </x:c>
      <x:c r="AQ727" s="49"/>
      <x:c r="AR727" s="49"/>
      <x:c r="AS727" s="49">
        <x:v>1.18</x:v>
      </x:c>
      <x:c r="AT727" s="49">
        <x:v>5.6</x:v>
      </x:c>
      <x:c r="AU727" s="49">
        <x:v>10.5</x:v>
      </x:c>
      <x:c r="AV727" s="49" t="s">
        <x:v>2876</x:v>
      </x:c>
      <x:c r="AW727" s="49" t="s">
        <x:v>2877</x:v>
      </x:c>
      <x:c r="AX727" s="49"/>
      <x:c r="AY727" s="49"/>
    </x:row>
    <x:row r="728" ht="22" customHeight="1">
      <x:c r="A728" s="49" t="s">
        <x:v>33</x:v>
      </x:c>
      <x:c r="B728" s="49" t="s">
        <x:v>2878</x:v>
      </x:c>
      <x:c r="C728" s="49" t="s">
        <x:v>244</x:v>
      </x:c>
      <x:c r="D728" s="49" t="s">
        <x:v>90</x:v>
      </x:c>
      <x:c r="E728" s="49" t="s">
        <x:v>245</x:v>
      </x:c>
      <x:c r="F728" s="49" t="s">
        <x:v>2879</x:v>
      </x:c>
      <x:c r="G728" s="60">
        <x:v>0.9</x:v>
      </x:c>
      <x:c r="H728" s="60">
        <x:v>1.5</x:v>
      </x:c>
      <x:c r="I728" s="60">
        <x:v>0.92</x:v>
      </x:c>
      <x:c r="J728" s="49" t="s">
        <x:v>2880</x:v>
      </x:c>
      <x:c r="K728" s="49" t="s">
        <x:v>132</x:v>
      </x:c>
      <x:c r="L728" s="49" t="s">
        <x:v>2881</x:v>
      </x:c>
      <x:c r="M728" s="61">
        <x:v>0.551</x:v>
      </x:c>
      <x:c r="N728" s="49" t="s">
        <x:v>2875</x:v>
      </x:c>
      <x:c r="O728" s="49" t="s">
        <x:v>191</x:v>
      </x:c>
      <x:c r="P728" s="49" t="s">
        <x:v>30</x:v>
      </x:c>
      <x:c r="Q728" s="49" t="s">
        <x:v>11</x:v>
      </x:c>
      <x:c r="R728" s="50">
        <x:v>0.9</x:v>
      </x:c>
      <x:c r="S728" s="50">
        <x:f t="shared" si="44"/>
        <x:v>0.9</x:v>
      </x:c>
      <x:c r="T728" s="49" t="s">
        <x:v>2882</x:v>
      </x:c>
      <x:c r="U728" s="49" t="str">
        <x:f t="shared" si="46"/>
        <x:v>黑</x:v>
      </x:c>
      <x:c r="V728" s="50">
        <x:f t="shared" si="47"/>
        <x:v>0.92</x:v>
      </x:c>
      <x:c r="W728" s="50">
        <x:f t="shared" si="45"/>
        <x:v>-1</x:v>
      </x:c>
      <x:c r="X728" s="49">
        <x:v>0.87</x:v>
      </x:c>
      <x:c r="Y728" s="49">
        <x:v>-1.75</x:v>
      </x:c>
      <x:c r="Z728" s="49">
        <x:v>0.95</x:v>
      </x:c>
      <x:c r="AA728" s="49">
        <x:v>1.75</x:v>
      </x:c>
      <x:c r="AB728" s="49">
        <x:v>0.87</x:v>
      </x:c>
      <x:c r="AC728" s="49">
        <x:v>0.9</x:v>
      </x:c>
      <x:c r="AD728" s="49">
        <x:v>7.6</x:v>
      </x:c>
      <x:c r="AE728" s="49">
        <x:v>5.2</x:v>
      </x:c>
      <x:c r="AF728" s="49">
        <x:v>1.32</x:v>
      </x:c>
      <x:c r="AG728" s="49">
        <x:v>0.0814623972518709</x:v>
      </x:c>
      <x:c r="AH728" s="49"/>
      <x:c r="AI728" s="49">
        <x:v>0.121667612024957</x:v>
      </x:c>
      <x:c r="AJ728" s="49">
        <x:v>0.177821894498015</x:v>
      </x:c>
      <x:c r="AK728" s="49">
        <x:v>0.700510493477028</x:v>
      </x:c>
      <x:c r="AL728" s="49"/>
      <x:c r="AM728" s="49"/>
      <x:c r="AN728" s="49"/>
      <x:c r="AO728" s="49"/>
      <x:c r="AP728" s="49">
        <x:v>1.5</x:v>
      </x:c>
      <x:c r="AQ728" s="49"/>
      <x:c r="AR728" s="49"/>
      <x:c r="AS728" s="49">
        <x:v>9.1</x:v>
      </x:c>
      <x:c r="AT728" s="49">
        <x:v>5.8</x:v>
      </x:c>
      <x:c r="AU728" s="49">
        <x:v>1.25</x:v>
      </x:c>
      <x:c r="AV728" s="49" t="s">
        <x:v>2882</x:v>
      </x:c>
      <x:c r="AW728" s="49" t="s">
        <x:v>2877</x:v>
      </x:c>
      <x:c r="AX728" s="49"/>
      <x:c r="AY728" s="49"/>
    </x:row>
    <x:row r="729" ht="22" customHeight="1">
      <x:c r="A729" s="49" t="s">
        <x:v>33</x:v>
      </x:c>
      <x:c r="B729" s="49" t="s">
        <x:v>2878</x:v>
      </x:c>
      <x:c r="C729" s="49" t="s">
        <x:v>244</x:v>
      </x:c>
      <x:c r="D729" s="49" t="s">
        <x:v>90</x:v>
      </x:c>
      <x:c r="E729" s="49" t="s">
        <x:v>245</x:v>
      </x:c>
      <x:c r="F729" s="49" t="s">
        <x:v>2883</x:v>
      </x:c>
      <x:c r="G729" s="60">
        <x:v>1.02</x:v>
      </x:c>
      <x:c r="H729" s="60">
        <x:v>0.5</x:v>
      </x:c>
      <x:c r="I729" s="60">
        <x:v>0.8</x:v>
      </x:c>
      <x:c r="J729" s="49" t="s">
        <x:v>2884</x:v>
      </x:c>
      <x:c r="K729" s="49" t="s">
        <x:v>106</x:v>
      </x:c>
      <x:c r="L729" s="49" t="s">
        <x:v>266</x:v>
      </x:c>
      <x:c r="M729" s="61">
        <x:v>0.592</x:v>
      </x:c>
      <x:c r="N729" s="49" t="s">
        <x:v>2875</x:v>
      </x:c>
      <x:c r="O729" s="49" t="s">
        <x:v>114</x:v>
      </x:c>
      <x:c r="P729" s="49" t="s">
        <x:v>30</x:v>
      </x:c>
      <x:c r="Q729" s="49" t="s">
        <x:v>11</x:v>
      </x:c>
      <x:c r="R729" s="50">
        <x:v>0.8</x:v>
      </x:c>
      <x:c r="S729" s="50">
        <x:f t="shared" si="44"/>
        <x:v>0.8</x:v>
      </x:c>
      <x:c r="T729" s="49" t="s">
        <x:v>2885</x:v>
      </x:c>
      <x:c r="U729" s="49" t="str">
        <x:f t="shared" si="46"/>
        <x:v>黑</x:v>
      </x:c>
      <x:c r="V729" s="50">
        <x:f t="shared" si="47"/>
        <x:v>1.02</x:v>
      </x:c>
      <x:c r="W729" s="50">
        <x:f t="shared" si="45"/>
        <x:v>-1</x:v>
      </x:c>
      <x:c r="X729" s="49">
        <x:v>0.96</x:v>
      </x:c>
      <x:c r="Y729" s="49">
        <x:v>-0.5</x:v>
      </x:c>
      <x:c r="Z729" s="49">
        <x:v>0.86</x:v>
      </x:c>
      <x:c r="AA729" s="49">
        <x:v>-0.5</x:v>
      </x:c>
      <x:c r="AB729" s="49">
        <x:v>0.86</x:v>
      </x:c>
      <x:c r="AC729" s="49">
        <x:v>0.8</x:v>
      </x:c>
      <x:c r="AD729" s="49">
        <x:v>3.9</x:v>
      </x:c>
      <x:c r="AE729" s="49">
        <x:v>3.75</x:v>
      </x:c>
      <x:c r="AF729" s="49">
        <x:v>1.8</x:v>
      </x:c>
      <x:c r="AG729" s="49">
        <x:v>0.0786324786324788</x:v>
      </x:c>
      <x:c r="AH729" s="49"/>
      <x:c r="AI729" s="49">
        <x:v>0.237717908082409</x:v>
      </x:c>
      <x:c r="AJ729" s="49">
        <x:v>0.247226624405705</x:v>
      </x:c>
      <x:c r="AK729" s="49">
        <x:v>0.515055467511886</x:v>
      </x:c>
      <x:c r="AL729" s="49"/>
      <x:c r="AM729" s="49"/>
      <x:c r="AN729" s="49"/>
      <x:c r="AO729" s="49"/>
      <x:c r="AP729" s="49">
        <x:v>-0.5</x:v>
      </x:c>
      <x:c r="AQ729" s="49"/>
      <x:c r="AR729" s="49"/>
      <x:c r="AS729" s="49">
        <x:v>3.65</x:v>
      </x:c>
      <x:c r="AT729" s="49">
        <x:v>3.7</x:v>
      </x:c>
      <x:c r="AU729" s="49">
        <x:v>1.86</x:v>
      </x:c>
      <x:c r="AV729" s="49" t="s">
        <x:v>2885</x:v>
      </x:c>
      <x:c r="AW729" s="49" t="s">
        <x:v>2877</x:v>
      </x:c>
      <x:c r="AX729" s="49"/>
      <x:c r="AY729" s="49"/>
    </x:row>
    <x:row r="730" ht="22" customHeight="1">
      <x:c r="A730" s="49" t="s">
        <x:v>33</x:v>
      </x:c>
      <x:c r="B730" s="49" t="s">
        <x:v>2886</x:v>
      </x:c>
      <x:c r="C730" s="49" t="s">
        <x:v>244</x:v>
      </x:c>
      <x:c r="D730" s="49" t="s">
        <x:v>90</x:v>
      </x:c>
      <x:c r="E730" s="49" t="s">
        <x:v>2625</x:v>
      </x:c>
      <x:c r="F730" s="49" t="s">
        <x:v>2887</x:v>
      </x:c>
      <x:c r="G730" s="60">
        <x:v>0.97</x:v>
      </x:c>
      <x:c r="H730" s="60">
        <x:v>1.75</x:v>
      </x:c>
      <x:c r="I730" s="60">
        <x:v>0.85</x:v>
      </x:c>
      <x:c r="J730" s="49" t="s">
        <x:v>2888</x:v>
      </x:c>
      <x:c r="K730" s="49" t="s">
        <x:v>544</x:v>
      </x:c>
      <x:c r="L730" s="49" t="s">
        <x:v>2687</x:v>
      </x:c>
      <x:c r="M730" s="61">
        <x:v>0.592</x:v>
      </x:c>
      <x:c r="N730" s="49" t="s">
        <x:v>2875</x:v>
      </x:c>
      <x:c r="O730" s="49" t="s">
        <x:v>367</x:v>
      </x:c>
      <x:c r="P730" s="49" t="s">
        <x:v>30</x:v>
      </x:c>
      <x:c r="Q730" s="49" t="s">
        <x:v>11</x:v>
      </x:c>
      <x:c r="R730" s="50">
        <x:v>0.81</x:v>
      </x:c>
      <x:c r="S730" s="50">
        <x:f t="shared" si="44"/>
        <x:v>0.81</x:v>
      </x:c>
      <x:c r="T730" s="49" t="s">
        <x:v>2889</x:v>
      </x:c>
      <x:c r="U730" s="49" t="str">
        <x:f t="shared" si="46"/>
        <x:v>黑</x:v>
      </x:c>
      <x:c r="V730" s="50">
        <x:f t="shared" si="47"/>
        <x:v>0.97</x:v>
      </x:c>
      <x:c r="W730" s="50">
        <x:f t="shared" si="45"/>
        <x:v>-1</x:v>
      </x:c>
      <x:c r="X730" s="49">
        <x:v>0.95</x:v>
      </x:c>
      <x:c r="Y730" s="49">
        <x:v>-1.75</x:v>
      </x:c>
      <x:c r="Z730" s="49">
        <x:v>0.75</x:v>
      </x:c>
      <x:c r="AA730" s="49">
        <x:v>-1.75</x:v>
      </x:c>
      <x:c r="AB730" s="49">
        <x:v>0.75</x:v>
      </x:c>
      <x:c r="AC730" s="49">
        <x:v>0.81</x:v>
      </x:c>
      <x:c r="AD730" s="49">
        <x:v>12.5</x:v>
      </x:c>
      <x:c r="AE730" s="49">
        <x:v>5.8</x:v>
      </x:c>
      <x:c r="AF730" s="49">
        <x:v>1.15</x:v>
      </x:c>
      <x:c r="AG730" s="49">
        <x:v>0.121979010494753</x:v>
      </x:c>
      <x:c r="AH730" s="49"/>
      <x:c r="AI730" s="49">
        <x:v>0.0713025816451975</x:v>
      </x:c>
      <x:c r="AJ730" s="49">
        <x:v>0.15366935699396</x:v>
      </x:c>
      <x:c r="AK730" s="49">
        <x:v>0.775028061360842</x:v>
      </x:c>
      <x:c r="AL730" s="49"/>
      <x:c r="AM730" s="49"/>
      <x:c r="AN730" s="49"/>
      <x:c r="AO730" s="49"/>
      <x:c r="AP730" s="49">
        <x:v>-1.75</x:v>
      </x:c>
      <x:c r="AQ730" s="49"/>
      <x:c r="AR730" s="49"/>
      <x:c r="AS730" s="49">
        <x:v>11.5</x:v>
      </x:c>
      <x:c r="AT730" s="49">
        <x:v>5.5</x:v>
      </x:c>
      <x:c r="AU730" s="49">
        <x:v>1.13</x:v>
      </x:c>
      <x:c r="AV730" s="49" t="s">
        <x:v>2889</x:v>
      </x:c>
      <x:c r="AW730" s="49" t="s">
        <x:v>2877</x:v>
      </x:c>
      <x:c r="AX730" s="49"/>
      <x:c r="AY730" s="49"/>
    </x:row>
    <x:row r="731" ht="22" customHeight="1">
      <x:c r="A731" s="49" t="s">
        <x:v>33</x:v>
      </x:c>
      <x:c r="B731" s="49" t="s">
        <x:v>2886</x:v>
      </x:c>
      <x:c r="C731" s="49" t="s">
        <x:v>244</x:v>
      </x:c>
      <x:c r="D731" s="49" t="s">
        <x:v>90</x:v>
      </x:c>
      <x:c r="E731" s="49" t="s">
        <x:v>2625</x:v>
      </x:c>
      <x:c r="F731" s="49" t="s">
        <x:v>2890</x:v>
      </x:c>
      <x:c r="G731" s="60">
        <x:v>1.05</x:v>
      </x:c>
      <x:c r="H731" s="60">
        <x:v>1.25</x:v>
      </x:c>
      <x:c r="I731" s="60">
        <x:v>0.77</x:v>
      </x:c>
      <x:c r="J731" s="49" t="s">
        <x:v>2891</x:v>
      </x:c>
      <x:c r="K731" s="49" t="s">
        <x:v>106</x:v>
      </x:c>
      <x:c r="L731" s="49" t="s">
        <x:v>2892</x:v>
      </x:c>
      <x:c r="M731" s="61">
        <x:v>0.592</x:v>
      </x:c>
      <x:c r="N731" s="49" t="s">
        <x:v>2875</x:v>
      </x:c>
      <x:c r="O731" s="49" t="s">
        <x:v>191</x:v>
      </x:c>
      <x:c r="P731" s="49" t="s">
        <x:v>30</x:v>
      </x:c>
      <x:c r="Q731" s="49" t="s">
        <x:v>20</x:v>
      </x:c>
      <x:c r="R731" s="50">
        <x:v>0.82</x:v>
      </x:c>
      <x:c r="S731" s="50">
        <x:f t="shared" si="44"/>
        <x:v>-0.5</x:v>
      </x:c>
      <x:c r="T731" s="49" t="s">
        <x:v>2893</x:v>
      </x:c>
      <x:c r="U731" s="49" t="str">
        <x:f t="shared" si="46"/>
        <x:v>半红</x:v>
      </x:c>
      <x:c r="V731" s="50">
        <x:f t="shared" si="47"/>
        <x:v>1.05</x:v>
      </x:c>
      <x:c r="W731" s="50">
        <x:f t="shared" si="45"/>
        <x:v>0.525</x:v>
      </x:c>
      <x:c r="X731" s="49">
        <x:v>0.95</x:v>
      </x:c>
      <x:c r="Y731" s="49">
        <x:v>-1</x:v>
      </x:c>
      <x:c r="Z731" s="49">
        <x:v>0.75</x:v>
      </x:c>
      <x:c r="AA731" s="49">
        <x:v>-1</x:v>
      </x:c>
      <x:c r="AB731" s="49">
        <x:v>0.75</x:v>
      </x:c>
      <x:c r="AC731" s="49">
        <x:v>0.82</x:v>
      </x:c>
      <x:c r="AD731" s="49">
        <x:v>8.1</x:v>
      </x:c>
      <x:c r="AE731" s="49">
        <x:v>4.55</x:v>
      </x:c>
      <x:c r="AF731" s="49">
        <x:v>1.29</x:v>
      </x:c>
      <x:c r="AG731" s="49">
        <x:v>0.118430808353289</x:v>
      </x:c>
      <x:c r="AH731" s="49"/>
      <x:c r="AI731" s="49">
        <x:v>0.11038393184575</x:v>
      </x:c>
      <x:c r="AJ731" s="49">
        <x:v>0.196507658890237</x:v>
      </x:c>
      <x:c r="AK731" s="49">
        <x:v>0.693108409264013</x:v>
      </x:c>
      <x:c r="AL731" s="49"/>
      <x:c r="AM731" s="49"/>
      <x:c r="AN731" s="49"/>
      <x:c r="AO731" s="49"/>
      <x:c r="AP731" s="49">
        <x:v>-1.25</x:v>
      </x:c>
      <x:c r="AQ731" s="49"/>
      <x:c r="AR731" s="49"/>
      <x:c r="AS731" s="49">
        <x:v>5.3</x:v>
      </x:c>
      <x:c r="AT731" s="49">
        <x:v>3.9</x:v>
      </x:c>
      <x:c r="AU731" s="49">
        <x:v>1.41</x:v>
      </x:c>
      <x:c r="AV731" s="49" t="s">
        <x:v>2893</x:v>
      </x:c>
      <x:c r="AW731" s="49" t="s">
        <x:v>2877</x:v>
      </x:c>
      <x:c r="AX731" s="49"/>
      <x:c r="AY731" s="49"/>
    </x:row>
    <x:row r="732" ht="22" customHeight="1">
      <x:c r="A732" s="49" t="s">
        <x:v>33</x:v>
      </x:c>
      <x:c r="B732" s="49" t="s">
        <x:v>2894</x:v>
      </x:c>
      <x:c r="C732" s="49" t="s">
        <x:v>244</x:v>
      </x:c>
      <x:c r="D732" s="49" t="s">
        <x:v>90</x:v>
      </x:c>
      <x:c r="E732" s="49" t="s">
        <x:v>2625</x:v>
      </x:c>
      <x:c r="F732" s="49" t="s">
        <x:v>2895</x:v>
      </x:c>
      <x:c r="G732" s="60">
        <x:v>1.06</x:v>
      </x:c>
      <x:c r="H732" s="60">
        <x:v>-1.25</x:v>
      </x:c>
      <x:c r="I732" s="60">
        <x:v>0.76</x:v>
      </x:c>
      <x:c r="J732" s="49" t="s">
        <x:v>2896</x:v>
      </x:c>
      <x:c r="K732" s="49" t="s">
        <x:v>189</x:v>
      </x:c>
      <x:c r="L732" s="49" t="s">
        <x:v>2897</x:v>
      </x:c>
      <x:c r="M732" s="61">
        <x:v>0.592</x:v>
      </x:c>
      <x:c r="N732" s="49" t="s">
        <x:v>2875</x:v>
      </x:c>
      <x:c r="O732" s="49" t="s">
        <x:v>169</x:v>
      </x:c>
      <x:c r="P732" s="49" t="s">
        <x:v>30</x:v>
      </x:c>
      <x:c r="Q732" s="49" t="s">
        <x:v>23</x:v>
      </x:c>
      <x:c r="R732" s="50">
        <x:v>0.81</x:v>
      </x:c>
      <x:c r="S732" s="50">
        <x:f t="shared" si="44"/>
        <x:v>-1</x:v>
      </x:c>
      <x:c r="T732" s="49" t="s">
        <x:v>2898</x:v>
      </x:c>
      <x:c r="U732" s="49" t="str">
        <x:f t="shared" si="46"/>
        <x:v>红</x:v>
      </x:c>
      <x:c r="V732" s="50">
        <x:f t="shared" si="47"/>
        <x:v>0.76</x:v>
      </x:c>
      <x:c r="W732" s="50">
        <x:f t="shared" si="45"/>
        <x:v>0.76</x:v>
      </x:c>
      <x:c r="X732" s="49">
        <x:v>0.8</x:v>
      </x:c>
      <x:c r="Y732" s="49">
        <x:v>1</x:v>
      </x:c>
      <x:c r="Z732" s="49">
        <x:v>0.9</x:v>
      </x:c>
      <x:c r="AA732" s="49">
        <x:v>-1</x:v>
      </x:c>
      <x:c r="AB732" s="49">
        <x:v>0.8</x:v>
      </x:c>
      <x:c r="AC732" s="49">
        <x:v>0.81</x:v>
      </x:c>
      <x:c r="AD732" s="49">
        <x:v>1.37</x:v>
      </x:c>
      <x:c r="AE732" s="49">
        <x:v>3.75</x:v>
      </x:c>
      <x:c r="AF732" s="49">
        <x:v>8.2</x:v>
      </x:c>
      <x:c r="AG732" s="49">
        <x:v>0.118544893478132</x:v>
      </x:c>
      <x:c r="AH732" s="49"/>
      <x:c r="AI732" s="49">
        <x:v>0.652568360514839</x:v>
      </x:c>
      <x:c r="AJ732" s="49">
        <x:v>0.238404974374755</x:v>
      </x:c>
      <x:c r="AK732" s="49">
        <x:v>0.109026665110406</x:v>
      </x:c>
      <x:c r="AL732" s="49"/>
      <x:c r="AM732" s="49"/>
      <x:c r="AN732" s="49"/>
      <x:c r="AO732" s="49"/>
      <x:c r="AP732" s="49">
        <x:v>-1.25</x:v>
      </x:c>
      <x:c r="AQ732" s="49"/>
      <x:c r="AR732" s="49"/>
      <x:c r="AS732" s="49">
        <x:v>1.43</x:v>
      </x:c>
      <x:c r="AT732" s="49">
        <x:v>3.65</x:v>
      </x:c>
      <x:c r="AU732" s="49">
        <x:v>7.8</x:v>
      </x:c>
      <x:c r="AV732" s="49" t="s">
        <x:v>2898</x:v>
      </x:c>
      <x:c r="AW732" s="49" t="s">
        <x:v>2877</x:v>
      </x:c>
      <x:c r="AX732" s="49"/>
      <x:c r="AY732" s="49"/>
    </x:row>
    <x:row r="733" ht="22" customHeight="1">
      <x:c r="A733" s="49" t="s">
        <x:v>33</x:v>
      </x:c>
      <x:c r="B733" s="49" t="s">
        <x:v>2894</x:v>
      </x:c>
      <x:c r="C733" s="49" t="s">
        <x:v>244</x:v>
      </x:c>
      <x:c r="D733" s="49" t="s">
        <x:v>90</x:v>
      </x:c>
      <x:c r="E733" s="49" t="s">
        <x:v>2625</x:v>
      </x:c>
      <x:c r="F733" s="49" t="s">
        <x:v>2899</x:v>
      </x:c>
      <x:c r="G733" s="60">
        <x:v>0.92</x:v>
      </x:c>
      <x:c r="H733" s="60">
        <x:v>1</x:v>
      </x:c>
      <x:c r="I733" s="60">
        <x:v>0.9</x:v>
      </x:c>
      <x:c r="J733" s="49" t="s">
        <x:v>2900</x:v>
      </x:c>
      <x:c r="K733" s="49" t="s">
        <x:v>544</x:v>
      </x:c>
      <x:c r="L733" s="49" t="s">
        <x:v>2671</x:v>
      </x:c>
      <x:c r="M733" s="61">
        <x:v>0.592</x:v>
      </x:c>
      <x:c r="N733" s="49" t="s">
        <x:v>2875</x:v>
      </x:c>
      <x:c r="O733" s="49" t="s">
        <x:v>141</x:v>
      </x:c>
      <x:c r="P733" s="49" t="s">
        <x:v>30</x:v>
      </x:c>
      <x:c r="Q733" s="49" t="s">
        <x:v>23</x:v>
      </x:c>
      <x:c r="R733" s="50">
        <x:v>0.83</x:v>
      </x:c>
      <x:c r="S733" s="50">
        <x:f t="shared" si="44"/>
        <x:v>-1</x:v>
      </x:c>
      <x:c r="T733" s="49" t="s">
        <x:v>2901</x:v>
      </x:c>
      <x:c r="U733" s="49" t="str">
        <x:f t="shared" si="46"/>
        <x:v>红</x:v>
      </x:c>
      <x:c r="V733" s="50">
        <x:f t="shared" si="47"/>
        <x:v>0.92</x:v>
      </x:c>
      <x:c r="W733" s="50">
        <x:f t="shared" si="45"/>
        <x:v>0.92</x:v>
      </x:c>
      <x:c r="X733" s="49">
        <x:v>0.93</x:v>
      </x:c>
      <x:c r="Y733" s="49">
        <x:v>-1</x:v>
      </x:c>
      <x:c r="Z733" s="49">
        <x:v>0.77</x:v>
      </x:c>
      <x:c r="AA733" s="49">
        <x:v>-1</x:v>
      </x:c>
      <x:c r="AB733" s="49">
        <x:v>0.77</x:v>
      </x:c>
      <x:c r="AC733" s="49">
        <x:v>0.83</x:v>
      </x:c>
      <x:c r="AD733" s="49">
        <x:v>6.1</x:v>
      </x:c>
      <x:c r="AE733" s="49">
        <x:v>3.7</x:v>
      </x:c>
      <x:c r="AF733" s="49">
        <x:v>1.45</x:v>
      </x:c>
      <x:c r="AG733" s="49">
        <x:v>0.123859868913572</x:v>
      </x:c>
      <x:c r="AH733" s="49"/>
      <x:c r="AI733" s="49">
        <x:v>0.145867319195215</x:v>
      </x:c>
      <x:c r="AJ733" s="49">
        <x:v>0.240483958673192</x:v>
      </x:c>
      <x:c r="AK733" s="49">
        <x:v>0.613648722131593</x:v>
      </x:c>
      <x:c r="AL733" s="49"/>
      <x:c r="AM733" s="49"/>
      <x:c r="AN733" s="49"/>
      <x:c r="AO733" s="49"/>
      <x:c r="AP733" s="49">
        <x:v>-1</x:v>
      </x:c>
      <x:c r="AQ733" s="49"/>
      <x:c r="AR733" s="49"/>
      <x:c r="AS733" s="49">
        <x:v>6.7</x:v>
      </x:c>
      <x:c r="AT733" s="49">
        <x:v>3.9</x:v>
      </x:c>
      <x:c r="AU733" s="49">
        <x:v>1.44</x:v>
      </x:c>
      <x:c r="AV733" s="49" t="s">
        <x:v>2901</x:v>
      </x:c>
      <x:c r="AW733" s="49" t="s">
        <x:v>2877</x:v>
      </x:c>
      <x:c r="AX733" s="49"/>
      <x:c r="AY733" s="49"/>
    </x:row>
    <x:row r="734" ht="22" customHeight="1">
      <x:c r="A734" s="49" t="s">
        <x:v>33</x:v>
      </x:c>
      <x:c r="B734" s="49" t="s">
        <x:v>2894</x:v>
      </x:c>
      <x:c r="C734" s="49" t="s">
        <x:v>244</x:v>
      </x:c>
      <x:c r="D734" s="49" t="s">
        <x:v>90</x:v>
      </x:c>
      <x:c r="E734" s="49" t="s">
        <x:v>2625</x:v>
      </x:c>
      <x:c r="F734" s="49" t="s">
        <x:v>2902</x:v>
      </x:c>
      <x:c r="G734" s="60">
        <x:v>0.94</x:v>
      </x:c>
      <x:c r="H734" s="60">
        <x:v>-1.25</x:v>
      </x:c>
      <x:c r="I734" s="60">
        <x:v>0.88</x:v>
      </x:c>
      <x:c r="J734" s="49" t="s">
        <x:v>2903</x:v>
      </x:c>
      <x:c r="K734" s="49" t="s">
        <x:v>94</x:v>
      </x:c>
      <x:c r="L734" s="49" t="s">
        <x:v>2904</x:v>
      </x:c>
      <x:c r="M734" s="61">
        <x:v>0.592</x:v>
      </x:c>
      <x:c r="N734" s="49" t="s">
        <x:v>2875</x:v>
      </x:c>
      <x:c r="O734" s="49" t="s">
        <x:v>934</x:v>
      </x:c>
      <x:c r="P734" s="49" t="s">
        <x:v>30</x:v>
      </x:c>
      <x:c r="Q734" s="49" t="s">
        <x:v>23</x:v>
      </x:c>
      <x:c r="R734" s="50">
        <x:v>0.84</x:v>
      </x:c>
      <x:c r="S734" s="50">
        <x:f t="shared" si="44"/>
        <x:v>-1</x:v>
      </x:c>
      <x:c r="T734" s="49" t="s">
        <x:v>2905</x:v>
      </x:c>
      <x:c r="U734" s="49" t="str">
        <x:f t="shared" si="46"/>
        <x:v>红</x:v>
      </x:c>
      <x:c r="V734" s="50">
        <x:f t="shared" si="47"/>
        <x:v>0.88</x:v>
      </x:c>
      <x:c r="W734" s="50">
        <x:f t="shared" si="45"/>
        <x:v>0.88</x:v>
      </x:c>
      <x:c r="X734" s="49">
        <x:v>0.73</x:v>
      </x:c>
      <x:c r="Y734" s="49">
        <x:v>1</x:v>
      </x:c>
      <x:c r="Z734" s="49">
        <x:v>0.97</x:v>
      </x:c>
      <x:c r="AA734" s="49">
        <x:v>-1</x:v>
      </x:c>
      <x:c r="AB734" s="49">
        <x:v>0.73</x:v>
      </x:c>
      <x:c r="AC734" s="49">
        <x:v>0.84</x:v>
      </x:c>
      <x:c r="AD734" s="49">
        <x:v>1.35</x:v>
      </x:c>
      <x:c r="AE734" s="49">
        <x:v>4.15</x:v>
      </x:c>
      <x:c r="AF734" s="49">
        <x:v>7.1</x:v>
      </x:c>
      <x:c r="AG734" s="49">
        <x:v>0.122549666584963</x:v>
      </x:c>
      <x:c r="AH734" s="49"/>
      <x:c r="AI734" s="49">
        <x:v>0.659873467331057</x:v>
      </x:c>
      <x:c r="AJ734" s="49">
        <x:v>0.214657633951067</x:v>
      </x:c>
      <x:c r="AK734" s="49">
        <x:v>0.125468898717877</x:v>
      </x:c>
      <x:c r="AL734" s="49"/>
      <x:c r="AM734" s="49"/>
      <x:c r="AN734" s="49"/>
      <x:c r="AO734" s="49"/>
      <x:c r="AP734" s="49">
        <x:v>-1.25</x:v>
      </x:c>
      <x:c r="AQ734" s="49"/>
      <x:c r="AR734" s="49"/>
      <x:c r="AS734" s="49">
        <x:v>1.44</x:v>
      </x:c>
      <x:c r="AT734" s="49">
        <x:v>4.15</x:v>
      </x:c>
      <x:c r="AU734" s="49">
        <x:v>6</x:v>
      </x:c>
      <x:c r="AV734" s="49" t="s">
        <x:v>2905</x:v>
      </x:c>
      <x:c r="AW734" s="49" t="s">
        <x:v>2877</x:v>
      </x:c>
      <x:c r="AX734" s="49"/>
      <x:c r="AY734" s="49"/>
    </x:row>
    <x:row r="735" ht="22" customHeight="1">
      <x:c r="A735" s="49" t="s">
        <x:v>33</x:v>
      </x:c>
      <x:c r="B735" s="49" t="s">
        <x:v>2906</x:v>
      </x:c>
      <x:c r="C735" s="49" t="s">
        <x:v>244</x:v>
      </x:c>
      <x:c r="D735" s="49" t="s">
        <x:v>90</x:v>
      </x:c>
      <x:c r="E735" s="49" t="s">
        <x:v>2625</x:v>
      </x:c>
      <x:c r="F735" s="49" t="s">
        <x:v>2907</x:v>
      </x:c>
      <x:c r="G735" s="60">
        <x:v>1.05</x:v>
      </x:c>
      <x:c r="H735" s="60">
        <x:v>0.75</x:v>
      </x:c>
      <x:c r="I735" s="60">
        <x:v>0.77</x:v>
      </x:c>
      <x:c r="J735" s="49" t="s">
        <x:v>2908</x:v>
      </x:c>
      <x:c r="K735" s="49" t="s">
        <x:v>132</x:v>
      </x:c>
      <x:c r="L735" s="49" t="s">
        <x:v>2909</x:v>
      </x:c>
      <x:c r="M735" s="61">
        <x:v>0.551</x:v>
      </x:c>
      <x:c r="N735" s="49" t="s">
        <x:v>2875</x:v>
      </x:c>
      <x:c r="O735" s="49" t="s">
        <x:v>126</x:v>
      </x:c>
      <x:c r="P735" s="49" t="s">
        <x:v>30</x:v>
      </x:c>
      <x:c r="Q735" s="49" t="s">
        <x:v>11</x:v>
      </x:c>
      <x:c r="R735" s="50">
        <x:v>1</x:v>
      </x:c>
      <x:c r="S735" s="50">
        <x:f t="shared" si="44"/>
        <x:v>1</x:v>
      </x:c>
      <x:c r="T735" s="49" t="s">
        <x:v>2910</x:v>
      </x:c>
      <x:c r="U735" s="49" t="str">
        <x:f t="shared" si="46"/>
        <x:v>黑</x:v>
      </x:c>
      <x:c r="V735" s="50">
        <x:f t="shared" si="47"/>
        <x:v>0.77</x:v>
      </x:c>
      <x:c r="W735" s="50">
        <x:f t="shared" si="45"/>
        <x:v>-1</x:v>
      </x:c>
      <x:c r="X735" s="49">
        <x:v>0.76</x:v>
      </x:c>
      <x:c r="Y735" s="49">
        <x:v>-1</x:v>
      </x:c>
      <x:c r="Z735" s="49">
        <x:v>0.94</x:v>
      </x:c>
      <x:c r="AA735" s="49">
        <x:v>1</x:v>
      </x:c>
      <x:c r="AB735" s="49">
        <x:v>0.76</x:v>
      </x:c>
      <x:c r="AC735" s="49">
        <x:v>1</x:v>
      </x:c>
      <x:c r="AD735" s="49">
        <x:v>5.1</x:v>
      </x:c>
      <x:c r="AE735" s="49">
        <x:v>3.6</x:v>
      </x:c>
      <x:c r="AF735" s="49">
        <x:v>1.54</x:v>
      </x:c>
      <x:c r="AG735" s="49">
        <x:v>0.123206858500976</x:v>
      </x:c>
      <x:c r="AH735" s="49"/>
      <x:c r="AI735" s="49">
        <x:v>0.174570187039486</x:v>
      </x:c>
      <x:c r="AJ735" s="49">
        <x:v>0.247307764972605</x:v>
      </x:c>
      <x:c r="AK735" s="49">
        <x:v>0.578122047987909</x:v>
      </x:c>
      <x:c r="AL735" s="49"/>
      <x:c r="AM735" s="49"/>
      <x:c r="AN735" s="49"/>
      <x:c r="AO735" s="49"/>
      <x:c r="AP735" s="49">
        <x:v>0.75</x:v>
      </x:c>
      <x:c r="AQ735" s="49"/>
      <x:c r="AR735" s="49"/>
      <x:c r="AS735" s="49">
        <x:v>5.5</x:v>
      </x:c>
      <x:c r="AT735" s="49">
        <x:v>3.75</x:v>
      </x:c>
      <x:c r="AU735" s="49">
        <x:v>1.53</x:v>
      </x:c>
      <x:c r="AV735" s="49" t="s">
        <x:v>2910</x:v>
      </x:c>
      <x:c r="AW735" s="49" t="s">
        <x:v>2877</x:v>
      </x:c>
      <x:c r="AX735" s="49"/>
      <x:c r="AY735" s="49"/>
    </x:row>
    <x:row r="736" ht="22" customHeight="1">
      <x:c r="A736" s="49" t="s">
        <x:v>33</x:v>
      </x:c>
      <x:c r="B736" s="49" t="s">
        <x:v>2911</x:v>
      </x:c>
      <x:c r="C736" s="49" t="s">
        <x:v>447</x:v>
      </x:c>
      <x:c r="D736" s="49" t="s">
        <x:v>116</x:v>
      </x:c>
      <x:c r="E736" s="49" t="s">
        <x:v>2606</x:v>
      </x:c>
      <x:c r="F736" s="49" t="s">
        <x:v>2912</x:v>
      </x:c>
      <x:c r="G736" s="60">
        <x:v>0.85</x:v>
      </x:c>
      <x:c r="H736" s="60">
        <x:v>-0.5</x:v>
      </x:c>
      <x:c r="I736" s="60">
        <x:v>0.91</x:v>
      </x:c>
      <x:c r="J736" s="49" t="s">
        <x:v>2913</x:v>
      </x:c>
      <x:c r="K736" s="49" t="s">
        <x:v>1715</x:v>
      </x:c>
      <x:c r="L736" s="49" t="s">
        <x:v>2914</x:v>
      </x:c>
      <x:c r="M736" s="61">
        <x:v>0.584</x:v>
      </x:c>
      <x:c r="N736" s="49" t="s">
        <x:v>2875</x:v>
      </x:c>
      <x:c r="O736" s="49" t="s">
        <x:v>201</x:v>
      </x:c>
      <x:c r="P736" s="49" t="s">
        <x:v>30</x:v>
      </x:c>
      <x:c r="Q736" s="49" t="s">
        <x:v>20</x:v>
      </x:c>
      <x:c r="R736" s="50">
        <x:v>0.97</x:v>
      </x:c>
      <x:c r="S736" s="50">
        <x:f t="shared" si="44"/>
        <x:v>-0.5</x:v>
      </x:c>
      <x:c r="T736" s="49" t="s">
        <x:v>2915</x:v>
      </x:c>
      <x:c r="U736" s="49" t="str">
        <x:f t="shared" si="46"/>
        <x:v>半红</x:v>
      </x:c>
      <x:c r="V736" s="50">
        <x:f t="shared" si="47"/>
        <x:v>0.85</x:v>
      </x:c>
      <x:c r="W736" s="50">
        <x:f t="shared" si="45"/>
        <x:v>0.425</x:v>
      </x:c>
      <x:c r="X736" s="49">
        <x:v>0.97</x:v>
      </x:c>
      <x:c r="Y736" s="49">
        <x:v>0.75</x:v>
      </x:c>
      <x:c r="Z736" s="49">
        <x:v>0.79</x:v>
      </x:c>
      <x:c r="AA736" s="49">
        <x:v>0.75</x:v>
      </x:c>
      <x:c r="AB736" s="49">
        <x:v>0.79</x:v>
      </x:c>
      <x:c r="AC736" s="49">
        <x:v>0.97</x:v>
      </x:c>
      <x:c r="AD736" s="49">
        <x:v>1.85</x:v>
      </x:c>
      <x:c r="AE736" s="49">
        <x:v>3.65</x:v>
      </x:c>
      <x:c r="AF736" s="49">
        <x:v>3.3</x:v>
      </x:c>
      <x:c r="AG736" s="49">
        <x:v>0.11754344631057</x:v>
      </x:c>
      <x:c r="AH736" s="49"/>
      <x:c r="AI736" s="49">
        <x:v>0.483686376869792</x:v>
      </x:c>
      <x:c r="AJ736" s="49">
        <x:v>0.245156108824415</x:v>
      </x:c>
      <x:c r="AK736" s="49">
        <x:v>0.271157514305793</x:v>
      </x:c>
      <x:c r="AL736" s="49"/>
      <x:c r="AM736" s="49"/>
      <x:c r="AN736" s="49"/>
      <x:c r="AO736" s="49"/>
      <x:c r="AP736" s="49">
        <x:v>0.5</x:v>
      </x:c>
      <x:c r="AQ736" s="49"/>
      <x:c r="AR736" s="49"/>
      <x:c r="AS736" s="49">
        <x:v>1.76</x:v>
      </x:c>
      <x:c r="AT736" s="49">
        <x:v>3.7</x:v>
      </x:c>
      <x:c r="AU736" s="49">
        <x:v>3.55</x:v>
      </x:c>
      <x:c r="AV736" s="49" t="s">
        <x:v>2915</x:v>
      </x:c>
      <x:c r="AW736" s="49" t="s">
        <x:v>2877</x:v>
      </x:c>
      <x:c r="AX736" s="49"/>
      <x:c r="AY736" s="49"/>
    </x:row>
    <x:row r="737" ht="22" customHeight="1">
      <x:c r="A737" s="49" t="str">
        <x:v>2026-09-30</x:v>
      </x:c>
      <x:c r="B737" s="49" t="str">
        <x:v>2026-10-01 00:00:00</x:v>
      </x:c>
      <x:c r="C737" s="49" t="str">
        <x:v>NATIONAL_OFFICIAL</x:v>
      </x:c>
      <x:c r="D737" s="49" t="str">
        <x:v>杯赛</x:v>
      </x:c>
      <x:c r="E737" s="49" t="str">
        <x:v>非洲杯</x:v>
      </x:c>
      <x:c r="F737" s="49" t="str">
        <x:v>厄立特里亚 vs 南非</x:v>
      </x:c>
      <x:c r="G737" s="60" t="n">
        <x:v>0.99</x:v>
      </x:c>
      <x:c r="H737" s="60" t="n">
        <x:v>1.5</x:v>
      </x:c>
      <x:c r="I737" s="60" t="n">
        <x:v>0.83</x:v>
      </x:c>
      <x:c r="J737" s="49" t="str">
        <x:v>0.99/1.5/0.83</x:v>
      </x:c>
      <x:c r="K737" s="49" t="str">
        <x:v>降温保护/诱下</x:v>
      </x:c>
      <x:c r="L737" s="49" t="str">
        <x:v>厄立特里亚</x:v>
      </x:c>
      <x:c r="M737" s="61" t="n">
        <x:v>0.545135</x:v>
      </x:c>
      <x:c r="N737" s="49" t="str">
        <x:v>网页可投</x:v>
      </x:c>
      <x:c r="O737" s="49" t="str">
        <x:v>0-5</x:v>
      </x:c>
      <x:c r="P737" s="49" t="str">
        <x:v>已结算</x:v>
      </x:c>
      <x:c r="Q737" s="49" t="str">
        <x:v>黑</x:v>
      </x:c>
      <x:c r="R737" s="50" t="n">
        <x:v>0.99</x:v>
      </x:c>
      <x:c r="S737" s="50" t="n">
        <x:v>-1</x:v>
      </x:c>
      <x:c r="T737" s="49" t="str">
        <x:v>D:\codex\v3_legacy\outputs\football_odds_trader\raw\titan007\20261001\20261001_084801_titan007_odds_snapshot.csv</x:v>
      </x:c>
      <x:c r="U737" s="49"/>
      <x:c r="V737" s="50"/>
      <x:c r="W737" s="50"/>
      <x:c r="X737" s="49" t="n">
        <x:v>0.95</x:v>
      </x:c>
      <x:c r="Y737" s="49" t="n">
        <x:v>-1.75</x:v>
      </x:c>
      <x:c r="Z737" s="49" t="n">
        <x:v>0.81</x:v>
      </x:c>
      <x:c r="AA737" s="49"/>
      <x:c r="AB737" s="49"/>
      <x:c r="AC737" s="49" t="n">
        <x:v>0.99</x:v>
      </x:c>
      <x:c r="AD737" s="49" t="n">
        <x:v>8.2</x:v>
      </x:c>
      <x:c r="AE737" s="49" t="n">
        <x:v>5.1</x:v>
      </x:c>
      <x:c r="AF737" s="49" t="n">
        <x:v>1.24</x:v>
      </x:c>
      <x:c r="AG737" s="49"/>
      <x:c r="AH737" s="49"/>
      <x:c r="AI737" s="49"/>
      <x:c r="AJ737" s="49"/>
      <x:c r="AK737" s="49"/>
      <x:c r="AL737" s="49"/>
      <x:c r="AM737" s="49"/>
      <x:c r="AN737" s="49"/>
      <x:c r="AO737" s="49"/>
      <x:c r="AP737" s="49"/>
      <x:c r="AQ737" s="49" t="n">
        <x:v>1.5</x:v>
      </x:c>
      <x:c r="AR737" s="49"/>
      <x:c r="AS737" s="49"/>
      <x:c r="AT737" s="49"/>
      <x:c r="AU737" s="49"/>
      <x:c r="AV737" s="49"/>
      <x:c r="AW737" s="49"/>
      <x:c r="AX737" s="49"/>
      <x:c r="AY737" s="49" t="str">
        <x:v>Titan007 snapshot</x:v>
      </x:c>
    </x:row>
    <x:row r="738" ht="22" customHeight="1">
      <x:c r="A738" s="49" t="str">
        <x:v>2026-09-30</x:v>
      </x:c>
      <x:c r="B738" s="49" t="str">
        <x:v>2026-10-01 01:00:00</x:v>
      </x:c>
      <x:c r="C738" s="49" t="str">
        <x:v>CONTINENTAL_CLUB</x:v>
      </x:c>
      <x:c r="D738" s="49" t="str">
        <x:v>杯赛</x:v>
      </x:c>
      <x:c r="E738" s="49" t="str">
        <x:v>女欧罗巴杯</x:v>
      </x:c>
      <x:c r="F738" s="49" t="str">
        <x:v>马模女足 vs 圣珀尔滕女足</x:v>
      </x:c>
      <x:c r="G738" s="60" t="n">
        <x:v>0.82</x:v>
      </x:c>
      <x:c r="H738" s="60" t="n">
        <x:v>1</x:v>
      </x:c>
      <x:c r="I738" s="60" t="n">
        <x:v>1</x:v>
      </x:c>
      <x:c r="J738" s="49" t="str">
        <x:v>0.82/1.0/1.0</x:v>
      </x:c>
      <x:c r="K738" s="49" t="str">
        <x:v>诱上/阻下</x:v>
      </x:c>
      <x:c r="L738" s="49" t="str">
        <x:v>马模女足</x:v>
      </x:c>
      <x:c r="M738" s="61" t="n">
        <x:v>0.5950825250000001</x:v>
      </x:c>
      <x:c r="N738" s="49" t="str">
        <x:v>网页可投</x:v>
      </x:c>
      <x:c r="O738" s="49" t="str">
        <x:v>3-0</x:v>
      </x:c>
      <x:c r="P738" s="49" t="str">
        <x:v>已结算</x:v>
      </x:c>
      <x:c r="Q738" s="49" t="str">
        <x:v>红</x:v>
      </x:c>
      <x:c r="R738" s="50" t="n">
        <x:v>0.82</x:v>
      </x:c>
      <x:c r="S738" s="50" t="n">
        <x:v>0.82</x:v>
      </x:c>
      <x:c r="T738" s="49" t="str">
        <x:v>D:\codex\v3_legacy\outputs\football_odds_trader\raw\titan007\20261001\20261001_084801_titan007_odds_snapshot.csv</x:v>
      </x:c>
      <x:c r="U738" s="49"/>
      <x:c r="V738" s="50"/>
      <x:c r="W738" s="50"/>
      <x:c r="X738" s="49" t="n">
        <x:v>0.92</x:v>
      </x:c>
      <x:c r="Y738" s="49" t="n">
        <x:v>1</x:v>
      </x:c>
      <x:c r="Z738" s="49" t="n">
        <x:v>0.78</x:v>
      </x:c>
      <x:c r="AA738" s="49"/>
      <x:c r="AB738" s="49"/>
      <x:c r="AC738" s="49" t="n">
        <x:v>0.82</x:v>
      </x:c>
      <x:c r="AD738" s="49" t="n">
        <x:v>1.41</x:v>
      </x:c>
      <x:c r="AE738" s="49" t="n">
        <x:v>3.9</x:v>
      </x:c>
      <x:c r="AF738" s="49" t="n">
        <x:v>5.3</x:v>
      </x:c>
      <x:c r="AG738" s="49"/>
      <x:c r="AH738" s="49"/>
      <x:c r="AI738" s="49"/>
      <x:c r="AJ738" s="49"/>
      <x:c r="AK738" s="49"/>
      <x:c r="AL738" s="49"/>
      <x:c r="AM738" s="49"/>
      <x:c r="AN738" s="49"/>
      <x:c r="AO738" s="49"/>
      <x:c r="AP738" s="49"/>
      <x:c r="AQ738" s="49" t="n">
        <x:v>1</x:v>
      </x:c>
      <x:c r="AR738" s="49"/>
      <x:c r="AS738" s="49"/>
      <x:c r="AT738" s="49"/>
      <x:c r="AU738" s="49"/>
      <x:c r="AV738" s="49"/>
      <x:c r="AW738" s="49"/>
      <x:c r="AX738" s="49"/>
      <x:c r="AY738" s="49" t="str">
        <x:v>Titan007 snapshot</x:v>
      </x:c>
    </x:row>
    <x:row r="739" ht="22" customHeight="1">
      <x:c r="A739" s="49" t="str">
        <x:v>2026-09-30</x:v>
      </x:c>
      <x:c r="B739" s="49" t="str">
        <x:v>2026-10-01 02:00:00</x:v>
      </x:c>
      <x:c r="C739" s="49" t="str">
        <x:v>UNKNOWN</x:v>
      </x:c>
      <x:c r="D739" s="49" t="str">
        <x:v>联赛</x:v>
      </x:c>
      <x:c r="E739" s="49" t="str">
        <x:v>比业余</x:v>
      </x:c>
      <x:c r="F739" s="49" t="str">
        <x:v>梅勒尔贝克 vs 迪塞尔</x:v>
      </x:c>
      <x:c r="G739" s="60" t="n">
        <x:v>0.83</x:v>
      </x:c>
      <x:c r="H739" s="60" t="n">
        <x:v>0.25</x:v>
      </x:c>
      <x:c r="I739" s="60" t="n">
        <x:v>0.99</x:v>
      </x:c>
      <x:c r="J739" s="49" t="str">
        <x:v>0.83/0.25/0.99</x:v>
      </x:c>
      <x:c r="K739" s="49"/>
      <x:c r="L739" s="49" t="str">
        <x:v>梅勒尔贝克</x:v>
      </x:c>
      <x:c r="M739" s="61" t="n">
        <x:v>0.5760000000000001</x:v>
      </x:c>
      <x:c r="N739" s="49" t="str">
        <x:v>网页可投</x:v>
      </x:c>
      <x:c r="O739" s="49" t="str">
        <x:v>1-1</x:v>
      </x:c>
      <x:c r="P739" s="49" t="str">
        <x:v>已结算</x:v>
      </x:c>
      <x:c r="Q739" s="49" t="str">
        <x:v>半黑</x:v>
      </x:c>
      <x:c r="R739" s="50" t="n">
        <x:v>0.83</x:v>
      </x:c>
      <x:c r="S739" s="50" t="n">
        <x:v>-0.5</x:v>
      </x:c>
      <x:c r="T739" s="49" t="str">
        <x:v>D:\codex\v3_legacy\outputs\football_odds_trader\raw\titan007\20261001\20261001_084801_titan007_odds_snapshot.csv</x:v>
      </x:c>
      <x:c r="U739" s="49"/>
      <x:c r="V739" s="50"/>
      <x:c r="W739" s="50"/>
      <x:c r="X739" s="49" t="n">
        <x:v>0.8</x:v>
      </x:c>
      <x:c r="Y739" s="49" t="n">
        <x:v>0.25</x:v>
      </x:c>
      <x:c r="Z739" s="49" t="n">
        <x:v>0.96</x:v>
      </x:c>
      <x:c r="AA739" s="49"/>
      <x:c r="AB739" s="49"/>
      <x:c r="AC739" s="49" t="n">
        <x:v>0.83</x:v>
      </x:c>
      <x:c r="AD739" s="49" t="n">
        <x:v>2.01</x:v>
      </x:c>
      <x:c r="AE739" s="49" t="n">
        <x:v>3.75</x:v>
      </x:c>
      <x:c r="AF739" s="49" t="n">
        <x:v>2.8</x:v>
      </x:c>
      <x:c r="AG739" s="49"/>
      <x:c r="AH739" s="49"/>
      <x:c r="AI739" s="49"/>
      <x:c r="AJ739" s="49"/>
      <x:c r="AK739" s="49"/>
      <x:c r="AL739" s="49"/>
      <x:c r="AM739" s="49"/>
      <x:c r="AN739" s="49"/>
      <x:c r="AO739" s="49"/>
      <x:c r="AP739" s="49"/>
      <x:c r="AQ739" s="49" t="n">
        <x:v>0.25</x:v>
      </x:c>
      <x:c r="AR739" s="49"/>
      <x:c r="AS739" s="49"/>
      <x:c r="AT739" s="49"/>
      <x:c r="AU739" s="49"/>
      <x:c r="AV739" s="49"/>
      <x:c r="AW739" s="49"/>
      <x:c r="AX739" s="49"/>
      <x:c r="AY739" s="49" t="str">
        <x:v>Titan007 snapshot</x:v>
      </x:c>
    </x:row>
    <x:row r="740" ht="22" customHeight="1">
      <x:c r="A740" s="49" t="str">
        <x:v>2026-09-30</x:v>
      </x:c>
      <x:c r="B740" s="49" t="str">
        <x:v>2026-10-1 02:00 北京时间（东8区）</x:v>
      </x:c>
      <x:c r="C740" s="49" t="str">
        <x:v>CLUB_CUP</x:v>
      </x:c>
      <x:c r="D740" s="49" t="str">
        <x:v>杯赛</x:v>
      </x:c>
      <x:c r="E740" s="49" t="str">
        <x:v>英女杯</x:v>
      </x:c>
      <x:c r="F740" s="49" t="str">
        <x:v>水晶宫女足 vs 查尔顿竞技女足</x:v>
      </x:c>
      <x:c r="G740" s="60" t="n">
        <x:v>0.85</x:v>
      </x:c>
      <x:c r="H740" s="60" t="n">
        <x:v>0.75</x:v>
      </x:c>
      <x:c r="I740" s="60" t="n">
        <x:v>0.85</x:v>
      </x:c>
      <x:c r="J740" s="49" t="str">
        <x:v>0.85/0.75/0.85</x:v>
      </x:c>
      <x:c r="K740" s="49" t="str">
        <x:v>诱上/阻下</x:v>
      </x:c>
      <x:c r="L740" s="49" t="str">
        <x:v>水晶宫女足</x:v>
      </x:c>
      <x:c r="M740" s="61" t="n">
        <x:v>0.5819257849999999</x:v>
      </x:c>
      <x:c r="N740" s="49" t="str">
        <x:v>网页可投</x:v>
      </x:c>
      <x:c r="O740" s="49" t="str">
        <x:v>3-0</x:v>
      </x:c>
      <x:c r="P740" s="49" t="str">
        <x:v>已结算</x:v>
      </x:c>
      <x:c r="Q740" s="49" t="str">
        <x:v>红</x:v>
      </x:c>
      <x:c r="R740" s="50" t="n">
        <x:v>0.79</x:v>
      </x:c>
      <x:c r="S740" s="50" t="n">
        <x:v>0.79</x:v>
      </x:c>
      <x:c r="T740" s="49" t="str">
        <x:v>D:\codex\v3_legacy\outputs\football_odds_trader\raw\titan007\20261001\20261001_084801_titan007_odds_snapshot.csv</x:v>
      </x:c>
      <x:c r="U740" s="49"/>
      <x:c r="V740" s="50"/>
      <x:c r="W740" s="50"/>
      <x:c r="X740" s="49" t="n">
        <x:v>0.8</x:v>
      </x:c>
      <x:c r="Y740" s="49" t="n">
        <x:v>0.75</x:v>
      </x:c>
      <x:c r="Z740" s="49" t="n">
        <x:v>0.9</x:v>
      </x:c>
      <x:c r="AA740" s="49"/>
      <x:c r="AB740" s="49"/>
      <x:c r="AC740" s="49" t="n">
        <x:v>0.79</x:v>
      </x:c>
      <x:c r="AD740" s="49" t="n">
        <x:v>1.63</x:v>
      </x:c>
      <x:c r="AE740" s="49" t="n">
        <x:v>3.5</x:v>
      </x:c>
      <x:c r="AF740" s="49" t="n">
        <x:v>3.95</x:v>
      </x:c>
      <x:c r="AG740" s="49"/>
      <x:c r="AH740" s="49"/>
      <x:c r="AI740" s="49"/>
      <x:c r="AJ740" s="49"/>
      <x:c r="AK740" s="49"/>
      <x:c r="AL740" s="49"/>
      <x:c r="AM740" s="49"/>
      <x:c r="AN740" s="49"/>
      <x:c r="AO740" s="49"/>
      <x:c r="AP740" s="49"/>
      <x:c r="AQ740" s="49" t="n">
        <x:v>0.75</x:v>
      </x:c>
      <x:c r="AR740" s="49"/>
      <x:c r="AS740" s="49"/>
      <x:c r="AT740" s="49"/>
      <x:c r="AU740" s="49"/>
      <x:c r="AV740" s="49"/>
      <x:c r="AW740" s="49"/>
      <x:c r="AX740" s="49"/>
      <x:c r="AY740" s="49" t="str">
        <x:v>Titan007 snapshot</x:v>
      </x:c>
    </x:row>
    <x:row r="741" ht="22" customHeight="1">
      <x:c r="A741" s="49" t="str">
        <x:v>2026-09-30</x:v>
      </x:c>
      <x:c r="B741" s="49" t="str">
        <x:v>2026-10-01 02:00:00</x:v>
      </x:c>
      <x:c r="C741" s="49" t="str">
        <x:v>CLUB_CUP</x:v>
      </x:c>
      <x:c r="D741" s="49" t="str">
        <x:v>杯赛</x:v>
      </x:c>
      <x:c r="E741" s="49" t="str">
        <x:v>英女杯</x:v>
      </x:c>
      <x:c r="F741" s="49" t="str">
        <x:v>达勒姆女足 vs 曼联女足</x:v>
      </x:c>
      <x:c r="G741" s="60" t="n">
        <x:v>0.9</x:v>
      </x:c>
      <x:c r="H741" s="60" t="n">
        <x:v>4.5</x:v>
      </x:c>
      <x:c r="I741" s="60" t="n">
        <x:v>0.8</x:v>
      </x:c>
      <x:c r="J741" s="49" t="str">
        <x:v>0.9/4.5/0.8</x:v>
      </x:c>
      <x:c r="K741" s="49" t="str">
        <x:v>诱上/阻下</x:v>
      </x:c>
      <x:c r="L741" s="49" t="str">
        <x:v>曼联女足</x:v>
      </x:c>
      <x:c r="M741" s="61" t="n">
        <x:v>0.5819257849999999</x:v>
      </x:c>
      <x:c r="N741" s="49" t="str">
        <x:v>网页可投</x:v>
      </x:c>
      <x:c r="O741" s="49" t="str">
        <x:v>1-5</x:v>
      </x:c>
      <x:c r="P741" s="49" t="str">
        <x:v>已结算</x:v>
      </x:c>
      <x:c r="Q741" s="49" t="str">
        <x:v>黑</x:v>
      </x:c>
      <x:c r="R741" s="50" t="n">
        <x:v>0.8</x:v>
      </x:c>
      <x:c r="S741" s="50" t="n">
        <x:v>-1</x:v>
      </x:c>
      <x:c r="T741" s="49" t="str">
        <x:v>D:\codex\v3_legacy\outputs\football_odds_trader\raw\titan007\20261001\20261001_084801_titan007_odds_snapshot.csv</x:v>
      </x:c>
      <x:c r="U741" s="49"/>
      <x:c r="V741" s="50"/>
      <x:c r="W741" s="50"/>
      <x:c r="X741" s="49" t="n">
        <x:v>0.79</x:v>
      </x:c>
      <x:c r="Y741" s="49" t="n">
        <x:v>-4.5</x:v>
      </x:c>
      <x:c r="Z741" s="49" t="n">
        <x:v>0.91</x:v>
      </x:c>
      <x:c r="AA741" s="49"/>
      <x:c r="AB741" s="49"/>
      <x:c r="AC741" s="49" t="n">
        <x:v>0.8</x:v>
      </x:c>
      <x:c r="AD741" s="49" t="n">
        <x:v>13</x:v>
      </x:c>
      <x:c r="AE741" s="49" t="n">
        <x:v>11</x:v>
      </x:c>
      <x:c r="AF741" s="49" t="n">
        <x:v>1.01</x:v>
      </x:c>
      <x:c r="AG741" s="49"/>
      <x:c r="AH741" s="49"/>
      <x:c r="AI741" s="49"/>
      <x:c r="AJ741" s="49"/>
      <x:c r="AK741" s="49"/>
      <x:c r="AL741" s="49"/>
      <x:c r="AM741" s="49"/>
      <x:c r="AN741" s="49"/>
      <x:c r="AO741" s="49"/>
      <x:c r="AP741" s="49"/>
      <x:c r="AQ741" s="49" t="n">
        <x:v>4.5</x:v>
      </x:c>
      <x:c r="AR741" s="49"/>
      <x:c r="AS741" s="49"/>
      <x:c r="AT741" s="49"/>
      <x:c r="AU741" s="49"/>
      <x:c r="AV741" s="49"/>
      <x:c r="AW741" s="49"/>
      <x:c r="AX741" s="49"/>
      <x:c r="AY741" s="49" t="str">
        <x:v>Titan007 snapshot</x:v>
      </x:c>
    </x:row>
    <x:row r="742" ht="22" customHeight="1">
      <x:c r="A742" s="49" t="str">
        <x:v>2026-09-30</x:v>
      </x:c>
      <x:c r="B742" s="49" t="str">
        <x:v>2026-10-01 07:00:00</x:v>
      </x:c>
      <x:c r="C742" s="49" t="str">
        <x:v>CLUB_LEAGUE</x:v>
      </x:c>
      <x:c r="D742" s="49" t="str">
        <x:v>联赛</x:v>
      </x:c>
      <x:c r="E742" s="49" t="str">
        <x:v>美冠联</x:v>
      </x:c>
      <x:c r="F742" s="49" t="str">
        <x:v>布鲁克林 vs 底特律城</x:v>
      </x:c>
      <x:c r="G742" s="60" t="n">
        <x:v>1</x:v>
      </x:c>
      <x:c r="H742" s="60" t="n">
        <x:v>0.5</x:v>
      </x:c>
      <x:c r="I742" s="60" t="n">
        <x:v>0.82</x:v>
      </x:c>
      <x:c r="J742" s="49" t="str">
        <x:v>1.0/0.5/0.82</x:v>
      </x:c>
      <x:c r="K742" s="49"/>
      <x:c r="L742" s="49" t="str">
        <x:v>布鲁克林（下盘）</x:v>
      </x:c>
      <x:c r="M742" s="61" t="n">
        <x:v>0.584</x:v>
      </x:c>
      <x:c r="N742" s="49" t="str">
        <x:v>网页可投</x:v>
      </x:c>
      <x:c r="O742" s="49" t="str">
        <x:v>1-2</x:v>
      </x:c>
      <x:c r="P742" s="49" t="str">
        <x:v>已结算</x:v>
      </x:c>
      <x:c r="Q742" s="49" t="str">
        <x:v>黑半</x:v>
      </x:c>
      <x:c r="R742" s="50" t="n">
        <x:v>1</x:v>
      </x:c>
      <x:c r="S742" s="50" t="n">
        <x:v>-0.5</x:v>
      </x:c>
      <x:c r="T742" s="49" t="str">
        <x:v>D:\codex\v3_legacy\outputs\football_odds_trader\raw\titan007\20261001\20261001_084801_titan007_odds_snapshot.csv</x:v>
      </x:c>
      <x:c r="U742" s="49"/>
      <x:c r="V742" s="50"/>
      <x:c r="W742" s="50"/>
      <x:c r="X742" s="49" t="n">
        <x:v>0.88</x:v>
      </x:c>
      <x:c r="Y742" s="49" t="n">
        <x:v>-0.5</x:v>
      </x:c>
      <x:c r="Z742" s="49" t="n">
        <x:v>0.88</x:v>
      </x:c>
      <x:c r="AA742" s="49"/>
      <x:c r="AB742" s="49"/>
      <x:c r="AC742" s="49" t="n">
        <x:v>1</x:v>
      </x:c>
      <x:c r="AD742" s="49" t="n">
        <x:v>3.75</x:v>
      </x:c>
      <x:c r="AE742" s="49" t="n">
        <x:v>3.4</x:v>
      </x:c>
      <x:c r="AF742" s="49" t="n">
        <x:v>1.85</x:v>
      </x:c>
      <x:c r="AG742" s="49"/>
      <x:c r="AH742" s="49"/>
      <x:c r="AI742" s="49"/>
      <x:c r="AJ742" s="49"/>
      <x:c r="AK742" s="49"/>
      <x:c r="AL742" s="49"/>
      <x:c r="AM742" s="49"/>
      <x:c r="AN742" s="49"/>
      <x:c r="AO742" s="49"/>
      <x:c r="AP742" s="49"/>
      <x:c r="AQ742" s="49" t="n">
        <x:v>0.5</x:v>
      </x:c>
      <x:c r="AR742" s="49"/>
      <x:c r="AS742" s="49"/>
      <x:c r="AT742" s="49"/>
      <x:c r="AU742" s="49"/>
      <x:c r="AV742" s="49"/>
      <x:c r="AW742" s="49"/>
      <x:c r="AX742" s="49"/>
      <x:c r="AY742" s="49" t="str">
        <x:v>Titan007 snapshot</x:v>
      </x:c>
    </x:row>
    <x:row r="743" ht="22" customHeight="1">
      <x:c r="A743" s="49" t="str">
        <x:v>2026-09-30</x:v>
      </x:c>
      <x:c r="B743" s="49" t="str">
        <x:v>2026-10-1 07:00 北京时间（东8区）</x:v>
      </x:c>
      <x:c r="C743" s="49" t="str">
        <x:v>CLUB_LEAGUE</x:v>
      </x:c>
      <x:c r="D743" s="49" t="str">
        <x:v>联赛</x:v>
      </x:c>
      <x:c r="E743" s="49" t="str">
        <x:v>美冠联</x:v>
      </x:c>
      <x:c r="F743" s="49" t="str">
        <x:v>迈阿密FC vs 运动Jax</x:v>
      </x:c>
      <x:c r="G743" s="60" t="n">
        <x:v>0.94</x:v>
      </x:c>
      <x:c r="H743" s="60" t="n">
        <x:v>1</x:v>
      </x:c>
      <x:c r="I743" s="60" t="n">
        <x:v>0.88</x:v>
      </x:c>
      <x:c r="J743" s="49" t="str">
        <x:v>0.94/1.0/0.88</x:v>
      </x:c>
      <x:c r="K743" s="49"/>
      <x:c r="L743" s="49" t="str">
        <x:v>迈阿密FC（上盘）</x:v>
      </x:c>
      <x:c r="M743" s="61" t="n">
        <x:v>0.523</x:v>
      </x:c>
      <x:c r="N743" s="49" t="str">
        <x:v>网页可投</x:v>
      </x:c>
      <x:c r="O743" s="49" t="str">
        <x:v>2-1</x:v>
      </x:c>
      <x:c r="P743" s="49" t="str">
        <x:v>已结算</x:v>
      </x:c>
      <x:c r="Q743" s="49" t="str">
        <x:v>红半</x:v>
      </x:c>
      <x:c r="R743" s="50" t="n">
        <x:v>1.02</x:v>
      </x:c>
      <x:c r="S743" s="50" t="n">
        <x:v>0.51</x:v>
      </x:c>
      <x:c r="T743" s="49" t="str">
        <x:v>D:\codex\v3_legacy\outputs\football_odds_trader\raw\titan007\20261001\20261001_084801_titan007_odds_snapshot.csv</x:v>
      </x:c>
      <x:c r="U743" s="49"/>
      <x:c r="V743" s="50"/>
      <x:c r="W743" s="50"/>
      <x:c r="X743" s="49" t="n">
        <x:v>0.9</x:v>
      </x:c>
      <x:c r="Y743" s="49" t="n">
        <x:v>0.75</x:v>
      </x:c>
      <x:c r="Z743" s="49" t="n">
        <x:v>0.86</x:v>
      </x:c>
      <x:c r="AA743" s="49"/>
      <x:c r="AB743" s="49"/>
      <x:c r="AC743" s="49" t="n">
        <x:v>1.02</x:v>
      </x:c>
      <x:c r="AD743" s="49" t="n">
        <x:v>1.55</x:v>
      </x:c>
      <x:c r="AE743" s="49" t="n">
        <x:v>4.4</x:v>
      </x:c>
      <x:c r="AF743" s="49" t="n">
        <x:v>4.4</x:v>
      </x:c>
      <x:c r="AG743" s="49"/>
      <x:c r="AH743" s="49"/>
      <x:c r="AI743" s="49"/>
      <x:c r="AJ743" s="49"/>
      <x:c r="AK743" s="49"/>
      <x:c r="AL743" s="49"/>
      <x:c r="AM743" s="49"/>
      <x:c r="AN743" s="49"/>
      <x:c r="AO743" s="49"/>
      <x:c r="AP743" s="49"/>
      <x:c r="AQ743" s="49" t="n">
        <x:v>1</x:v>
      </x:c>
      <x:c r="AR743" s="49"/>
      <x:c r="AS743" s="49"/>
      <x:c r="AT743" s="49"/>
      <x:c r="AU743" s="49"/>
      <x:c r="AV743" s="49"/>
      <x:c r="AW743" s="49"/>
      <x:c r="AX743" s="49"/>
      <x:c r="AY743" s="49" t="str">
        <x:v>Titan007 snapshot</x:v>
      </x:c>
    </x:row>
    <x:row r="744" ht="22" customHeight="1">
      <x:c r="A744" s="49" t="str">
        <x:v>2026-09-30</x:v>
      </x:c>
      <x:c r="B744" s="49" t="str">
        <x:v>2026-10-1 10:00 北京时间（东8区）</x:v>
      </x:c>
      <x:c r="C744" s="49" t="str">
        <x:v>CLUB_LEAGUE</x:v>
      </x:c>
      <x:c r="D744" s="49" t="str">
        <x:v>联赛</x:v>
      </x:c>
      <x:c r="E744" s="49" t="str">
        <x:v>美冠联</x:v>
      </x:c>
      <x:c r="F744" s="49" t="str">
        <x:v>萨克拉门托 vs 拉斯维加斯之光</x:v>
      </x:c>
      <x:c r="G744" s="60" t="n">
        <x:v>0.79</x:v>
      </x:c>
      <x:c r="H744" s="60" t="n">
        <x:v>0.75</x:v>
      </x:c>
      <x:c r="I744" s="60" t="n">
        <x:v>1.03</x:v>
      </x:c>
      <x:c r="J744" s="49" t="str">
        <x:v>0.79/0.75/1.03</x:v>
      </x:c>
      <x:c r="K744" s="49"/>
      <x:c r="L744" s="49" t="str">
        <x:v>拉斯维加斯之光（下盘）</x:v>
      </x:c>
      <x:c r="M744" s="61" t="n">
        <x:v>0.546</x:v>
      </x:c>
      <x:c r="N744" s="49" t="str">
        <x:v>网页可投</x:v>
      </x:c>
      <x:c r="O744" s="49" t="str">
        <x:v>3-2</x:v>
      </x:c>
      <x:c r="P744" s="49" t="str">
        <x:v>已结算</x:v>
      </x:c>
      <x:c r="Q744" s="49" t="str">
        <x:v>黑半</x:v>
      </x:c>
      <x:c r="R744" s="50" t="n">
        <x:v>0.97</x:v>
      </x:c>
      <x:c r="S744" s="50" t="n">
        <x:v>-0.5</x:v>
      </x:c>
      <x:c r="T744" s="49" t="str">
        <x:v>D:\codex\v3_legacy\outputs\football_odds_trader\raw\titan007\20261002\20261002_081559_titan007_odds_snapshot.csv</x:v>
      </x:c>
      <x:c r="U744" s="49"/>
      <x:c r="V744" s="50"/>
      <x:c r="W744" s="50"/>
      <x:c r="X744" s="49" t="n">
        <x:v>0.96</x:v>
      </x:c>
      <x:c r="Y744" s="49" t="n">
        <x:v>1</x:v>
      </x:c>
      <x:c r="Z744" s="49" t="n">
        <x:v>0.8</x:v>
      </x:c>
      <x:c r="AA744" s="49"/>
      <x:c r="AB744" s="49"/>
      <x:c r="AC744" s="49" t="n">
        <x:v>0.97</x:v>
      </x:c>
      <x:c r="AD744" s="49" t="n">
        <x:v>1.64</x:v>
      </x:c>
      <x:c r="AE744" s="49" t="n">
        <x:v>3.65</x:v>
      </x:c>
      <x:c r="AF744" s="49" t="n">
        <x:v>4.65</x:v>
      </x:c>
      <x:c r="AG744" s="49"/>
      <x:c r="AH744" s="49"/>
      <x:c r="AI744" s="49"/>
      <x:c r="AJ744" s="49"/>
      <x:c r="AK744" s="49"/>
      <x:c r="AL744" s="49"/>
      <x:c r="AM744" s="49"/>
      <x:c r="AN744" s="49"/>
      <x:c r="AO744" s="49"/>
      <x:c r="AP744" s="49"/>
      <x:c r="AQ744" s="49" t="n">
        <x:v>0.75</x:v>
      </x:c>
      <x:c r="AR744" s="49"/>
      <x:c r="AS744" s="49"/>
      <x:c r="AT744" s="49"/>
      <x:c r="AU744" s="49"/>
      <x:c r="AV744" s="49"/>
      <x:c r="AW744" s="49"/>
      <x:c r="AX744" s="49"/>
      <x:c r="AY744" s="49" t="str">
        <x:v>Titan007 snapshot</x:v>
      </x:c>
    </x:row>
    <x:row r="745" ht="22" customHeight="1">
      <x:c r="A745" s="49" t="str">
        <x:v>2026-09-30</x:v>
      </x:c>
      <x:c r="B745" s="49" t="str">
        <x:v>2026-9-30 17:00 北京时间（东8区）</x:v>
      </x:c>
      <x:c r="C745" s="49" t="str">
        <x:v>NATIONAL_OFFICIAL</x:v>
      </x:c>
      <x:c r="D745" s="49" t="str">
        <x:v>杯赛</x:v>
      </x:c>
      <x:c r="E745" s="49" t="str">
        <x:v>东盟杯</x:v>
      </x:c>
      <x:c r="F745" s="49" t="str">
        <x:v>东帝汶(中) vs 柬埔寨</x:v>
      </x:c>
      <x:c r="G745" s="60" t="n">
        <x:v>0.99</x:v>
      </x:c>
      <x:c r="H745" s="60" t="n">
        <x:v>1.25</x:v>
      </x:c>
      <x:c r="I745" s="60" t="n">
        <x:v>0.77</x:v>
      </x:c>
      <x:c r="J745" s="49" t="str">
        <x:v>0.99/1.25/0.77</x:v>
      </x:c>
      <x:c r="K745" s="49" t="str">
        <x:v>降温保护/诱下</x:v>
      </x:c>
      <x:c r="L745" s="49" t="str">
        <x:v>东帝汶(中)</x:v>
      </x:c>
      <x:c r="M745" s="61" t="n">
        <x:v>0.545135</x:v>
      </x:c>
      <x:c r="N745" s="49" t="str">
        <x:v>网页可投</x:v>
      </x:c>
      <x:c r="O745" s="49" t="str">
        <x:v>2-2</x:v>
      </x:c>
      <x:c r="P745" s="49" t="str">
        <x:v>已结算</x:v>
      </x:c>
      <x:c r="Q745" s="49" t="str">
        <x:v>红</x:v>
      </x:c>
      <x:c r="R745" s="50" t="n">
        <x:v>0.99</x:v>
      </x:c>
      <x:c r="S745" s="50" t="n">
        <x:v>0.99</x:v>
      </x:c>
      <x:c r="T745" s="49" t="str">
        <x:v>D:\codex\v3_legacy\outputs\football_odds_trader\raw\titan007\20261001\20261001_084801_titan007_odds_snapshot.csv</x:v>
      </x:c>
      <x:c r="U745" s="49"/>
      <x:c r="V745" s="50"/>
      <x:c r="W745" s="50"/>
      <x:c r="X745" s="49" t="n">
        <x:v>0.99</x:v>
      </x:c>
      <x:c r="Y745" s="49" t="n">
        <x:v>-1.5</x:v>
      </x:c>
      <x:c r="Z745" s="49" t="n">
        <x:v>0.83</x:v>
      </x:c>
      <x:c r="AA745" s="49"/>
      <x:c r="AB745" s="49"/>
      <x:c r="AC745" s="49" t="n">
        <x:v>0.99</x:v>
      </x:c>
      <x:c r="AD745" s="49" t="n">
        <x:v>6.7</x:v>
      </x:c>
      <x:c r="AE745" s="49" t="n">
        <x:v>4.65</x:v>
      </x:c>
      <x:c r="AF745" s="49" t="n">
        <x:v>1.28</x:v>
      </x:c>
      <x:c r="AG745" s="49"/>
      <x:c r="AH745" s="49"/>
      <x:c r="AI745" s="49"/>
      <x:c r="AJ745" s="49"/>
      <x:c r="AK745" s="49"/>
      <x:c r="AL745" s="49"/>
      <x:c r="AM745" s="49"/>
      <x:c r="AN745" s="49"/>
      <x:c r="AO745" s="49"/>
      <x:c r="AP745" s="49"/>
      <x:c r="AQ745" s="49" t="n">
        <x:v>1.25</x:v>
      </x:c>
      <x:c r="AR745" s="49"/>
      <x:c r="AS745" s="49"/>
      <x:c r="AT745" s="49"/>
      <x:c r="AU745" s="49"/>
      <x:c r="AV745" s="49"/>
      <x:c r="AW745" s="49"/>
      <x:c r="AX745" s="49"/>
      <x:c r="AY745" s="49" t="str">
        <x:v>Titan007 snapshot</x:v>
      </x:c>
    </x:row>
    <x:row r="746" ht="22" customHeight="1">
      <x:c r="A746" s="49" t="str">
        <x:v>2026-09-30</x:v>
      </x:c>
      <x:c r="B746" s="49" t="str">
        <x:v>2026-09-30 22:00:00</x:v>
      </x:c>
      <x:c r="C746" s="49" t="str">
        <x:v>CONTINENTAL_CLUB</x:v>
      </x:c>
      <x:c r="D746" s="49" t="str">
        <x:v>杯赛</x:v>
      </x:c>
      <x:c r="E746" s="49" t="str">
        <x:v>女欧罗巴杯</x:v>
      </x:c>
      <x:c r="F746" s="49" t="str">
        <x:v>化奴女足 vs 布拉格斯巴达女足</x:v>
      </x:c>
      <x:c r="G746" s="60" t="n">
        <x:v>0.86</x:v>
      </x:c>
      <x:c r="H746" s="60" t="n">
        <x:v>1.5</x:v>
      </x:c>
      <x:c r="I746" s="60" t="n">
        <x:v>0.84</x:v>
      </x:c>
      <x:c r="J746" s="49" t="str">
        <x:v>0.86/1.5/0.84</x:v>
      </x:c>
      <x:c r="K746" s="49" t="str">
        <x:v>诱上/阻下</x:v>
      </x:c>
      <x:c r="L746" s="49" t="str">
        <x:v>布拉格斯巴达女足</x:v>
      </x:c>
      <x:c r="M746" s="61" t="n">
        <x:v>0.5950825250000001</x:v>
      </x:c>
      <x:c r="N746" s="49" t="str">
        <x:v>网页可投</x:v>
      </x:c>
      <x:c r="O746" s="49" t="str">
        <x:v>0-4</x:v>
      </x:c>
      <x:c r="P746" s="49" t="str">
        <x:v>已结算</x:v>
      </x:c>
      <x:c r="Q746" s="49" t="str">
        <x:v>红</x:v>
      </x:c>
      <x:c r="R746" s="50" t="n">
        <x:v>0.84</x:v>
      </x:c>
      <x:c r="S746" s="50" t="n">
        <x:v>0.84</x:v>
      </x:c>
      <x:c r="T746" s="49" t="str">
        <x:v>D:\codex\v3_legacy\outputs\football_odds_trader\raw\titan007\20261001\20261001_084801_titan007_odds_snapshot.csv</x:v>
      </x:c>
      <x:c r="U746" s="49"/>
      <x:c r="V746" s="50"/>
      <x:c r="W746" s="50"/>
      <x:c r="X746" s="49" t="n">
        <x:v>0.86</x:v>
      </x:c>
      <x:c r="Y746" s="49" t="n">
        <x:v>-1.5</x:v>
      </x:c>
      <x:c r="Z746" s="49" t="n">
        <x:v>0.84</x:v>
      </x:c>
      <x:c r="AA746" s="49"/>
      <x:c r="AB746" s="49"/>
      <x:c r="AC746" s="49" t="n">
        <x:v>0.84</x:v>
      </x:c>
      <x:c r="AD746" s="49" t="n">
        <x:v>6.2</x:v>
      </x:c>
      <x:c r="AE746" s="49" t="n">
        <x:v>4.85</x:v>
      </x:c>
      <x:c r="AF746" s="49" t="n">
        <x:v>1.27</x:v>
      </x:c>
      <x:c r="AG746" s="49"/>
      <x:c r="AH746" s="49"/>
      <x:c r="AI746" s="49"/>
      <x:c r="AJ746" s="49"/>
      <x:c r="AK746" s="49"/>
      <x:c r="AL746" s="49"/>
      <x:c r="AM746" s="49"/>
      <x:c r="AN746" s="49"/>
      <x:c r="AO746" s="49"/>
      <x:c r="AP746" s="49"/>
      <x:c r="AQ746" s="49" t="n">
        <x:v>1.5</x:v>
      </x:c>
      <x:c r="AR746" s="49"/>
      <x:c r="AS746" s="49"/>
      <x:c r="AT746" s="49"/>
      <x:c r="AU746" s="49"/>
      <x:c r="AV746" s="49"/>
      <x:c r="AW746" s="49"/>
      <x:c r="AX746" s="49"/>
      <x:c r="AY746" s="49" t="str">
        <x:v>Titan007 snapshot</x:v>
      </x:c>
    </x:row>
    <x:row r="747" ht="22" customHeight="1">
      <x:c r="A747" s="49" t="str">
        <x:v>2026-09-30</x:v>
      </x:c>
      <x:c r="B747" s="49" t="str">
        <x:v>2026-09-30 23:30:00</x:v>
      </x:c>
      <x:c r="C747" s="49" t="str">
        <x:v>CLUB_CUP</x:v>
      </x:c>
      <x:c r="D747" s="49" t="str">
        <x:v>杯赛</x:v>
      </x:c>
      <x:c r="E747" s="49" t="str">
        <x:v>皇后杯</x:v>
      </x:c>
      <x:c r="F747" s="49" t="str">
        <x:v>塞尔塔女足 vs 皇家奥维耶多女足</x:v>
      </x:c>
      <x:c r="G747" s="60" t="n">
        <x:v>1.01</x:v>
      </x:c>
      <x:c r="H747" s="60" t="n">
        <x:v>0.25</x:v>
      </x:c>
      <x:c r="I747" s="60" t="n">
        <x:v>0.81</x:v>
      </x:c>
      <x:c r="J747" s="49" t="str">
        <x:v>1.01/0.25/0.81</x:v>
      </x:c>
      <x:c r="K747" s="49" t="str">
        <x:v>诱上/阻下</x:v>
      </x:c>
      <x:c r="L747" s="49" t="str">
        <x:v>皇家奥维耶多女足</x:v>
      </x:c>
      <x:c r="M747" s="61" t="n">
        <x:v>0.5909053900000001</x:v>
      </x:c>
      <x:c r="N747" s="49" t="str">
        <x:v>网页可投</x:v>
      </x:c>
      <x:c r="O747" s="49" t="str">
        <x:v>3-1</x:v>
      </x:c>
      <x:c r="P747" s="49" t="str">
        <x:v>已结算</x:v>
      </x:c>
      <x:c r="Q747" s="49" t="str">
        <x:v>黑</x:v>
      </x:c>
      <x:c r="R747" s="50" t="n">
        <x:v>0.81</x:v>
      </x:c>
      <x:c r="S747" s="50" t="n">
        <x:v>-1</x:v>
      </x:c>
      <x:c r="T747" s="49" t="str">
        <x:v>D:\codex\v3_legacy\outputs\football_odds_trader\raw\titan007\20261001\20261001_084801_titan007_odds_snapshot.csv</x:v>
      </x:c>
      <x:c r="U747" s="49"/>
      <x:c r="V747" s="50"/>
      <x:c r="W747" s="50"/>
      <x:c r="X747" s="49" t="n">
        <x:v>0.95</x:v>
      </x:c>
      <x:c r="Y747" s="49" t="n">
        <x:v>-0.25</x:v>
      </x:c>
      <x:c r="Z747" s="49" t="n">
        <x:v>0.81</x:v>
      </x:c>
      <x:c r="AA747" s="49"/>
      <x:c r="AB747" s="49"/>
      <x:c r="AC747" s="49" t="n">
        <x:v>0.81</x:v>
      </x:c>
      <x:c r="AD747" s="49" t="n">
        <x:v>2.94</x:v>
      </x:c>
      <x:c r="AE747" s="49" t="n">
        <x:v>3.55</x:v>
      </x:c>
      <x:c r="AF747" s="49" t="n">
        <x:v>2.01</x:v>
      </x:c>
      <x:c r="AG747" s="49"/>
      <x:c r="AH747" s="49"/>
      <x:c r="AI747" s="49"/>
      <x:c r="AJ747" s="49"/>
      <x:c r="AK747" s="49"/>
      <x:c r="AL747" s="49"/>
      <x:c r="AM747" s="49"/>
      <x:c r="AN747" s="49"/>
      <x:c r="AO747" s="49"/>
      <x:c r="AP747" s="49"/>
      <x:c r="AQ747" s="49" t="n">
        <x:v>0.25</x:v>
      </x:c>
      <x:c r="AR747" s="49"/>
      <x:c r="AS747" s="49"/>
      <x:c r="AT747" s="49"/>
      <x:c r="AU747" s="49"/>
      <x:c r="AV747" s="49"/>
      <x:c r="AW747" s="49"/>
      <x:c r="AX747" s="49"/>
      <x:c r="AY747" s="49" t="str">
        <x:v>Titan007 snapshot</x:v>
      </x:c>
    </x:row>
    <x:row r="748" ht="22" customHeight="1">
      <x:c r="A748" s="49" t="str">
        <x:v>2026-10-01</x:v>
      </x:c>
      <x:c r="B748" s="49" t="str">
        <x:v>2026-10-01 14:10:00</x:v>
      </x:c>
      <x:c r="C748" s="49" t="str">
        <x:v>CLUB_CUP</x:v>
      </x:c>
      <x:c r="D748" s="49" t="str">
        <x:v>杯赛</x:v>
      </x:c>
      <x:c r="E748" s="49" t="str">
        <x:v>麒麟杯</x:v>
      </x:c>
      <x:c r="F748" s="49" t="str">
        <x:v>巴拿马 vs 新西兰</x:v>
      </x:c>
      <x:c r="G748" s="60" t="n">
        <x:v>0.83</x:v>
      </x:c>
      <x:c r="H748" s="60" t="n">
        <x:v>0</x:v>
      </x:c>
      <x:c r="I748" s="60" t="n">
        <x:v>0.99</x:v>
      </x:c>
      <x:c r="J748" s="49" t="str">
        <x:v>0.83/0.0/0.99</x:v>
      </x:c>
      <x:c r="K748" s="49" t="str">
        <x:v>诱上/阻下</x:v>
      </x:c>
      <x:c r="L748" s="49" t="str">
        <x:v>巴拿马</x:v>
      </x:c>
      <x:c r="M748" s="61" t="n">
        <x:v>0.5909053900000001</x:v>
      </x:c>
      <x:c r="N748" s="49" t="str">
        <x:v>网页可投</x:v>
      </x:c>
      <x:c r="O748" s="49" t="str">
        <x:v>1-1</x:v>
      </x:c>
      <x:c r="P748" s="49" t="str">
        <x:v>已结算</x:v>
      </x:c>
      <x:c r="Q748" s="49" t="str">
        <x:v>走</x:v>
      </x:c>
      <x:c r="R748" s="50" t="n">
        <x:v>0.83</x:v>
      </x:c>
      <x:c r="S748" s="50" t="n">
        <x:v>0</x:v>
      </x:c>
      <x:c r="T748" s="49" t="str">
        <x:v>D:\codex\v3_legacy\outputs\football_odds_trader\raw\titan007\20261002\20261002_081559_titan007_odds_snapshot.csv</x:v>
      </x:c>
      <x:c r="U748" s="49"/>
      <x:c r="V748" s="50"/>
      <x:c r="W748" s="50"/>
      <x:c r="X748" s="49" t="n">
        <x:v>0.78</x:v>
      </x:c>
      <x:c r="Y748" s="49" t="n">
        <x:v>0</x:v>
      </x:c>
      <x:c r="Z748" s="49" t="n">
        <x:v>1.04</x:v>
      </x:c>
      <x:c r="AA748" s="49"/>
      <x:c r="AB748" s="49"/>
      <x:c r="AC748" s="49" t="n">
        <x:v>0.83</x:v>
      </x:c>
      <x:c r="AD748" s="49" t="n">
        <x:v>2.35</x:v>
      </x:c>
      <x:c r="AE748" s="49" t="n">
        <x:v>3.22</x:v>
      </x:c>
      <x:c r="AF748" s="49" t="n">
        <x:v>2.87</x:v>
      </x:c>
      <x:c r="AG748" s="49"/>
      <x:c r="AH748" s="49"/>
      <x:c r="AI748" s="49"/>
      <x:c r="AJ748" s="49"/>
      <x:c r="AK748" s="49"/>
      <x:c r="AL748" s="49"/>
      <x:c r="AM748" s="49"/>
      <x:c r="AN748" s="49"/>
      <x:c r="AO748" s="49"/>
      <x:c r="AP748" s="49"/>
      <x:c r="AQ748" s="49" t="n">
        <x:v>0</x:v>
      </x:c>
      <x:c r="AR748" s="49"/>
      <x:c r="AS748" s="49"/>
      <x:c r="AT748" s="49"/>
      <x:c r="AU748" s="49"/>
      <x:c r="AV748" s="49"/>
      <x:c r="AW748" s="49"/>
      <x:c r="AX748" s="49"/>
      <x:c r="AY748" s="49" t="str">
        <x:v>Titan007 Next</x:v>
      </x:c>
    </x:row>
    <x:row r="749" ht="22" customHeight="1">
      <x:c r="A749" s="49" t="str">
        <x:v>2026-10-01</x:v>
      </x:c>
      <x:c r="B749" s="49" t="str">
        <x:v>2026-10-01 18:10:00</x:v>
      </x:c>
      <x:c r="C749" s="49" t="str">
        <x:v>CLUB_CUP</x:v>
      </x:c>
      <x:c r="D749" s="49" t="str">
        <x:v>杯赛</x:v>
      </x:c>
      <x:c r="E749" s="49" t="str">
        <x:v>麒麟杯</x:v>
      </x:c>
      <x:c r="F749" s="49" t="str">
        <x:v>日本 vs 厄瓜多尔</x:v>
      </x:c>
      <x:c r="G749" s="60" t="n">
        <x:v>0.82</x:v>
      </x:c>
      <x:c r="H749" s="60" t="n">
        <x:v>0.75</x:v>
      </x:c>
      <x:c r="I749" s="60" t="n">
        <x:v>1</x:v>
      </x:c>
      <x:c r="J749" s="49" t="str">
        <x:v>0.82/0.75/1.0</x:v>
      </x:c>
      <x:c r="K749" s="49" t="str">
        <x:v>诱上/阻下</x:v>
      </x:c>
      <x:c r="L749" s="49" t="str">
        <x:v>日本</x:v>
      </x:c>
      <x:c r="M749" s="61" t="n">
        <x:v>0.5909053900000001</x:v>
      </x:c>
      <x:c r="N749" s="49" t="str">
        <x:v>网页可投</x:v>
      </x:c>
      <x:c r="O749" s="49" t="str">
        <x:v>0-0</x:v>
      </x:c>
      <x:c r="P749" s="49" t="str">
        <x:v>已结算</x:v>
      </x:c>
      <x:c r="Q749" s="49" t="str">
        <x:v>黑</x:v>
      </x:c>
      <x:c r="R749" s="50" t="n">
        <x:v>0.82</x:v>
      </x:c>
      <x:c r="S749" s="50" t="n">
        <x:v>-1</x:v>
      </x:c>
      <x:c r="T749" s="49" t="str">
        <x:v>D:\codex\v3_legacy\outputs\football_odds_trader\raw\titan007\20261002\20261002_081559_titan007_odds_snapshot.csv</x:v>
      </x:c>
      <x:c r="U749" s="49"/>
      <x:c r="V749" s="50"/>
      <x:c r="W749" s="50"/>
      <x:c r="X749" s="49" t="n">
        <x:v>0.88</x:v>
      </x:c>
      <x:c r="Y749" s="49" t="n">
        <x:v>0.5</x:v>
      </x:c>
      <x:c r="Z749" s="49" t="n">
        <x:v>0.94</x:v>
      </x:c>
      <x:c r="AA749" s="49"/>
      <x:c r="AB749" s="49"/>
      <x:c r="AC749" s="49" t="n">
        <x:v>0.82</x:v>
      </x:c>
      <x:c r="AD749" s="49" t="n">
        <x:v>1.88</x:v>
      </x:c>
      <x:c r="AE749" s="49" t="n">
        <x:v>3.33</x:v>
      </x:c>
      <x:c r="AF749" s="49" t="n">
        <x:v>4.01</x:v>
      </x:c>
      <x:c r="AG749" s="49"/>
      <x:c r="AH749" s="49"/>
      <x:c r="AI749" s="49"/>
      <x:c r="AJ749" s="49"/>
      <x:c r="AK749" s="49"/>
      <x:c r="AL749" s="49"/>
      <x:c r="AM749" s="49"/>
      <x:c r="AN749" s="49"/>
      <x:c r="AO749" s="49"/>
      <x:c r="AP749" s="49"/>
      <x:c r="AQ749" s="49" t="n">
        <x:v>0.75</x:v>
      </x:c>
      <x:c r="AR749" s="49"/>
      <x:c r="AS749" s="49"/>
      <x:c r="AT749" s="49"/>
      <x:c r="AU749" s="49"/>
      <x:c r="AV749" s="49"/>
      <x:c r="AW749" s="49"/>
      <x:c r="AX749" s="49"/>
      <x:c r="AY749" s="49" t="str">
        <x:v>Titan007 Next</x:v>
      </x:c>
    </x:row>
    <x:row r="750" ht="22" customHeight="1">
      <x:c r="A750" s="49" t="str">
        <x:v>2026-10-01</x:v>
      </x:c>
      <x:c r="B750" s="49" t="str">
        <x:v>2026-10-02 00:00:00</x:v>
      </x:c>
      <x:c r="C750" s="49" t="str">
        <x:v>CLUB_CUP</x:v>
      </x:c>
      <x:c r="D750" s="49" t="str">
        <x:v>杯赛</x:v>
      </x:c>
      <x:c r="E750" s="49" t="str">
        <x:v>挪威杯</x:v>
      </x:c>
      <x:c r="F750" s="49" t="str">
        <x:v>巴洛姆 vs 利勒斯特罗姆</x:v>
      </x:c>
      <x:c r="G750" s="60" t="n">
        <x:v>0.86</x:v>
      </x:c>
      <x:c r="H750" s="60" t="n">
        <x:v>2.5</x:v>
      </x:c>
      <x:c r="I750" s="60" t="n">
        <x:v>0.84</x:v>
      </x:c>
      <x:c r="J750" s="49" t="str">
        <x:v>0.86/2.5/0.84</x:v>
      </x:c>
      <x:c r="K750" s="49" t="str">
        <x:v>诱上/阻下</x:v>
      </x:c>
      <x:c r="L750" s="49" t="str">
        <x:v>利勒斯特罗姆</x:v>
      </x:c>
      <x:c r="M750" s="61" t="n">
        <x:v>0.57826776</x:v>
      </x:c>
      <x:c r="N750" s="49" t="str">
        <x:v>网页可投</x:v>
      </x:c>
      <x:c r="O750" s="49" t="str">
        <x:v>1-5</x:v>
      </x:c>
      <x:c r="P750" s="49" t="str">
        <x:v>已结算</x:v>
      </x:c>
      <x:c r="Q750" s="49" t="str">
        <x:v>红</x:v>
      </x:c>
      <x:c r="R750" s="50" t="n">
        <x:v>0.84</x:v>
      </x:c>
      <x:c r="S750" s="50" t="n">
        <x:v>0.84</x:v>
      </x:c>
      <x:c r="T750" s="49" t="str">
        <x:v>D:\codex\v3_legacy\outputs\football_odds_trader\raw\titan007\20261002\20261002_081559_titan007_odds_snapshot.csv</x:v>
      </x:c>
      <x:c r="U750" s="49"/>
      <x:c r="V750" s="50"/>
      <x:c r="W750" s="50"/>
      <x:c r="X750" s="49" t="n">
        <x:v>0.86</x:v>
      </x:c>
      <x:c r="Y750" s="49" t="n">
        <x:v>-2.5</x:v>
      </x:c>
      <x:c r="Z750" s="49" t="n">
        <x:v>0.84</x:v>
      </x:c>
      <x:c r="AA750" s="49"/>
      <x:c r="AB750" s="49"/>
      <x:c r="AC750" s="49" t="n">
        <x:v>0.84</x:v>
      </x:c>
      <x:c r="AD750" s="49" t="n">
        <x:v>12.62</x:v>
      </x:c>
      <x:c r="AE750" s="49" t="n">
        <x:v>6.95</x:v>
      </x:c>
      <x:c r="AF750" s="49" t="n">
        <x:v>1.14</x:v>
      </x:c>
      <x:c r="AG750" s="49"/>
      <x:c r="AH750" s="49"/>
      <x:c r="AI750" s="49"/>
      <x:c r="AJ750" s="49"/>
      <x:c r="AK750" s="49"/>
      <x:c r="AL750" s="49"/>
      <x:c r="AM750" s="49"/>
      <x:c r="AN750" s="49"/>
      <x:c r="AO750" s="49"/>
      <x:c r="AP750" s="49"/>
      <x:c r="AQ750" s="49" t="n">
        <x:v>2.5</x:v>
      </x:c>
      <x:c r="AR750" s="49"/>
      <x:c r="AS750" s="49"/>
      <x:c r="AT750" s="49"/>
      <x:c r="AU750" s="49"/>
      <x:c r="AV750" s="49"/>
      <x:c r="AW750" s="49"/>
      <x:c r="AX750" s="49"/>
      <x:c r="AY750" s="49" t="str">
        <x:v>Titan007 Next</x:v>
      </x:c>
    </x:row>
    <x:row r="751" ht="22" customHeight="1">
      <x:c r="A751" s="49" t="str">
        <x:v>2026-10-01</x:v>
      </x:c>
      <x:c r="B751" s="49" t="str">
        <x:v>2026-10-02 00:00:00</x:v>
      </x:c>
      <x:c r="C751" s="49" t="str">
        <x:v>NATIONAL_OFFICIAL</x:v>
      </x:c>
      <x:c r="D751" s="49" t="str">
        <x:v>杯赛</x:v>
      </x:c>
      <x:c r="E751" s="49" t="str">
        <x:v>非洲杯</x:v>
      </x:c>
      <x:c r="F751" s="49" t="str">
        <x:v>几内亚 vs 肯尼亚</x:v>
      </x:c>
      <x:c r="G751" s="60" t="n">
        <x:v>0.78</x:v>
      </x:c>
      <x:c r="H751" s="60" t="n">
        <x:v>0.75</x:v>
      </x:c>
      <x:c r="I751" s="60" t="n">
        <x:v>0.92</x:v>
      </x:c>
      <x:c r="J751" s="49" t="str">
        <x:v>0.78/0.75/0.92</x:v>
      </x:c>
      <x:c r="K751" s="49" t="str">
        <x:v>诱上/阻下</x:v>
      </x:c>
      <x:c r="L751" s="49" t="str">
        <x:v>几内亚</x:v>
      </x:c>
      <x:c r="M751" s="61" t="n">
        <x:v>0.59700388</x:v>
      </x:c>
      <x:c r="N751" s="49" t="str">
        <x:v>网页可投</x:v>
      </x:c>
      <x:c r="O751" s="49" t="str">
        <x:v>1-0</x:v>
      </x:c>
      <x:c r="P751" s="49" t="str">
        <x:v>已结算</x:v>
      </x:c>
      <x:c r="Q751" s="49" t="str">
        <x:v>半红</x:v>
      </x:c>
      <x:c r="R751" s="50" t="n">
        <x:v>0.78</x:v>
      </x:c>
      <x:c r="S751" s="50" t="n">
        <x:v>0.39</x:v>
      </x:c>
      <x:c r="T751" s="49" t="str">
        <x:v>D:\codex\v3_legacy\outputs\football_odds_trader\raw\titan007\20261002\20261002_081559_titan007_odds_snapshot.csv</x:v>
      </x:c>
      <x:c r="U751" s="49"/>
      <x:c r="V751" s="50"/>
      <x:c r="W751" s="50"/>
      <x:c r="X751" s="49" t="n">
        <x:v>0.88</x:v>
      </x:c>
      <x:c r="Y751" s="49" t="n">
        <x:v>0.75</x:v>
      </x:c>
      <x:c r="Z751" s="49" t="n">
        <x:v>0.82</x:v>
      </x:c>
      <x:c r="AA751" s="49"/>
      <x:c r="AB751" s="49"/>
      <x:c r="AC751" s="49" t="n">
        <x:v>0.78</x:v>
      </x:c>
      <x:c r="AD751" s="49" t="n">
        <x:v>1.64</x:v>
      </x:c>
      <x:c r="AE751" s="49" t="n">
        <x:v>3.24</x:v>
      </x:c>
      <x:c r="AF751" s="49" t="n">
        <x:v>5.65</x:v>
      </x:c>
      <x:c r="AG751" s="49"/>
      <x:c r="AH751" s="49"/>
      <x:c r="AI751" s="49"/>
      <x:c r="AJ751" s="49"/>
      <x:c r="AK751" s="49"/>
      <x:c r="AL751" s="49"/>
      <x:c r="AM751" s="49"/>
      <x:c r="AN751" s="49"/>
      <x:c r="AO751" s="49"/>
      <x:c r="AP751" s="49"/>
      <x:c r="AQ751" s="49" t="n">
        <x:v>0.75</x:v>
      </x:c>
      <x:c r="AR751" s="49"/>
      <x:c r="AS751" s="49"/>
      <x:c r="AT751" s="49"/>
      <x:c r="AU751" s="49"/>
      <x:c r="AV751" s="49"/>
      <x:c r="AW751" s="49"/>
      <x:c r="AX751" s="49"/>
      <x:c r="AY751" s="49" t="str">
        <x:v>Titan007 Next</x:v>
      </x:c>
    </x:row>
    <x:row r="752" ht="22" customHeight="1">
      <x:c r="A752" s="49" t="str">
        <x:v>2026-10-01</x:v>
      </x:c>
      <x:c r="B752" s="49" t="str">
        <x:v>2026-10-02 00:45:00</x:v>
      </x:c>
      <x:c r="C752" s="49" t="str">
        <x:v>CLUB_CUP</x:v>
      </x:c>
      <x:c r="D752" s="49" t="str">
        <x:v>杯赛</x:v>
      </x:c>
      <x:c r="E752" s="49" t="str">
        <x:v>欧女杯</x:v>
      </x:c>
      <x:c r="F752" s="49" t="str">
        <x:v>靴尔科治女足 vs 塞尔维特女足</x:v>
      </x:c>
      <x:c r="G752" s="60" t="n">
        <x:v>0.83</x:v>
      </x:c>
      <x:c r="H752" s="60" t="n">
        <x:v>1.5</x:v>
      </x:c>
      <x:c r="I752" s="60" t="n">
        <x:v>0.87</x:v>
      </x:c>
      <x:c r="J752" s="49" t="str">
        <x:v>0.83/1.5/0.87</x:v>
      </x:c>
      <x:c r="K752" s="49" t="str">
        <x:v>诱上/阻下</x:v>
      </x:c>
      <x:c r="L752" s="49" t="str">
        <x:v>靴尔科治女足</x:v>
      </x:c>
      <x:c r="M752" s="61" t="n">
        <x:v>0.5751208350000001</x:v>
      </x:c>
      <x:c r="N752" s="49" t="str">
        <x:v>网页可投</x:v>
      </x:c>
      <x:c r="O752" s="49" t="str">
        <x:v>5-1</x:v>
      </x:c>
      <x:c r="P752" s="49" t="str">
        <x:v>已结算</x:v>
      </x:c>
      <x:c r="Q752" s="49" t="str">
        <x:v>红</x:v>
      </x:c>
      <x:c r="R752" s="50" t="n">
        <x:v>0.83</x:v>
      </x:c>
      <x:c r="S752" s="50" t="n">
        <x:v>0.83</x:v>
      </x:c>
      <x:c r="T752" s="49" t="str">
        <x:v>D:\codex\v3_legacy\outputs\football_odds_trader\raw\titan007\20261002\20261002_081559_titan007_odds_snapshot.csv</x:v>
      </x:c>
      <x:c r="U752" s="49"/>
      <x:c r="V752" s="50"/>
      <x:c r="W752" s="50"/>
      <x:c r="X752" s="49" t="n">
        <x:v>0.83</x:v>
      </x:c>
      <x:c r="Y752" s="49" t="n">
        <x:v>1.5</x:v>
      </x:c>
      <x:c r="Z752" s="49" t="n">
        <x:v>0.87</x:v>
      </x:c>
      <x:c r="AA752" s="49"/>
      <x:c r="AB752" s="49"/>
      <x:c r="AC752" s="49" t="n">
        <x:v>0.83</x:v>
      </x:c>
      <x:c r="AD752" s="49" t="n">
        <x:v>1.28</x:v>
      </x:c>
      <x:c r="AE752" s="49" t="n">
        <x:v>5.32</x:v>
      </x:c>
      <x:c r="AF752" s="49" t="n">
        <x:v>8.08</x:v>
      </x:c>
      <x:c r="AG752" s="49"/>
      <x:c r="AH752" s="49"/>
      <x:c r="AI752" s="49"/>
      <x:c r="AJ752" s="49"/>
      <x:c r="AK752" s="49"/>
      <x:c r="AL752" s="49"/>
      <x:c r="AM752" s="49"/>
      <x:c r="AN752" s="49"/>
      <x:c r="AO752" s="49"/>
      <x:c r="AP752" s="49"/>
      <x:c r="AQ752" s="49" t="n">
        <x:v>1.5</x:v>
      </x:c>
      <x:c r="AR752" s="49"/>
      <x:c r="AS752" s="49"/>
      <x:c r="AT752" s="49"/>
      <x:c r="AU752" s="49"/>
      <x:c r="AV752" s="49"/>
      <x:c r="AW752" s="49"/>
      <x:c r="AX752" s="49"/>
      <x:c r="AY752" s="49" t="str">
        <x:v>Titan007 Next</x:v>
      </x:c>
    </x:row>
    <x:row r="753" ht="22" customHeight="1">
      <x:c r="A753" s="49" t="str">
        <x:v>2026-10-01</x:v>
      </x:c>
      <x:c r="B753" s="49" t="str">
        <x:v>2026-10-02 08:00:00</x:v>
      </x:c>
      <x:c r="C753" s="49" t="str">
        <x:v>NATIONAL_OFFICIAL</x:v>
      </x:c>
      <x:c r="D753" s="49" t="str">
        <x:v>联赛</x:v>
      </x:c>
      <x:c r="E753" s="49" t="str">
        <x:v>中北美国联</x:v>
      </x:c>
      <x:c r="F753" s="49" t="str">
        <x:v>开曼群岛 vs 波多黎各</x:v>
      </x:c>
      <x:c r="G753" s="60" t="n">
        <x:v>0.94</x:v>
      </x:c>
      <x:c r="H753" s="60" t="n">
        <x:v>2.5</x:v>
      </x:c>
      <x:c r="I753" s="60" t="n">
        <x:v>0.76</x:v>
      </x:c>
      <x:c r="J753" s="49" t="str">
        <x:v>0.94/2.5/0.76</x:v>
      </x:c>
      <x:c r="K753" s="49" t="str">
        <x:v>诱上/阻下</x:v>
      </x:c>
      <x:c r="L753" s="49" t="str">
        <x:v>开曼群岛（下盘）</x:v>
      </x:c>
      <x:c r="M753" s="61" t="n">
        <x:v>0.59048388</x:v>
      </x:c>
      <x:c r="N753" s="49" t="str">
        <x:v>网页可投</x:v>
      </x:c>
      <x:c r="O753" s="49" t="str">
        <x:v>0-3</x:v>
      </x:c>
      <x:c r="P753" s="49" t="str">
        <x:v>已结算</x:v>
      </x:c>
      <x:c r="Q753" s="49" t="str">
        <x:v>黑半</x:v>
      </x:c>
      <x:c r="R753" s="50" t="n">
        <x:v>0.94</x:v>
      </x:c>
      <x:c r="S753" s="50" t="n">
        <x:v>-0.5</x:v>
      </x:c>
      <x:c r="T753" s="49" t="str">
        <x:v>D:\codex\v3_legacy\outputs\football_odds_trader\raw\titan007\20261003\20261003_092303_titan007_odds_snapshot.csv</x:v>
      </x:c>
      <x:c r="U753" s="49"/>
      <x:c r="V753" s="50"/>
      <x:c r="W753" s="50"/>
      <x:c r="X753" s="49" t="n">
        <x:v>0.94</x:v>
      </x:c>
      <x:c r="Y753" s="49" t="n">
        <x:v>-2.5</x:v>
      </x:c>
      <x:c r="Z753" s="49" t="n">
        <x:v>0.76</x:v>
      </x:c>
      <x:c r="AA753" s="49"/>
      <x:c r="AB753" s="49"/>
      <x:c r="AC753" s="49" t="n">
        <x:v>0.94</x:v>
      </x:c>
      <x:c r="AD753" s="49" t="n">
        <x:v>21.12</x:v>
      </x:c>
      <x:c r="AE753" s="49" t="n">
        <x:v>7.56</x:v>
      </x:c>
      <x:c r="AF753" s="49" t="n">
        <x:v>1.1</x:v>
      </x:c>
      <x:c r="AG753" s="49"/>
      <x:c r="AH753" s="49"/>
      <x:c r="AI753" s="49"/>
      <x:c r="AJ753" s="49"/>
      <x:c r="AK753" s="49"/>
      <x:c r="AL753" s="49"/>
      <x:c r="AM753" s="49"/>
      <x:c r="AN753" s="49"/>
      <x:c r="AO753" s="49"/>
      <x:c r="AP753" s="49"/>
      <x:c r="AQ753" s="49" t="n">
        <x:v>2.5</x:v>
      </x:c>
      <x:c r="AR753" s="49"/>
      <x:c r="AS753" s="49"/>
      <x:c r="AT753" s="49"/>
      <x:c r="AU753" s="49"/>
      <x:c r="AV753" s="49"/>
      <x:c r="AW753" s="49"/>
      <x:c r="AX753" s="49"/>
      <x:c r="AY753" s="49" t="str">
        <x:v>Titan007 Next</x:v>
      </x:c>
    </x:row>
    <x:row r="754" ht="22" customHeight="1">
      <x:c r="A754" s="49" t="str">
        <x:v>2026-10-02</x:v>
      </x:c>
      <x:c r="B754" s="49" t="str">
        <x:v>2026-10-03 00:00:00</x:v>
      </x:c>
      <x:c r="C754" s="49" t="str">
        <x:v>CLUB_LEAGUE</x:v>
      </x:c>
      <x:c r="D754" s="49" t="str">
        <x:v>联赛</x:v>
      </x:c>
      <x:c r="E754" s="49" t="str">
        <x:v>捷丙</x:v>
      </x:c>
      <x:c r="F754" s="49" t="str">
        <x:v>赫拉尼斯 vs 利森B队</x:v>
      </x:c>
      <x:c r="G754" s="60" t="n">
        <x:v>0.9</x:v>
      </x:c>
      <x:c r="H754" s="60" t="n">
        <x:v>0.75</x:v>
      </x:c>
      <x:c r="I754" s="60" t="n">
        <x:v>0.8</x:v>
      </x:c>
      <x:c r="J754" s="49" t="str">
        <x:v>0.9/0.75/0.8</x:v>
      </x:c>
      <x:c r="K754" s="49"/>
      <x:c r="L754" s="49" t="str">
        <x:v>利森B队</x:v>
      </x:c>
      <x:c r="M754" s="61" t="n">
        <x:v>0.5760000000000001</x:v>
      </x:c>
      <x:c r="N754" s="49" t="str">
        <x:v>网页可投</x:v>
      </x:c>
      <x:c r="O754" s="49" t="str">
        <x:v>1-1</x:v>
      </x:c>
      <x:c r="P754" s="49" t="str">
        <x:v>已结算</x:v>
      </x:c>
      <x:c r="Q754" s="49" t="str">
        <x:v>黑</x:v>
      </x:c>
      <x:c r="R754" s="50" t="n">
        <x:v>0.8</x:v>
      </x:c>
      <x:c r="S754" s="50" t="n">
        <x:v>-1</x:v>
      </x:c>
      <x:c r="T754" s="49" t="str">
        <x:v>D:\codex\v3_legacy\outputs\football_odds_trader\raw\titan007\20261003\20261003_092303_titan007_odds_snapshot.csv</x:v>
      </x:c>
      <x:c r="U754" s="49"/>
      <x:c r="V754" s="50"/>
      <x:c r="W754" s="50"/>
      <x:c r="X754" s="49" t="n">
        <x:v>0.9</x:v>
      </x:c>
      <x:c r="Y754" s="49" t="n">
        <x:v>-0.75</x:v>
      </x:c>
      <x:c r="Z754" s="49" t="n">
        <x:v>0.8</x:v>
      </x:c>
      <x:c r="AA754" s="49"/>
      <x:c r="AB754" s="49"/>
      <x:c r="AC754" s="49" t="n">
        <x:v>0.8</x:v>
      </x:c>
      <x:c r="AD754" s="49" t="n">
        <x:v>5.03</x:v>
      </x:c>
      <x:c r="AE754" s="49" t="n">
        <x:v>4.28</x:v>
      </x:c>
      <x:c r="AF754" s="49" t="n">
        <x:v>1.5</x:v>
      </x:c>
      <x:c r="AG754" s="49"/>
      <x:c r="AH754" s="49"/>
      <x:c r="AI754" s="49"/>
      <x:c r="AJ754" s="49"/>
      <x:c r="AK754" s="49"/>
      <x:c r="AL754" s="49"/>
      <x:c r="AM754" s="49"/>
      <x:c r="AN754" s="49"/>
      <x:c r="AO754" s="49"/>
      <x:c r="AP754" s="49"/>
      <x:c r="AQ754" s="49" t="n">
        <x:v>0.75</x:v>
      </x:c>
      <x:c r="AR754" s="49"/>
      <x:c r="AS754" s="49"/>
      <x:c r="AT754" s="49"/>
      <x:c r="AU754" s="49"/>
      <x:c r="AV754" s="49"/>
      <x:c r="AW754" s="49"/>
      <x:c r="AX754" s="49"/>
      <x:c r="AY754" s="49" t="str">
        <x:v>Titan007 Next</x:v>
      </x:c>
    </x:row>
    <x:row r="755" ht="22" customHeight="1">
      <x:c r="A755" s="49" t="str">
        <x:v>2026-10-02</x:v>
      </x:c>
      <x:c r="B755" s="49" t="str">
        <x:v>2026-10-03 02:30:00</x:v>
      </x:c>
      <x:c r="C755" s="49" t="str">
        <x:v>CLUB_CUP</x:v>
      </x:c>
      <x:c r="D755" s="49" t="str">
        <x:v>杯赛</x:v>
      </x:c>
      <x:c r="E755" s="49" t="str">
        <x:v>苏总杯</x:v>
      </x:c>
      <x:c r="F755" s="49" t="str">
        <x:v>卡诺克少年 vs 奥治尼历克</x:v>
      </x:c>
      <x:c r="G755" s="60" t="n">
        <x:v>0.98</x:v>
      </x:c>
      <x:c r="H755" s="60" t="n">
        <x:v>0.25</x:v>
      </x:c>
      <x:c r="I755" s="60" t="n">
        <x:v>0.84</x:v>
      </x:c>
      <x:c r="J755" s="49" t="str">
        <x:v>0.98/0.25/0.84</x:v>
      </x:c>
      <x:c r="K755" s="49" t="str">
        <x:v>诱上/阻下</x:v>
      </x:c>
      <x:c r="L755" s="49" t="str">
        <x:v>奥治尼历克</x:v>
      </x:c>
      <x:c r="M755" s="61" t="n">
        <x:v>0.57754539</x:v>
      </x:c>
      <x:c r="N755" s="49" t="str">
        <x:v>网页可投</x:v>
      </x:c>
      <x:c r="O755" s="49" t="str">
        <x:v>2-0</x:v>
      </x:c>
      <x:c r="P755" s="49" t="str">
        <x:v>已结算</x:v>
      </x:c>
      <x:c r="Q755" s="49" t="str">
        <x:v>黑</x:v>
      </x:c>
      <x:c r="R755" s="50" t="n">
        <x:v>0.84</x:v>
      </x:c>
      <x:c r="S755" s="50" t="n">
        <x:v>-1</x:v>
      </x:c>
      <x:c r="T755" s="49" t="str">
        <x:v>D:\codex\v3_legacy\outputs\football_odds_trader\raw\titan007\20261003\20261003_092303_titan007_odds_snapshot.csv</x:v>
      </x:c>
      <x:c r="U755" s="49"/>
      <x:c r="V755" s="50"/>
      <x:c r="W755" s="50"/>
      <x:c r="X755" s="49" t="n">
        <x:v>0.98</x:v>
      </x:c>
      <x:c r="Y755" s="49" t="n">
        <x:v>-0.25</x:v>
      </x:c>
      <x:c r="Z755" s="49" t="n">
        <x:v>0.84</x:v>
      </x:c>
      <x:c r="AA755" s="49"/>
      <x:c r="AB755" s="49"/>
      <x:c r="AC755" s="49" t="n">
        <x:v>0.84</x:v>
      </x:c>
      <x:c r="AD755" s="49" t="n">
        <x:v>2.65</x:v>
      </x:c>
      <x:c r="AE755" s="49" t="n">
        <x:v>3.99</x:v>
      </x:c>
      <x:c r="AF755" s="49" t="n">
        <x:v>2.12</x:v>
      </x:c>
      <x:c r="AG755" s="49"/>
      <x:c r="AH755" s="49"/>
      <x:c r="AI755" s="49"/>
      <x:c r="AJ755" s="49"/>
      <x:c r="AK755" s="49"/>
      <x:c r="AL755" s="49"/>
      <x:c r="AM755" s="49"/>
      <x:c r="AN755" s="49"/>
      <x:c r="AO755" s="49"/>
      <x:c r="AP755" s="49"/>
      <x:c r="AQ755" s="49" t="n">
        <x:v>0.25</x:v>
      </x:c>
      <x:c r="AR755" s="49"/>
      <x:c r="AS755" s="49"/>
      <x:c r="AT755" s="49"/>
      <x:c r="AU755" s="49"/>
      <x:c r="AV755" s="49"/>
      <x:c r="AW755" s="49"/>
      <x:c r="AX755" s="49"/>
      <x:c r="AY755" s="49" t="str">
        <x:v>Titan007 Next</x:v>
      </x:c>
    </x:row>
    <x:row r="756" ht="22" customHeight="1">
      <x:c r="A756" s="49" t="str">
        <x:v>2026-10-02</x:v>
      </x:c>
      <x:c r="B756" s="49" t="str">
        <x:v>2026-10-03 03:15:00</x:v>
      </x:c>
      <x:c r="C756" s="49" t="str">
        <x:v>CLUB_LEAGUE</x:v>
      </x:c>
      <x:c r="D756" s="49" t="str">
        <x:v>联赛</x:v>
      </x:c>
      <x:c r="E756" s="49" t="str">
        <x:v>西协甲</x:v>
      </x:c>
      <x:c r="F756" s="49" t="str">
        <x:v>皇家马德里B队 vs 马德里竞技B队</x:v>
      </x:c>
      <x:c r="G756" s="60" t="n">
        <x:v>0.8</x:v>
      </x:c>
      <x:c r="H756" s="60" t="n">
        <x:v>0.75</x:v>
      </x:c>
      <x:c r="I756" s="60" t="n">
        <x:v>0.9</x:v>
      </x:c>
      <x:c r="J756" s="49" t="str">
        <x:v>0.8/0.75/0.9</x:v>
      </x:c>
      <x:c r="K756" s="49"/>
      <x:c r="L756" s="49" t="str">
        <x:v>皇家马德里B队</x:v>
      </x:c>
      <x:c r="M756" s="61" t="n">
        <x:v>0.584</x:v>
      </x:c>
      <x:c r="N756" s="49" t="str">
        <x:v>网页可投</x:v>
      </x:c>
      <x:c r="O756" s="49" t="str">
        <x:v>3-2</x:v>
      </x:c>
      <x:c r="P756" s="49" t="str">
        <x:v>已结算</x:v>
      </x:c>
      <x:c r="Q756" s="49" t="str">
        <x:v>半红</x:v>
      </x:c>
      <x:c r="R756" s="50" t="n">
        <x:v>0.8</x:v>
      </x:c>
      <x:c r="S756" s="50" t="n">
        <x:v>0.4</x:v>
      </x:c>
      <x:c r="T756" s="49" t="str">
        <x:v>D:\codex\v3_legacy\outputs\football_odds_trader\raw\titan007\20261003\20261003_092303_titan007_odds_snapshot.csv</x:v>
      </x:c>
      <x:c r="U756" s="49"/>
      <x:c r="V756" s="50"/>
      <x:c r="W756" s="50"/>
      <x:c r="X756" s="49" t="n">
        <x:v>0.8</x:v>
      </x:c>
      <x:c r="Y756" s="49" t="n">
        <x:v>0.75</x:v>
      </x:c>
      <x:c r="Z756" s="49" t="n">
        <x:v>0.9</x:v>
      </x:c>
      <x:c r="AA756" s="49"/>
      <x:c r="AB756" s="49"/>
      <x:c r="AC756" s="49" t="n">
        <x:v>0.8</x:v>
      </x:c>
      <x:c r="AD756" s="49" t="n">
        <x:v>1.79</x:v>
      </x:c>
      <x:c r="AE756" s="49" t="n">
        <x:v>3.59</x:v>
      </x:c>
      <x:c r="AF756" s="49" t="n">
        <x:v>3.82</x:v>
      </x:c>
      <x:c r="AG756" s="49"/>
      <x:c r="AH756" s="49"/>
      <x:c r="AI756" s="49"/>
      <x:c r="AJ756" s="49"/>
      <x:c r="AK756" s="49"/>
      <x:c r="AL756" s="49"/>
      <x:c r="AM756" s="49"/>
      <x:c r="AN756" s="49"/>
      <x:c r="AO756" s="49"/>
      <x:c r="AP756" s="49"/>
      <x:c r="AQ756" s="49" t="n">
        <x:v>0.75</x:v>
      </x:c>
      <x:c r="AR756" s="49"/>
      <x:c r="AS756" s="49"/>
      <x:c r="AT756" s="49"/>
      <x:c r="AU756" s="49"/>
      <x:c r="AV756" s="49"/>
      <x:c r="AW756" s="49"/>
      <x:c r="AX756" s="49"/>
      <x:c r="AY756" s="49" t="str">
        <x:v>Titan007 Next</x:v>
      </x:c>
    </x:row>
    <x:row r="757" ht="22" customHeight="1">
      <x:c r="A757" s="49" t="str">
        <x:v>2026-10-02</x:v>
      </x:c>
      <x:c r="B757" s="49" t="str">
        <x:v>2026-10-03 05:00:00</x:v>
      </x:c>
      <x:c r="C757" s="49" t="str">
        <x:v>NATIONAL_OFFICIAL</x:v>
      </x:c>
      <x:c r="D757" s="49" t="str">
        <x:v>联赛</x:v>
      </x:c>
      <x:c r="E757" s="49" t="str">
        <x:v>中北美国联</x:v>
      </x:c>
      <x:c r="F757" s="49" t="str">
        <x:v>圣基茨和尼维斯 vs 古巴</x:v>
      </x:c>
      <x:c r="G757" s="60" t="n">
        <x:v>0.95</x:v>
      </x:c>
      <x:c r="H757" s="60" t="n">
        <x:v>0.5</x:v>
      </x:c>
      <x:c r="I757" s="60" t="n">
        <x:v>0.75</x:v>
      </x:c>
      <x:c r="J757" s="49" t="str">
        <x:v>0.95/0.5/0.75</x:v>
      </x:c>
      <x:c r="K757" s="49" t="str">
        <x:v>诱上/阻下</x:v>
      </x:c>
      <x:c r="L757" s="49" t="str">
        <x:v>圣基茨和尼维斯（下盘）</x:v>
      </x:c>
      <x:c r="M757" s="61" t="n">
        <x:v>0.59048388</x:v>
      </x:c>
      <x:c r="N757" s="49" t="str">
        <x:v>网页可投</x:v>
      </x:c>
      <x:c r="O757" s="49" t="str">
        <x:v>3-3</x:v>
      </x:c>
      <x:c r="P757" s="49" t="str">
        <x:v>已结算</x:v>
      </x:c>
      <x:c r="Q757" s="49" t="str">
        <x:v>红</x:v>
      </x:c>
      <x:c r="R757" s="50" t="n">
        <x:v>0.95</x:v>
      </x:c>
      <x:c r="S757" s="50" t="n">
        <x:v>0.95</x:v>
      </x:c>
      <x:c r="T757" s="49" t="str">
        <x:v>D:\codex\v3_legacy\outputs\football_odds_trader\raw\titan007\20261003\20261003_092303_titan007_odds_snapshot.csv</x:v>
      </x:c>
      <x:c r="U757" s="49"/>
      <x:c r="V757" s="50"/>
      <x:c r="W757" s="50"/>
      <x:c r="X757" s="49" t="n">
        <x:v>0.95</x:v>
      </x:c>
      <x:c r="Y757" s="49" t="n">
        <x:v>-0.5</x:v>
      </x:c>
      <x:c r="Z757" s="49" t="n">
        <x:v>0.75</x:v>
      </x:c>
      <x:c r="AA757" s="49"/>
      <x:c r="AB757" s="49"/>
      <x:c r="AC757" s="49" t="n">
        <x:v>0.95</x:v>
      </x:c>
      <x:c r="AD757" s="49" t="n">
        <x:v>3.85</x:v>
      </x:c>
      <x:c r="AE757" s="49" t="n">
        <x:v>3.4</x:v>
      </x:c>
      <x:c r="AF757" s="49" t="n">
        <x:v>1.84</x:v>
      </x:c>
      <x:c r="AG757" s="49"/>
      <x:c r="AH757" s="49"/>
      <x:c r="AI757" s="49"/>
      <x:c r="AJ757" s="49"/>
      <x:c r="AK757" s="49"/>
      <x:c r="AL757" s="49"/>
      <x:c r="AM757" s="49"/>
      <x:c r="AN757" s="49"/>
      <x:c r="AO757" s="49"/>
      <x:c r="AP757" s="49"/>
      <x:c r="AQ757" s="49" t="n">
        <x:v>0.5</x:v>
      </x:c>
      <x:c r="AR757" s="49"/>
      <x:c r="AS757" s="49"/>
      <x:c r="AT757" s="49"/>
      <x:c r="AU757" s="49"/>
      <x:c r="AV757" s="49"/>
      <x:c r="AW757" s="49"/>
      <x:c r="AX757" s="49"/>
      <x:c r="AY757" s="49" t="str">
        <x:v>Titan007 Next</x:v>
      </x:c>
    </x:row>
    <x:row r="758" ht="22" customHeight="1">
      <x:c r="A758" s="49" t="str">
        <x:v>2026-10-02</x:v>
      </x:c>
      <x:c r="B758" s="49" t="str">
        <x:v>2026-10-03 08:00:00</x:v>
      </x:c>
      <x:c r="C758" s="49" t="str">
        <x:v>NATIONAL_OFFICIAL</x:v>
      </x:c>
      <x:c r="D758" s="49" t="str">
        <x:v>联赛</x:v>
      </x:c>
      <x:c r="E758" s="49" t="str">
        <x:v>中北美国联</x:v>
      </x:c>
      <x:c r="F758" s="49" t="str">
        <x:v>巴巴多斯 vs 百慕大群岛</x:v>
      </x:c>
      <x:c r="G758" s="60" t="n">
        <x:v>0.8</x:v>
      </x:c>
      <x:c r="H758" s="60" t="n">
        <x:v>0.5</x:v>
      </x:c>
      <x:c r="I758" s="60" t="n">
        <x:v>0.9</x:v>
      </x:c>
      <x:c r="J758" s="49" t="str">
        <x:v>0.8/0.5/0.9</x:v>
      </x:c>
      <x:c r="K758" s="49" t="str">
        <x:v>诱上/阻下</x:v>
      </x:c>
      <x:c r="L758" s="49" t="str">
        <x:v>百慕大群岛（下盘）</x:v>
      </x:c>
      <x:c r="M758" s="61" t="n">
        <x:v>0.59048388</x:v>
      </x:c>
      <x:c r="N758" s="49" t="str">
        <x:v>网页可投</x:v>
      </x:c>
      <x:c r="O758" s="49" t="str">
        <x:v>4-1</x:v>
      </x:c>
      <x:c r="P758" s="49" t="str">
        <x:v>已结算</x:v>
      </x:c>
      <x:c r="Q758" s="49" t="str">
        <x:v>黑半</x:v>
      </x:c>
      <x:c r="R758" s="50" t="n">
        <x:v>0.9</x:v>
      </x:c>
      <x:c r="S758" s="50" t="n">
        <x:v>-0.5</x:v>
      </x:c>
      <x:c r="T758" s="49" t="str">
        <x:v>D:\codex\v3_legacy\outputs\football_odds_trader\raw\titan007\20261004\20261004_084919_titan007_odds_snapshot.csv</x:v>
      </x:c>
      <x:c r="U758" s="49"/>
      <x:c r="V758" s="50"/>
      <x:c r="W758" s="50"/>
      <x:c r="X758" s="49" t="n">
        <x:v>0.8</x:v>
      </x:c>
      <x:c r="Y758" s="49" t="n">
        <x:v>0.5</x:v>
      </x:c>
      <x:c r="Z758" s="49" t="n">
        <x:v>0.9</x:v>
      </x:c>
      <x:c r="AA758" s="49"/>
      <x:c r="AB758" s="49"/>
      <x:c r="AC758" s="49" t="n">
        <x:v>0.9</x:v>
      </x:c>
      <x:c r="AD758" s="49" t="n">
        <x:v>1.97</x:v>
      </x:c>
      <x:c r="AE758" s="49" t="n">
        <x:v>3.42</x:v>
      </x:c>
      <x:c r="AF758" s="49" t="n">
        <x:v>3.38</x:v>
      </x:c>
      <x:c r="AG758" s="49"/>
      <x:c r="AH758" s="49"/>
      <x:c r="AI758" s="49"/>
      <x:c r="AJ758" s="49"/>
      <x:c r="AK758" s="49"/>
      <x:c r="AL758" s="49"/>
      <x:c r="AM758" s="49"/>
      <x:c r="AN758" s="49"/>
      <x:c r="AO758" s="49"/>
      <x:c r="AP758" s="49"/>
      <x:c r="AQ758" s="49" t="n">
        <x:v>0.5</x:v>
      </x:c>
      <x:c r="AR758" s="49"/>
      <x:c r="AS758" s="49"/>
      <x:c r="AT758" s="49"/>
      <x:c r="AU758" s="49"/>
      <x:c r="AV758" s="49"/>
      <x:c r="AW758" s="49"/>
      <x:c r="AX758" s="49"/>
      <x:c r="AY758" s="49" t="str">
        <x:v>Titan007 Next</x:v>
      </x:c>
    </x:row>
    <x:row r="759" ht="22" customHeight="1">
      <x:c r="A759" s="49" t="str">
        <x:v>2026-10-02</x:v>
      </x:c>
      <x:c r="B759" s="49" t="str">
        <x:v>2026-10-03 08:00:00</x:v>
      </x:c>
      <x:c r="C759" s="49" t="str">
        <x:v>NATIONAL_OFFICIAL</x:v>
      </x:c>
      <x:c r="D759" s="49" t="str">
        <x:v>联赛</x:v>
      </x:c>
      <x:c r="E759" s="49" t="str">
        <x:v>中北美国联</x:v>
      </x:c>
      <x:c r="F759" s="49" t="str">
        <x:v>马提尼克 vs 洪都拉斯</x:v>
      </x:c>
      <x:c r="G759" s="60" t="n">
        <x:v>0.95</x:v>
      </x:c>
      <x:c r="H759" s="60" t="n">
        <x:v>0.5</x:v>
      </x:c>
      <x:c r="I759" s="60" t="n">
        <x:v>0.75</x:v>
      </x:c>
      <x:c r="J759" s="49" t="str">
        <x:v>0.95/0.5/0.75</x:v>
      </x:c>
      <x:c r="K759" s="49" t="str">
        <x:v>诱上/阻下</x:v>
      </x:c>
      <x:c r="L759" s="49" t="str">
        <x:v>马提尼克（下盘）</x:v>
      </x:c>
      <x:c r="M759" s="61" t="n">
        <x:v>0.59048388</x:v>
      </x:c>
      <x:c r="N759" s="49" t="str">
        <x:v>网页可投</x:v>
      </x:c>
      <x:c r="O759" s="49" t="str">
        <x:v>2-1</x:v>
      </x:c>
      <x:c r="P759" s="49" t="str">
        <x:v>已结算</x:v>
      </x:c>
      <x:c r="Q759" s="49" t="str">
        <x:v>红半</x:v>
      </x:c>
      <x:c r="R759" s="50" t="n">
        <x:v>0.95</x:v>
      </x:c>
      <x:c r="S759" s="50" t="n">
        <x:v>0.475</x:v>
      </x:c>
      <x:c r="T759" s="49" t="str">
        <x:v>D:\codex\v3_legacy\outputs\football_odds_trader\raw\titan007\20261004\20261004_084919_titan007_odds_snapshot.csv</x:v>
      </x:c>
      <x:c r="U759" s="49"/>
      <x:c r="V759" s="50"/>
      <x:c r="W759" s="50"/>
      <x:c r="X759" s="49" t="n">
        <x:v>0.75</x:v>
      </x:c>
      <x:c r="Y759" s="49" t="n">
        <x:v>-0.5</x:v>
      </x:c>
      <x:c r="Z759" s="49" t="n">
        <x:v>0.95</x:v>
      </x:c>
      <x:c r="AA759" s="49"/>
      <x:c r="AB759" s="49"/>
      <x:c r="AC759" s="49" t="n">
        <x:v>0.95</x:v>
      </x:c>
      <x:c r="AD759" s="49" t="n">
        <x:v>3.75</x:v>
      </x:c>
      <x:c r="AE759" s="49" t="n">
        <x:v>3.38</x:v>
      </x:c>
      <x:c r="AF759" s="49" t="n">
        <x:v>1.89</x:v>
      </x:c>
      <x:c r="AG759" s="49"/>
      <x:c r="AH759" s="49"/>
      <x:c r="AI759" s="49"/>
      <x:c r="AJ759" s="49"/>
      <x:c r="AK759" s="49"/>
      <x:c r="AL759" s="49"/>
      <x:c r="AM759" s="49"/>
      <x:c r="AN759" s="49"/>
      <x:c r="AO759" s="49"/>
      <x:c r="AP759" s="49"/>
      <x:c r="AQ759" s="49" t="n">
        <x:v>0.5</x:v>
      </x:c>
      <x:c r="AR759" s="49"/>
      <x:c r="AS759" s="49"/>
      <x:c r="AT759" s="49"/>
      <x:c r="AU759" s="49"/>
      <x:c r="AV759" s="49"/>
      <x:c r="AW759" s="49"/>
      <x:c r="AX759" s="49"/>
      <x:c r="AY759" s="49" t="str">
        <x:v>Titan007 Next</x:v>
      </x:c>
    </x:row>
    <x:row r="760" ht="22" customHeight="1">
      <x:c r="A760" s="49" t="str">
        <x:v>2026-10-02</x:v>
      </x:c>
      <x:c r="B760" s="49" t="str">
        <x:v>2026-10-03 10:00:00</x:v>
      </x:c>
      <x:c r="C760" s="49" t="str">
        <x:v>NATIONAL_OFFICIAL</x:v>
      </x:c>
      <x:c r="D760" s="49" t="str">
        <x:v>联赛</x:v>
      </x:c>
      <x:c r="E760" s="49" t="str">
        <x:v>中北美国联</x:v>
      </x:c>
      <x:c r="F760" s="49" t="str">
        <x:v>萨尔瓦多 vs 牙买加</x:v>
      </x:c>
      <x:c r="G760" s="60" t="n">
        <x:v>0.86</x:v>
      </x:c>
      <x:c r="H760" s="60" t="n">
        <x:v>0.25</x:v>
      </x:c>
      <x:c r="I760" s="60" t="n">
        <x:v>0.84</x:v>
      </x:c>
      <x:c r="J760" s="49" t="str">
        <x:v>0.86/0.25/0.84</x:v>
      </x:c>
      <x:c r="K760" s="49" t="str">
        <x:v>诱上/阻下</x:v>
      </x:c>
      <x:c r="L760" s="49" t="str">
        <x:v>萨尔瓦多（下盘）</x:v>
      </x:c>
      <x:c r="M760" s="61" t="n">
        <x:v>0.59048388</x:v>
      </x:c>
      <x:c r="N760" s="49" t="str">
        <x:v>网页可投</x:v>
      </x:c>
      <x:c r="O760" s="49" t="str">
        <x:v>0-2</x:v>
      </x:c>
      <x:c r="P760" s="49" t="str">
        <x:v>已结算</x:v>
      </x:c>
      <x:c r="Q760" s="49" t="str">
        <x:v>黑半</x:v>
      </x:c>
      <x:c r="R760" s="50" t="n">
        <x:v>0.86</x:v>
      </x:c>
      <x:c r="S760" s="50" t="n">
        <x:v>-0.5</x:v>
      </x:c>
      <x:c r="T760" s="49" t="str">
        <x:v>D:\codex\v3_legacy\outputs\football_odds_trader\raw\titan007\20261004\20261004_084919_titan007_odds_snapshot.csv</x:v>
      </x:c>
      <x:c r="U760" s="49"/>
      <x:c r="V760" s="50"/>
      <x:c r="W760" s="50"/>
      <x:c r="X760" s="49" t="n">
        <x:v>1</x:v>
      </x:c>
      <x:c r="Y760" s="49" t="n">
        <x:v>0</x:v>
      </x:c>
      <x:c r="Z760" s="49" t="n">
        <x:v>0.7</x:v>
      </x:c>
      <x:c r="AA760" s="49"/>
      <x:c r="AB760" s="49"/>
      <x:c r="AC760" s="49" t="n">
        <x:v>0.86</x:v>
      </x:c>
      <x:c r="AD760" s="49" t="n">
        <x:v>2.78</x:v>
      </x:c>
      <x:c r="AE760" s="49" t="n">
        <x:v>3.19</x:v>
      </x:c>
      <x:c r="AF760" s="49" t="n">
        <x:v>2.38</x:v>
      </x:c>
      <x:c r="AG760" s="49"/>
      <x:c r="AH760" s="49"/>
      <x:c r="AI760" s="49"/>
      <x:c r="AJ760" s="49"/>
      <x:c r="AK760" s="49"/>
      <x:c r="AL760" s="49"/>
      <x:c r="AM760" s="49"/>
      <x:c r="AN760" s="49"/>
      <x:c r="AO760" s="49"/>
      <x:c r="AP760" s="49"/>
      <x:c r="AQ760" s="49" t="n">
        <x:v>0.25</x:v>
      </x:c>
      <x:c r="AR760" s="49"/>
      <x:c r="AS760" s="49"/>
      <x:c r="AT760" s="49"/>
      <x:c r="AU760" s="49"/>
      <x:c r="AV760" s="49"/>
      <x:c r="AW760" s="49"/>
      <x:c r="AX760" s="49"/>
      <x:c r="AY760" s="49" t="str">
        <x:v>Titan007 Next</x:v>
      </x:c>
    </x:row>
    <x:row r="761" ht="22" customHeight="1">
      <x:c r="A761" s="49" t="str">
        <x:v>2026-10-03</x:v>
      </x:c>
      <x:c r="B761" s="49" t="str">
        <x:v>2026-10-03 13:00:00</x:v>
      </x:c>
      <x:c r="C761" s="49" t="str">
        <x:v>CLUB_LEAGUE</x:v>
      </x:c>
      <x:c r="D761" s="49" t="str">
        <x:v>联赛</x:v>
      </x:c>
      <x:c r="E761" s="49" t="str">
        <x:v>日职丙</x:v>
      </x:c>
      <x:c r="F761" s="49" t="str">
        <x:v>FC岐阜 vs 山口雷法</x:v>
      </x:c>
      <x:c r="G761" s="60" t="n">
        <x:v>0.82</x:v>
      </x:c>
      <x:c r="H761" s="60" t="n">
        <x:v>0</x:v>
      </x:c>
      <x:c r="I761" s="60" t="n">
        <x:v>0.94</x:v>
      </x:c>
      <x:c r="J761" s="49" t="str">
        <x:v>0.82/0.0/0.94</x:v>
      </x:c>
      <x:c r="K761" s="49"/>
      <x:c r="L761" s="49" t="str">
        <x:v>FC岐阜</x:v>
      </x:c>
      <x:c r="M761" s="61" t="n">
        <x:v>0.579</x:v>
      </x:c>
      <x:c r="N761" s="49" t="str">
        <x:v>网页可投</x:v>
      </x:c>
      <x:c r="O761" s="49" t="str">
        <x:v>0-2</x:v>
      </x:c>
      <x:c r="P761" s="49" t="str">
        <x:v>已结算</x:v>
      </x:c>
      <x:c r="Q761" s="49" t="str">
        <x:v>黑</x:v>
      </x:c>
      <x:c r="R761" s="50" t="n">
        <x:v>0.82</x:v>
      </x:c>
      <x:c r="S761" s="50" t="n">
        <x:v>-1</x:v>
      </x:c>
      <x:c r="T761" s="49" t="str">
        <x:v>D:\codex\v3_legacy\outputs\football_odds_trader\raw\titan007\20261004\20261004_084919_titan007_odds_snapshot.csv</x:v>
      </x:c>
      <x:c r="U761" s="49"/>
      <x:c r="V761" s="50"/>
      <x:c r="W761" s="50"/>
      <x:c r="X761" s="49" t="n">
        <x:v>0.82</x:v>
      </x:c>
      <x:c r="Y761" s="49" t="n">
        <x:v>0</x:v>
      </x:c>
      <x:c r="Z761" s="49" t="n">
        <x:v>0.94</x:v>
      </x:c>
      <x:c r="AA761" s="49"/>
      <x:c r="AB761" s="49"/>
      <x:c r="AC761" s="49" t="n">
        <x:v>0.82</x:v>
      </x:c>
      <x:c r="AD761" s="49" t="n">
        <x:v>2.2</x:v>
      </x:c>
      <x:c r="AE761" s="49" t="n">
        <x:v>3.41</x:v>
      </x:c>
      <x:c r="AF761" s="49" t="n">
        <x:v>2.83</x:v>
      </x:c>
      <x:c r="AG761" s="49"/>
      <x:c r="AH761" s="49"/>
      <x:c r="AI761" s="49"/>
      <x:c r="AJ761" s="49"/>
      <x:c r="AK761" s="49"/>
      <x:c r="AL761" s="49"/>
      <x:c r="AM761" s="49"/>
      <x:c r="AN761" s="49"/>
      <x:c r="AO761" s="49"/>
      <x:c r="AP761" s="49"/>
      <x:c r="AQ761" s="49" t="n">
        <x:v>0</x:v>
      </x:c>
      <x:c r="AR761" s="49"/>
      <x:c r="AS761" s="49"/>
      <x:c r="AT761" s="49"/>
      <x:c r="AU761" s="49"/>
      <x:c r="AV761" s="49"/>
      <x:c r="AW761" s="49"/>
      <x:c r="AX761" s="49"/>
      <x:c r="AY761" s="49" t="str">
        <x:v>Titan007 snapshot</x:v>
      </x:c>
    </x:row>
    <x:row r="762" ht="22" customHeight="1">
      <x:c r="A762" s="49" t="str">
        <x:v>2026-10-03</x:v>
      </x:c>
      <x:c r="B762" s="49" t="str">
        <x:v>2026-10-03 13:00:00</x:v>
      </x:c>
      <x:c r="C762" s="49" t="str">
        <x:v>CLUB_LEAGUE</x:v>
      </x:c>
      <x:c r="D762" s="49" t="str">
        <x:v>联赛</x:v>
      </x:c>
      <x:c r="E762" s="49" t="str">
        <x:v>日职乙</x:v>
      </x:c>
      <x:c r="F762" s="49" t="str">
        <x:v>新泻天鹅 vs 德岛漩涡</x:v>
      </x:c>
      <x:c r="G762" s="60" t="n">
        <x:v>0.84</x:v>
      </x:c>
      <x:c r="H762" s="60" t="n">
        <x:v>0</x:v>
      </x:c>
      <x:c r="I762" s="60" t="n">
        <x:v>1.04</x:v>
      </x:c>
      <x:c r="J762" s="49" t="str">
        <x:v>0.84/0.0/1.04</x:v>
      </x:c>
      <x:c r="K762" s="49"/>
      <x:c r="L762" s="49" t="str">
        <x:v>新泻天鹅</x:v>
      </x:c>
      <x:c r="M762" s="61" t="n">
        <x:v>0.579</x:v>
      </x:c>
      <x:c r="N762" s="49" t="str">
        <x:v>网页可投</x:v>
      </x:c>
      <x:c r="O762" s="49" t="str">
        <x:v>2-1</x:v>
      </x:c>
      <x:c r="P762" s="49" t="str">
        <x:v>已结算</x:v>
      </x:c>
      <x:c r="Q762" s="49" t="str">
        <x:v>红</x:v>
      </x:c>
      <x:c r="R762" s="50" t="n">
        <x:v>0.84</x:v>
      </x:c>
      <x:c r="S762" s="50" t="n">
        <x:v>0.84</x:v>
      </x:c>
      <x:c r="T762" s="49" t="str">
        <x:v>D:\codex\v3_legacy\outputs\football_odds_trader\raw\titan007\20261004\20261004_084919_titan007_odds_snapshot.csv</x:v>
      </x:c>
      <x:c r="U762" s="49"/>
      <x:c r="V762" s="50"/>
      <x:c r="W762" s="50"/>
      <x:c r="X762" s="49" t="n">
        <x:v>0.81</x:v>
      </x:c>
      <x:c r="Y762" s="49" t="n">
        <x:v>0</x:v>
      </x:c>
      <x:c r="Z762" s="49" t="n">
        <x:v>1.01</x:v>
      </x:c>
      <x:c r="AA762" s="49"/>
      <x:c r="AB762" s="49"/>
      <x:c r="AC762" s="49" t="n">
        <x:v>0.84</x:v>
      </x:c>
      <x:c r="AD762" s="49" t="n">
        <x:v>2.41</x:v>
      </x:c>
      <x:c r="AE762" s="49" t="n">
        <x:v>3.02</x:v>
      </x:c>
      <x:c r="AF762" s="49" t="n">
        <x:v>2.84</x:v>
      </x:c>
      <x:c r="AG762" s="49"/>
      <x:c r="AH762" s="49"/>
      <x:c r="AI762" s="49"/>
      <x:c r="AJ762" s="49"/>
      <x:c r="AK762" s="49"/>
      <x:c r="AL762" s="49"/>
      <x:c r="AM762" s="49"/>
      <x:c r="AN762" s="49"/>
      <x:c r="AO762" s="49"/>
      <x:c r="AP762" s="49"/>
      <x:c r="AQ762" s="49" t="n">
        <x:v>0</x:v>
      </x:c>
      <x:c r="AR762" s="49"/>
      <x:c r="AS762" s="49"/>
      <x:c r="AT762" s="49"/>
      <x:c r="AU762" s="49"/>
      <x:c r="AV762" s="49"/>
      <x:c r="AW762" s="49"/>
      <x:c r="AX762" s="49"/>
      <x:c r="AY762" s="49" t="str">
        <x:v>Titan007 snapshot</x:v>
      </x:c>
    </x:row>
    <x:row r="763" ht="22" customHeight="1">
      <x:c r="A763" s="49" t="str">
        <x:v>2026-10-03</x:v>
      </x:c>
      <x:c r="B763" s="49" t="str">
        <x:v>2026-10-03 13:00:00</x:v>
      </x:c>
      <x:c r="C763" s="49" t="str">
        <x:v>CLUB_LEAGUE</x:v>
      </x:c>
      <x:c r="D763" s="49" t="str">
        <x:v>联赛</x:v>
      </x:c>
      <x:c r="E763" s="49" t="str">
        <x:v>日职乙</x:v>
      </x:c>
      <x:c r="F763" s="49" t="str">
        <x:v>藤枝MYFC vs 湘南海洋</x:v>
      </x:c>
      <x:c r="G763" s="60" t="n">
        <x:v>1.08</x:v>
      </x:c>
      <x:c r="H763" s="60" t="n">
        <x:v>0</x:v>
      </x:c>
      <x:c r="I763" s="60" t="n">
        <x:v>0.8</x:v>
      </x:c>
      <x:c r="J763" s="49" t="str">
        <x:v>1.08/0.0/0.8</x:v>
      </x:c>
      <x:c r="K763" s="49"/>
      <x:c r="L763" s="49" t="str">
        <x:v>湘南海洋</x:v>
      </x:c>
      <x:c r="M763" s="61" t="n">
        <x:v>0.579</x:v>
      </x:c>
      <x:c r="N763" s="49" t="str">
        <x:v>网页可投</x:v>
      </x:c>
      <x:c r="O763" s="49" t="str">
        <x:v>1-1</x:v>
      </x:c>
      <x:c r="P763" s="49" t="str">
        <x:v>已结算</x:v>
      </x:c>
      <x:c r="Q763" s="49" t="str">
        <x:v>走</x:v>
      </x:c>
      <x:c r="R763" s="50" t="n">
        <x:v>0.8</x:v>
      </x:c>
      <x:c r="S763" s="50" t="n">
        <x:v>0</x:v>
      </x:c>
      <x:c r="T763" s="49" t="str">
        <x:v>D:\codex\v3_legacy\outputs\football_odds_trader\raw\titan007\20261004\20261004_084919_titan007_odds_snapshot.csv</x:v>
      </x:c>
      <x:c r="U763" s="49"/>
      <x:c r="V763" s="50"/>
      <x:c r="W763" s="50"/>
      <x:c r="X763" s="49" t="n">
        <x:v>1.05</x:v>
      </x:c>
      <x:c r="Y763" s="49" t="n">
        <x:v>0</x:v>
      </x:c>
      <x:c r="Z763" s="49" t="n">
        <x:v>0.77</x:v>
      </x:c>
      <x:c r="AA763" s="49"/>
      <x:c r="AB763" s="49"/>
      <x:c r="AC763" s="49" t="n">
        <x:v>0.8</x:v>
      </x:c>
      <x:c r="AD763" s="49" t="n">
        <x:v>2.78</x:v>
      </x:c>
      <x:c r="AE763" s="49" t="n">
        <x:v>3.09</x:v>
      </x:c>
      <x:c r="AF763" s="49" t="n">
        <x:v>2.39</x:v>
      </x:c>
      <x:c r="AG763" s="49"/>
      <x:c r="AH763" s="49"/>
      <x:c r="AI763" s="49"/>
      <x:c r="AJ763" s="49"/>
      <x:c r="AK763" s="49"/>
      <x:c r="AL763" s="49"/>
      <x:c r="AM763" s="49"/>
      <x:c r="AN763" s="49"/>
      <x:c r="AO763" s="49"/>
      <x:c r="AP763" s="49"/>
      <x:c r="AQ763" s="49" t="n">
        <x:v>0</x:v>
      </x:c>
      <x:c r="AR763" s="49"/>
      <x:c r="AS763" s="49"/>
      <x:c r="AT763" s="49"/>
      <x:c r="AU763" s="49"/>
      <x:c r="AV763" s="49"/>
      <x:c r="AW763" s="49"/>
      <x:c r="AX763" s="49"/>
      <x:c r="AY763" s="49" t="str">
        <x:v>Titan007 snapshot</x:v>
      </x:c>
    </x:row>
    <x:row r="764" ht="22" customHeight="1">
      <x:c r="A764" s="49" t="str">
        <x:v>2026-10-03</x:v>
      </x:c>
      <x:c r="B764" s="49" t="str">
        <x:v>2026-10-03 14:00:00</x:v>
      </x:c>
      <x:c r="C764" s="49" t="str">
        <x:v>CLUB_LEAGUE</x:v>
      </x:c>
      <x:c r="D764" s="49" t="str">
        <x:v>联赛</x:v>
      </x:c>
      <x:c r="E764" s="49" t="str">
        <x:v>日职丙</x:v>
      </x:c>
      <x:c r="F764" s="49" t="str">
        <x:v>FC爱媛 vs 群马草津温泉</x:v>
      </x:c>
      <x:c r="G764" s="60" t="n">
        <x:v>0.83</x:v>
      </x:c>
      <x:c r="H764" s="60" t="n">
        <x:v>0.75</x:v>
      </x:c>
      <x:c r="I764" s="60" t="n">
        <x:v>0.93</x:v>
      </x:c>
      <x:c r="J764" s="49" t="str">
        <x:v>0.83/0.75/0.93</x:v>
      </x:c>
      <x:c r="K764" s="49"/>
      <x:c r="L764" s="49" t="str">
        <x:v>FC爱媛</x:v>
      </x:c>
      <x:c r="M764" s="61" t="n">
        <x:v>0.579</x:v>
      </x:c>
      <x:c r="N764" s="49" t="str">
        <x:v>网页可投</x:v>
      </x:c>
      <x:c r="O764" s="49" t="str">
        <x:v>3-1</x:v>
      </x:c>
      <x:c r="P764" s="49" t="str">
        <x:v>已结算</x:v>
      </x:c>
      <x:c r="Q764" s="49" t="str">
        <x:v>红</x:v>
      </x:c>
      <x:c r="R764" s="50" t="n">
        <x:v>0.83</x:v>
      </x:c>
      <x:c r="S764" s="50" t="n">
        <x:v>0.83</x:v>
      </x:c>
      <x:c r="T764" s="49" t="str">
        <x:v>D:\codex\v3_legacy\outputs\football_odds_trader\raw\titan007\20261004\20261004_084919_titan007_odds_snapshot.csv</x:v>
      </x:c>
      <x:c r="U764" s="49"/>
      <x:c r="V764" s="50"/>
      <x:c r="W764" s="50"/>
      <x:c r="X764" s="49" t="n">
        <x:v>0.83</x:v>
      </x:c>
      <x:c r="Y764" s="49" t="n">
        <x:v>0.75</x:v>
      </x:c>
      <x:c r="Z764" s="49" t="n">
        <x:v>0.93</x:v>
      </x:c>
      <x:c r="AA764" s="49"/>
      <x:c r="AB764" s="49"/>
      <x:c r="AC764" s="49" t="n">
        <x:v>0.83</x:v>
      </x:c>
      <x:c r="AD764" s="49" t="n">
        <x:v>1.52</x:v>
      </x:c>
      <x:c r="AE764" s="49" t="n">
        <x:v>4.11</x:v>
      </x:c>
      <x:c r="AF764" s="49" t="n">
        <x:v>4.96</x:v>
      </x:c>
      <x:c r="AG764" s="49"/>
      <x:c r="AH764" s="49"/>
      <x:c r="AI764" s="49"/>
      <x:c r="AJ764" s="49"/>
      <x:c r="AK764" s="49"/>
      <x:c r="AL764" s="49"/>
      <x:c r="AM764" s="49"/>
      <x:c r="AN764" s="49"/>
      <x:c r="AO764" s="49"/>
      <x:c r="AP764" s="49"/>
      <x:c r="AQ764" s="49" t="n">
        <x:v>0.75</x:v>
      </x:c>
      <x:c r="AR764" s="49"/>
      <x:c r="AS764" s="49"/>
      <x:c r="AT764" s="49"/>
      <x:c r="AU764" s="49"/>
      <x:c r="AV764" s="49"/>
      <x:c r="AW764" s="49"/>
      <x:c r="AX764" s="49"/>
      <x:c r="AY764" s="49" t="str">
        <x:v>Titan007 Next</x:v>
      </x:c>
    </x:row>
    <x:row r="765" ht="22" customHeight="1">
      <x:c r="A765" s="49" t="str">
        <x:v>2026-10-03</x:v>
      </x:c>
      <x:c r="B765" s="49" t="str">
        <x:v>2026-10-03 16:00:00</x:v>
      </x:c>
      <x:c r="C765" s="49" t="str">
        <x:v>CLUB_LEAGUE</x:v>
      </x:c>
      <x:c r="D765" s="49" t="str">
        <x:v>联赛</x:v>
      </x:c>
      <x:c r="E765" s="49" t="str">
        <x:v>日职丙</x:v>
      </x:c>
      <x:c r="F765" s="49" t="str">
        <x:v>SC相模原 vs 大阪俱乐部</x:v>
      </x:c>
      <x:c r="G765" s="60" t="n">
        <x:v>0.81</x:v>
      </x:c>
      <x:c r="H765" s="60" t="n">
        <x:v>0</x:v>
      </x:c>
      <x:c r="I765" s="60" t="n">
        <x:v>0.95</x:v>
      </x:c>
      <x:c r="J765" s="49" t="str">
        <x:v>0.81/0.0/0.95</x:v>
      </x:c>
      <x:c r="K765" s="49"/>
      <x:c r="L765" s="49" t="str">
        <x:v>SC相模原</x:v>
      </x:c>
      <x:c r="M765" s="61" t="n">
        <x:v>0.579</x:v>
      </x:c>
      <x:c r="N765" s="49" t="str">
        <x:v>网页可投</x:v>
      </x:c>
      <x:c r="O765" s="49" t="str">
        <x:v>1-0</x:v>
      </x:c>
      <x:c r="P765" s="49" t="str">
        <x:v>已结算</x:v>
      </x:c>
      <x:c r="Q765" s="49" t="str">
        <x:v>红</x:v>
      </x:c>
      <x:c r="R765" s="50" t="n">
        <x:v>0.81</x:v>
      </x:c>
      <x:c r="S765" s="50" t="n">
        <x:v>0.81</x:v>
      </x:c>
      <x:c r="T765" s="49" t="str">
        <x:v>D:\codex\v3_legacy\outputs\football_odds_trader\raw\titan007\20261004\20261004_084919_titan007_odds_snapshot.csv</x:v>
      </x:c>
      <x:c r="U765" s="49"/>
      <x:c r="V765" s="50"/>
      <x:c r="W765" s="50"/>
      <x:c r="X765" s="49" t="n">
        <x:v>0.81</x:v>
      </x:c>
      <x:c r="Y765" s="49" t="n">
        <x:v>0</x:v>
      </x:c>
      <x:c r="Z765" s="49" t="n">
        <x:v>0.95</x:v>
      </x:c>
      <x:c r="AA765" s="49"/>
      <x:c r="AB765" s="49"/>
      <x:c r="AC765" s="49" t="n">
        <x:v>0.81</x:v>
      </x:c>
      <x:c r="AD765" s="49" t="n">
        <x:v>2.46</x:v>
      </x:c>
      <x:c r="AE765" s="49" t="n">
        <x:v>3.29</x:v>
      </x:c>
      <x:c r="AF765" s="49" t="n">
        <x:v>2.55</x:v>
      </x:c>
      <x:c r="AG765" s="49"/>
      <x:c r="AH765" s="49"/>
      <x:c r="AI765" s="49"/>
      <x:c r="AJ765" s="49"/>
      <x:c r="AK765" s="49"/>
      <x:c r="AL765" s="49"/>
      <x:c r="AM765" s="49"/>
      <x:c r="AN765" s="49"/>
      <x:c r="AO765" s="49"/>
      <x:c r="AP765" s="49"/>
      <x:c r="AQ765" s="49" t="n">
        <x:v>0</x:v>
      </x:c>
      <x:c r="AR765" s="49"/>
      <x:c r="AS765" s="49"/>
      <x:c r="AT765" s="49"/>
      <x:c r="AU765" s="49"/>
      <x:c r="AV765" s="49"/>
      <x:c r="AW765" s="49"/>
      <x:c r="AX765" s="49"/>
      <x:c r="AY765" s="49" t="str">
        <x:v>Titan007 Next</x:v>
      </x:c>
    </x:row>
    <x:row r="766" ht="22" customHeight="1">
      <x:c r="A766" s="49" t="str">
        <x:v>2026-10-03</x:v>
      </x:c>
      <x:c r="B766" s="49" t="str">
        <x:v>2026-10-03 18:00:00</x:v>
      </x:c>
      <x:c r="C766" s="49" t="str">
        <x:v>CLUB_CUP</x:v>
      </x:c>
      <x:c r="D766" s="49" t="str">
        <x:v>杯赛</x:v>
      </x:c>
      <x:c r="E766" s="49" t="str">
        <x:v>日联杯</x:v>
      </x:c>
      <x:c r="F766" s="49" t="str">
        <x:v>柏太阳神 vs 大阪钢巴</x:v>
      </x:c>
      <x:c r="G766" s="60" t="n">
        <x:v>0.79</x:v>
      </x:c>
      <x:c r="H766" s="60" t="n">
        <x:v>0.75</x:v>
      </x:c>
      <x:c r="I766" s="60" t="n">
        <x:v>1.03</x:v>
      </x:c>
      <x:c r="J766" s="49" t="str">
        <x:v>0.79/0.75/1.03</x:v>
      </x:c>
      <x:c r="K766" s="49" t="str">
        <x:v>诱上/阻下</x:v>
      </x:c>
      <x:c r="L766" s="49" t="str">
        <x:v>柏太阳神</x:v>
      </x:c>
      <x:c r="M766" s="61" t="n">
        <x:v>0.591378775</x:v>
      </x:c>
      <x:c r="N766" s="49" t="str">
        <x:v>网页可投</x:v>
      </x:c>
      <x:c r="O766" s="49" t="str">
        <x:v>3-3</x:v>
      </x:c>
      <x:c r="P766" s="49" t="str">
        <x:v>已结算</x:v>
      </x:c>
      <x:c r="Q766" s="49" t="str">
        <x:v>黑</x:v>
      </x:c>
      <x:c r="R766" s="50" t="n">
        <x:v>0.79</x:v>
      </x:c>
      <x:c r="S766" s="50" t="n">
        <x:v>-1</x:v>
      </x:c>
      <x:c r="T766" s="49" t="str">
        <x:v>D:\codex\v3_legacy\outputs\football_odds_trader\raw\titan007\20261004\20261004_084919_titan007_odds_snapshot.csv</x:v>
      </x:c>
      <x:c r="U766" s="49"/>
      <x:c r="V766" s="50"/>
      <x:c r="W766" s="50"/>
      <x:c r="X766" s="49" t="n">
        <x:v>0.79</x:v>
      </x:c>
      <x:c r="Y766" s="49" t="n">
        <x:v>0.75</x:v>
      </x:c>
      <x:c r="Z766" s="49" t="n">
        <x:v>1.03</x:v>
      </x:c>
      <x:c r="AA766" s="49"/>
      <x:c r="AB766" s="49"/>
      <x:c r="AC766" s="49" t="n">
        <x:v>0.79</x:v>
      </x:c>
      <x:c r="AD766" s="49" t="n">
        <x:v>1.54</x:v>
      </x:c>
      <x:c r="AE766" s="49" t="n">
        <x:v>4.28</x:v>
      </x:c>
      <x:c r="AF766" s="49" t="n">
        <x:v>4.92</x:v>
      </x:c>
      <x:c r="AG766" s="49"/>
      <x:c r="AH766" s="49"/>
      <x:c r="AI766" s="49"/>
      <x:c r="AJ766" s="49"/>
      <x:c r="AK766" s="49"/>
      <x:c r="AL766" s="49"/>
      <x:c r="AM766" s="49"/>
      <x:c r="AN766" s="49"/>
      <x:c r="AO766" s="49"/>
      <x:c r="AP766" s="49"/>
      <x:c r="AQ766" s="49" t="n">
        <x:v>0.75</x:v>
      </x:c>
      <x:c r="AR766" s="49"/>
      <x:c r="AS766" s="49"/>
      <x:c r="AT766" s="49"/>
      <x:c r="AU766" s="49"/>
      <x:c r="AV766" s="49"/>
      <x:c r="AW766" s="49"/>
      <x:c r="AX766" s="49"/>
      <x:c r="AY766" s="49" t="str">
        <x:v>Titan007 Next</x:v>
      </x:c>
    </x:row>
    <x:row r="767" ht="22" customHeight="1">
      <x:c r="A767" s="49" t="str">
        <x:v>2026-10-03</x:v>
      </x:c>
      <x:c r="B767" s="49" t="str">
        <x:v>2026-10-03 20:00:00</x:v>
      </x:c>
      <x:c r="C767" s="49" t="str">
        <x:v>CLUB_LEAGUE</x:v>
      </x:c>
      <x:c r="D767" s="49" t="str">
        <x:v>联赛</x:v>
      </x:c>
      <x:c r="E767" s="49" t="str">
        <x:v>丹麦乙</x:v>
      </x:c>
      <x:c r="F767" s="49" t="str">
        <x:v>米德法特 vs 法特列斯堡</x:v>
      </x:c>
      <x:c r="G767" s="60" t="n">
        <x:v>0.8</x:v>
      </x:c>
      <x:c r="H767" s="60" t="n">
        <x:v>1</x:v>
      </x:c>
      <x:c r="I767" s="60" t="n">
        <x:v>0.9</x:v>
      </x:c>
      <x:c r="J767" s="49" t="str">
        <x:v>0.8/1.0/0.9</x:v>
      </x:c>
      <x:c r="K767" s="49"/>
      <x:c r="L767" s="49" t="str">
        <x:v>米德法特</x:v>
      </x:c>
      <x:c r="M767" s="61" t="n">
        <x:v>0.5760000000000001</x:v>
      </x:c>
      <x:c r="N767" s="49" t="str">
        <x:v>网页可投</x:v>
      </x:c>
      <x:c r="O767" s="49" t="str">
        <x:v>1-0</x:v>
      </x:c>
      <x:c r="P767" s="49" t="str">
        <x:v>已结算</x:v>
      </x:c>
      <x:c r="Q767" s="49" t="str">
        <x:v>走</x:v>
      </x:c>
      <x:c r="R767" s="50" t="n">
        <x:v>0.8</x:v>
      </x:c>
      <x:c r="S767" s="50" t="n">
        <x:v>0</x:v>
      </x:c>
      <x:c r="T767" s="49" t="str">
        <x:v>D:\codex\v3_legacy\outputs\football_odds_trader\raw\titan007\20261004\20261004_084919_titan007_odds_snapshot.csv</x:v>
      </x:c>
      <x:c r="U767" s="49"/>
      <x:c r="V767" s="50"/>
      <x:c r="W767" s="50"/>
      <x:c r="X767" s="49" t="n">
        <x:v>0.8</x:v>
      </x:c>
      <x:c r="Y767" s="49" t="n">
        <x:v>1</x:v>
      </x:c>
      <x:c r="Z767" s="49" t="n">
        <x:v>0.9</x:v>
      </x:c>
      <x:c r="AA767" s="49"/>
      <x:c r="AB767" s="49"/>
      <x:c r="AC767" s="49" t="n">
        <x:v>0.8</x:v>
      </x:c>
      <x:c r="AD767" s="49" t="n">
        <x:v>1.54</x:v>
      </x:c>
      <x:c r="AE767" s="49" t="n">
        <x:v>3.91</x:v>
      </x:c>
      <x:c r="AF767" s="49" t="n">
        <x:v>4.99</x:v>
      </x:c>
      <x:c r="AG767" s="49"/>
      <x:c r="AH767" s="49"/>
      <x:c r="AI767" s="49"/>
      <x:c r="AJ767" s="49"/>
      <x:c r="AK767" s="49"/>
      <x:c r="AL767" s="49"/>
      <x:c r="AM767" s="49"/>
      <x:c r="AN767" s="49"/>
      <x:c r="AO767" s="49"/>
      <x:c r="AP767" s="49"/>
      <x:c r="AQ767" s="49" t="n">
        <x:v>1</x:v>
      </x:c>
      <x:c r="AR767" s="49"/>
      <x:c r="AS767" s="49"/>
      <x:c r="AT767" s="49"/>
      <x:c r="AU767" s="49"/>
      <x:c r="AV767" s="49"/>
      <x:c r="AW767" s="49"/>
      <x:c r="AX767" s="49"/>
      <x:c r="AY767" s="49" t="str">
        <x:v>Titan007 Next</x:v>
      </x:c>
    </x:row>
    <x:row r="768" ht="22" customHeight="1">
      <x:c r="A768" s="49" t="str">
        <x:v>2026-10-03</x:v>
      </x:c>
      <x:c r="B768" s="49" t="str">
        <x:v>2026-10-03 20:00:00</x:v>
      </x:c>
      <x:c r="C768" s="49" t="str">
        <x:v>CLUB_LEAGUE</x:v>
      </x:c>
      <x:c r="D768" s="49" t="str">
        <x:v>联赛</x:v>
      </x:c>
      <x:c r="E768" s="49" t="str">
        <x:v>挪乙</x:v>
      </x:c>
      <x:c r="F768" s="49" t="str">
        <x:v>UII奇萨 vs 卡积沙斯</x:v>
      </x:c>
      <x:c r="G768" s="60" t="n">
        <x:v>0.89</x:v>
      </x:c>
      <x:c r="H768" s="60" t="n">
        <x:v>1.75</x:v>
      </x:c>
      <x:c r="I768" s="60" t="n">
        <x:v>0.81</x:v>
      </x:c>
      <x:c r="J768" s="49" t="str">
        <x:v>0.89/1.75/0.81</x:v>
      </x:c>
      <x:c r="K768" s="49"/>
      <x:c r="L768" s="49" t="str">
        <x:v>卡积沙斯</x:v>
      </x:c>
      <x:c r="M768" s="61" t="n">
        <x:v>0.5760000000000001</x:v>
      </x:c>
      <x:c r="N768" s="49" t="str">
        <x:v>网页可投</x:v>
      </x:c>
      <x:c r="O768" s="49" t="str">
        <x:v>1-2</x:v>
      </x:c>
      <x:c r="P768" s="49" t="str">
        <x:v>已结算</x:v>
      </x:c>
      <x:c r="Q768" s="49" t="str">
        <x:v>黑</x:v>
      </x:c>
      <x:c r="R768" s="50" t="n">
        <x:v>0.81</x:v>
      </x:c>
      <x:c r="S768" s="50" t="n">
        <x:v>-1</x:v>
      </x:c>
      <x:c r="T768" s="49" t="str">
        <x:v>D:\codex\v3_legacy\outputs\football_odds_trader\raw\titan007\20261004\20261004_084919_titan007_odds_snapshot.csv</x:v>
      </x:c>
      <x:c r="U768" s="49"/>
      <x:c r="V768" s="50"/>
      <x:c r="W768" s="50"/>
      <x:c r="X768" s="49" t="n">
        <x:v>0.84</x:v>
      </x:c>
      <x:c r="Y768" s="49" t="n">
        <x:v>-1.75</x:v>
      </x:c>
      <x:c r="Z768" s="49" t="n">
        <x:v>0.86</x:v>
      </x:c>
      <x:c r="AA768" s="49"/>
      <x:c r="AB768" s="49"/>
      <x:c r="AC768" s="49" t="n">
        <x:v>0.81</x:v>
      </x:c>
      <x:c r="AD768" s="49" t="n">
        <x:v>6.84</x:v>
      </x:c>
      <x:c r="AE768" s="49" t="n">
        <x:v>5.59</x:v>
      </x:c>
      <x:c r="AF768" s="49" t="n">
        <x:v>1.3</x:v>
      </x:c>
      <x:c r="AG768" s="49"/>
      <x:c r="AH768" s="49"/>
      <x:c r="AI768" s="49"/>
      <x:c r="AJ768" s="49"/>
      <x:c r="AK768" s="49"/>
      <x:c r="AL768" s="49"/>
      <x:c r="AM768" s="49"/>
      <x:c r="AN768" s="49"/>
      <x:c r="AO768" s="49"/>
      <x:c r="AP768" s="49"/>
      <x:c r="AQ768" s="49" t="n">
        <x:v>1.75</x:v>
      </x:c>
      <x:c r="AR768" s="49"/>
      <x:c r="AS768" s="49"/>
      <x:c r="AT768" s="49"/>
      <x:c r="AU768" s="49"/>
      <x:c r="AV768" s="49"/>
      <x:c r="AW768" s="49"/>
      <x:c r="AX768" s="49"/>
      <x:c r="AY768" s="49" t="str">
        <x:v>Titan007 Next</x:v>
      </x:c>
    </x:row>
    <x:row r="769" ht="22" customHeight="1">
      <x:c r="A769" s="49" t="str">
        <x:v>2026-10-03</x:v>
      </x:c>
      <x:c r="B769" s="49" t="str">
        <x:v>2026-10-03 20:00:00</x:v>
      </x:c>
      <x:c r="C769" s="49" t="str">
        <x:v>CLUB_LEAGUE</x:v>
      </x:c>
      <x:c r="D769" s="49" t="str">
        <x:v>联赛</x:v>
      </x:c>
      <x:c r="E769" s="49" t="str">
        <x:v>挪乙</x:v>
      </x:c>
      <x:c r="F769" s="49" t="str">
        <x:v>扑斯 vs 维达</x:v>
      </x:c>
      <x:c r="G769" s="60" t="n">
        <x:v>0.82</x:v>
      </x:c>
      <x:c r="H769" s="60" t="n">
        <x:v>1.25</x:v>
      </x:c>
      <x:c r="I769" s="60" t="n">
        <x:v>0.88</x:v>
      </x:c>
      <x:c r="J769" s="49" t="str">
        <x:v>0.82/1.25/0.88</x:v>
      </x:c>
      <x:c r="K769" s="49"/>
      <x:c r="L769" s="49" t="str">
        <x:v>扑斯</x:v>
      </x:c>
      <x:c r="M769" s="61" t="n">
        <x:v>0.5760000000000001</x:v>
      </x:c>
      <x:c r="N769" s="49" t="str">
        <x:v>网页可投</x:v>
      </x:c>
      <x:c r="O769" s="49" t="str">
        <x:v>4-1</x:v>
      </x:c>
      <x:c r="P769" s="49" t="str">
        <x:v>已结算</x:v>
      </x:c>
      <x:c r="Q769" s="49" t="str">
        <x:v>红</x:v>
      </x:c>
      <x:c r="R769" s="50" t="n">
        <x:v>0.82</x:v>
      </x:c>
      <x:c r="S769" s="50" t="n">
        <x:v>0.82</x:v>
      </x:c>
      <x:c r="T769" s="49" t="str">
        <x:v>D:\codex\v3_legacy\outputs\football_odds_trader\raw\titan007\20261004\20261004_084919_titan007_odds_snapshot.csv</x:v>
      </x:c>
      <x:c r="U769" s="49"/>
      <x:c r="V769" s="50"/>
      <x:c r="W769" s="50"/>
      <x:c r="X769" s="49" t="n">
        <x:v>0.82</x:v>
      </x:c>
      <x:c r="Y769" s="49" t="n">
        <x:v>1.25</x:v>
      </x:c>
      <x:c r="Z769" s="49" t="n">
        <x:v>0.88</x:v>
      </x:c>
      <x:c r="AA769" s="49"/>
      <x:c r="AB769" s="49"/>
      <x:c r="AC769" s="49" t="n">
        <x:v>0.82</x:v>
      </x:c>
      <x:c r="AD769" s="49" t="n">
        <x:v>1.44</x:v>
      </x:c>
      <x:c r="AE769" s="49" t="n">
        <x:v>4.63</x:v>
      </x:c>
      <x:c r="AF769" s="49" t="n">
        <x:v>5.23</x:v>
      </x:c>
      <x:c r="AG769" s="49"/>
      <x:c r="AH769" s="49"/>
      <x:c r="AI769" s="49"/>
      <x:c r="AJ769" s="49"/>
      <x:c r="AK769" s="49"/>
      <x:c r="AL769" s="49"/>
      <x:c r="AM769" s="49"/>
      <x:c r="AN769" s="49"/>
      <x:c r="AO769" s="49"/>
      <x:c r="AP769" s="49"/>
      <x:c r="AQ769" s="49" t="n">
        <x:v>1.25</x:v>
      </x:c>
      <x:c r="AR769" s="49"/>
      <x:c r="AS769" s="49"/>
      <x:c r="AT769" s="49"/>
      <x:c r="AU769" s="49"/>
      <x:c r="AV769" s="49"/>
      <x:c r="AW769" s="49"/>
      <x:c r="AX769" s="49"/>
      <x:c r="AY769" s="49" t="str">
        <x:v>Titan007 Next</x:v>
      </x:c>
    </x:row>
    <x:row r="770" ht="22" customHeight="1">
      <x:c r="A770" s="49" t="str">
        <x:v>2026-10-03</x:v>
      </x:c>
      <x:c r="B770" s="49" t="str">
        <x:v>2026-10-03 20:00:00</x:v>
      </x:c>
      <x:c r="C770" s="49" t="str">
        <x:v>CLUB_LEAGUE</x:v>
      </x:c>
      <x:c r="D770" s="49" t="str">
        <x:v>联赛</x:v>
      </x:c>
      <x:c r="E770" s="49" t="str">
        <x:v>挪乙</x:v>
      </x:c>
      <x:c r="F770" s="49" t="str">
        <x:v>斯吉德 vs 侯尼霍斯</x:v>
      </x:c>
      <x:c r="G770" s="60" t="n">
        <x:v>0.89</x:v>
      </x:c>
      <x:c r="H770" s="60" t="n">
        <x:v>0.75</x:v>
      </x:c>
      <x:c r="I770" s="60" t="n">
        <x:v>0.81</x:v>
      </x:c>
      <x:c r="J770" s="49" t="str">
        <x:v>0.89/0.75/0.81</x:v>
      </x:c>
      <x:c r="K770" s="49"/>
      <x:c r="L770" s="49" t="str">
        <x:v>侯尼霍斯</x:v>
      </x:c>
      <x:c r="M770" s="61" t="n">
        <x:v>0.5760000000000001</x:v>
      </x:c>
      <x:c r="N770" s="49" t="str">
        <x:v>网页可投</x:v>
      </x:c>
      <x:c r="O770" s="49" t="str">
        <x:v>4-3</x:v>
      </x:c>
      <x:c r="P770" s="49" t="str">
        <x:v>已结算</x:v>
      </x:c>
      <x:c r="Q770" s="49" t="str">
        <x:v>黑</x:v>
      </x:c>
      <x:c r="R770" s="50" t="n">
        <x:v>0.81</x:v>
      </x:c>
      <x:c r="S770" s="50" t="n">
        <x:v>-1</x:v>
      </x:c>
      <x:c r="T770" s="49" t="str">
        <x:v>D:\codex\v3_legacy\outputs\football_odds_trader\raw\titan007\20261004\20261004_084919_titan007_odds_snapshot.csv</x:v>
      </x:c>
      <x:c r="U770" s="49"/>
      <x:c r="V770" s="50"/>
      <x:c r="W770" s="50"/>
      <x:c r="X770" s="49" t="n">
        <x:v>0.89</x:v>
      </x:c>
      <x:c r="Y770" s="49" t="n">
        <x:v>-0.75</x:v>
      </x:c>
      <x:c r="Z770" s="49" t="n">
        <x:v>0.81</x:v>
      </x:c>
      <x:c r="AA770" s="49"/>
      <x:c r="AB770" s="49"/>
      <x:c r="AC770" s="49" t="n">
        <x:v>0.81</x:v>
      </x:c>
      <x:c r="AD770" s="49" t="n">
        <x:v>3.53</x:v>
      </x:c>
      <x:c r="AE770" s="49" t="n">
        <x:v>4.13</x:v>
      </x:c>
      <x:c r="AF770" s="49" t="n">
        <x:v>1.75</x:v>
      </x:c>
      <x:c r="AG770" s="49"/>
      <x:c r="AH770" s="49"/>
      <x:c r="AI770" s="49"/>
      <x:c r="AJ770" s="49"/>
      <x:c r="AK770" s="49"/>
      <x:c r="AL770" s="49"/>
      <x:c r="AM770" s="49"/>
      <x:c r="AN770" s="49"/>
      <x:c r="AO770" s="49"/>
      <x:c r="AP770" s="49"/>
      <x:c r="AQ770" s="49" t="n">
        <x:v>0.75</x:v>
      </x:c>
      <x:c r="AR770" s="49"/>
      <x:c r="AS770" s="49"/>
      <x:c r="AT770" s="49"/>
      <x:c r="AU770" s="49"/>
      <x:c r="AV770" s="49"/>
      <x:c r="AW770" s="49"/>
      <x:c r="AX770" s="49"/>
      <x:c r="AY770" s="49" t="str">
        <x:v>Titan007 Next</x:v>
      </x:c>
    </x:row>
    <x:row r="771" ht="22" customHeight="1">
      <x:c r="A771" s="49" t="str">
        <x:v>2026-10-03</x:v>
      </x:c>
      <x:c r="B771" s="49" t="str">
        <x:v>2026-10-03 20:30:00</x:v>
      </x:c>
      <x:c r="C771" s="49" t="str">
        <x:v>CLUB_LEAGUE</x:v>
      </x:c>
      <x:c r="D771" s="49" t="str">
        <x:v>联赛</x:v>
      </x:c>
      <x:c r="E771" s="49" t="str">
        <x:v>意丙</x:v>
      </x:c>
      <x:c r="F771" s="49" t="str">
        <x:v>瓦多 vs 福尔利</x:v>
      </x:c>
      <x:c r="G771" s="60" t="n">
        <x:v>0.92</x:v>
      </x:c>
      <x:c r="H771" s="60" t="n">
        <x:v>0</x:v>
      </x:c>
      <x:c r="I771" s="60" t="n">
        <x:v>0.78</x:v>
      </x:c>
      <x:c r="J771" s="49" t="str">
        <x:v>0.92/0.0/0.78</x:v>
      </x:c>
      <x:c r="K771" s="49"/>
      <x:c r="L771" s="49" t="str">
        <x:v>福尔利</x:v>
      </x:c>
      <x:c r="M771" s="61" t="n">
        <x:v>0.584</x:v>
      </x:c>
      <x:c r="N771" s="49" t="str">
        <x:v>网页可投</x:v>
      </x:c>
      <x:c r="O771" s="49" t="str">
        <x:v>1-0</x:v>
      </x:c>
      <x:c r="P771" s="49" t="str">
        <x:v>已结算</x:v>
      </x:c>
      <x:c r="Q771" s="49" t="str">
        <x:v>黑</x:v>
      </x:c>
      <x:c r="R771" s="50" t="n">
        <x:v>0.78</x:v>
      </x:c>
      <x:c r="S771" s="50" t="n">
        <x:v>-1</x:v>
      </x:c>
      <x:c r="T771" s="49" t="str">
        <x:v>D:\codex\v3_legacy\outputs\football_odds_trader\raw\titan007\20261004\20261004_084919_titan007_odds_snapshot.csv</x:v>
      </x:c>
      <x:c r="U771" s="49"/>
      <x:c r="V771" s="50"/>
      <x:c r="W771" s="50"/>
      <x:c r="X771" s="49" t="n">
        <x:v>0.92</x:v>
      </x:c>
      <x:c r="Y771" s="49" t="n">
        <x:v>0</x:v>
      </x:c>
      <x:c r="Z771" s="49" t="n">
        <x:v>0.78</x:v>
      </x:c>
      <x:c r="AA771" s="49"/>
      <x:c r="AB771" s="49"/>
      <x:c r="AC771" s="49" t="n">
        <x:v>0.78</x:v>
      </x:c>
      <x:c r="AD771" s="49" t="n">
        <x:v>2.61</x:v>
      </x:c>
      <x:c r="AE771" s="49" t="n">
        <x:v>3.14</x:v>
      </x:c>
      <x:c r="AF771" s="49" t="n">
        <x:v>2.49</x:v>
      </x:c>
      <x:c r="AG771" s="49"/>
      <x:c r="AH771" s="49"/>
      <x:c r="AI771" s="49"/>
      <x:c r="AJ771" s="49"/>
      <x:c r="AK771" s="49"/>
      <x:c r="AL771" s="49"/>
      <x:c r="AM771" s="49"/>
      <x:c r="AN771" s="49"/>
      <x:c r="AO771" s="49"/>
      <x:c r="AP771" s="49"/>
      <x:c r="AQ771" s="49" t="n">
        <x:v>0</x:v>
      </x:c>
      <x:c r="AR771" s="49"/>
      <x:c r="AS771" s="49"/>
      <x:c r="AT771" s="49"/>
      <x:c r="AU771" s="49"/>
      <x:c r="AV771" s="49"/>
      <x:c r="AW771" s="49"/>
      <x:c r="AX771" s="49"/>
      <x:c r="AY771" s="49" t="str">
        <x:v>Titan007 Next</x:v>
      </x:c>
    </x:row>
    <x:row r="772" ht="22" customHeight="1">
      <x:c r="A772" s="49" t="str">
        <x:v>2026-10-03</x:v>
      </x:c>
      <x:c r="B772" s="49" t="str">
        <x:v>2026-10-03 21:00:00</x:v>
      </x:c>
      <x:c r="C772" s="49" t="str">
        <x:v>CLUB_LEAGUE</x:v>
      </x:c>
      <x:c r="D772" s="49" t="str">
        <x:v>联赛</x:v>
      </x:c>
      <x:c r="E772" s="49" t="str">
        <x:v>挪乙</x:v>
      </x:c>
      <x:c r="F772" s="49" t="str">
        <x:v>哈尔登 vs 比查格</x:v>
      </x:c>
      <x:c r="G772" s="60" t="n">
        <x:v>0.86</x:v>
      </x:c>
      <x:c r="H772" s="60" t="n">
        <x:v>0.5</x:v>
      </x:c>
      <x:c r="I772" s="60" t="n">
        <x:v>0.84</x:v>
      </x:c>
      <x:c r="J772" s="49" t="str">
        <x:v>0.86/0.5/0.84</x:v>
      </x:c>
      <x:c r="K772" s="49"/>
      <x:c r="L772" s="49" t="str">
        <x:v>比查格</x:v>
      </x:c>
      <x:c r="M772" s="61" t="n">
        <x:v>0.5760000000000001</x:v>
      </x:c>
      <x:c r="N772" s="49" t="str">
        <x:v>网页可投</x:v>
      </x:c>
      <x:c r="O772" s="49" t="str">
        <x:v>2-3</x:v>
      </x:c>
      <x:c r="P772" s="49" t="str">
        <x:v>已结算</x:v>
      </x:c>
      <x:c r="Q772" s="49" t="str">
        <x:v>红</x:v>
      </x:c>
      <x:c r="R772" s="50" t="n">
        <x:v>0.84</x:v>
      </x:c>
      <x:c r="S772" s="50" t="n">
        <x:v>0.84</x:v>
      </x:c>
      <x:c r="T772" s="49" t="str">
        <x:v>D:\codex\v3_legacy\outputs\football_odds_trader\raw\titan007\20261004\20261004_084919_titan007_odds_snapshot.csv</x:v>
      </x:c>
      <x:c r="U772" s="49"/>
      <x:c r="V772" s="50"/>
      <x:c r="W772" s="50"/>
      <x:c r="X772" s="49" t="n">
        <x:v>0.86</x:v>
      </x:c>
      <x:c r="Y772" s="49" t="n">
        <x:v>-0.5</x:v>
      </x:c>
      <x:c r="Z772" s="49" t="n">
        <x:v>0.84</x:v>
      </x:c>
      <x:c r="AA772" s="49"/>
      <x:c r="AB772" s="49"/>
      <x:c r="AC772" s="49" t="n">
        <x:v>0.84</x:v>
      </x:c>
      <x:c r="AD772" s="49" t="n">
        <x:v>3.86</x:v>
      </x:c>
      <x:c r="AE772" s="49" t="n">
        <x:v>4.12</x:v>
      </x:c>
      <x:c r="AF772" s="49" t="n">
        <x:v>1.69</x:v>
      </x:c>
      <x:c r="AG772" s="49"/>
      <x:c r="AH772" s="49"/>
      <x:c r="AI772" s="49"/>
      <x:c r="AJ772" s="49"/>
      <x:c r="AK772" s="49"/>
      <x:c r="AL772" s="49"/>
      <x:c r="AM772" s="49"/>
      <x:c r="AN772" s="49"/>
      <x:c r="AO772" s="49"/>
      <x:c r="AP772" s="49"/>
      <x:c r="AQ772" s="49" t="n">
        <x:v>0.5</x:v>
      </x:c>
      <x:c r="AR772" s="49"/>
      <x:c r="AS772" s="49"/>
      <x:c r="AT772" s="49"/>
      <x:c r="AU772" s="49"/>
      <x:c r="AV772" s="49"/>
      <x:c r="AW772" s="49"/>
      <x:c r="AX772" s="49"/>
      <x:c r="AY772" s="49" t="str">
        <x:v>Titan007 Next</x:v>
      </x:c>
    </x:row>
    <x:row r="773" ht="22" customHeight="1">
      <x:c r="A773" s="49" t="str">
        <x:v>2026-10-03</x:v>
      </x:c>
      <x:c r="B773" s="49" t="str">
        <x:v>2026-10-03 22:00:00</x:v>
      </x:c>
      <x:c r="C773" s="49" t="str">
        <x:v>CLUB_LEAGUE</x:v>
      </x:c>
      <x:c r="D773" s="49" t="str">
        <x:v>联赛</x:v>
      </x:c>
      <x:c r="E773" s="49" t="str">
        <x:v>挪甲</x:v>
      </x:c>
      <x:c r="F773" s="49" t="str">
        <x:v>斯托姆加斯特 vs 阿萨纳</x:v>
      </x:c>
      <x:c r="G773" s="60" t="n">
        <x:v>0.8</x:v>
      </x:c>
      <x:c r="H773" s="60" t="n">
        <x:v>2.25</x:v>
      </x:c>
      <x:c r="I773" s="60" t="n">
        <x:v>0.96</x:v>
      </x:c>
      <x:c r="J773" s="49" t="str">
        <x:v>0.8/2.25/0.96</x:v>
      </x:c>
      <x:c r="K773" s="49"/>
      <x:c r="L773" s="49" t="str">
        <x:v>斯托姆加斯特</x:v>
      </x:c>
      <x:c r="M773" s="61" t="n">
        <x:v>0.5760000000000001</x:v>
      </x:c>
      <x:c r="N773" s="49" t="str">
        <x:v>网页可投</x:v>
      </x:c>
      <x:c r="O773" s="49" t="str">
        <x:v>1-0</x:v>
      </x:c>
      <x:c r="P773" s="49" t="str">
        <x:v>已结算</x:v>
      </x:c>
      <x:c r="Q773" s="49" t="str">
        <x:v>黑</x:v>
      </x:c>
      <x:c r="R773" s="50" t="n">
        <x:v>0.8</x:v>
      </x:c>
      <x:c r="S773" s="50" t="n">
        <x:v>-1</x:v>
      </x:c>
      <x:c r="T773" s="49" t="str">
        <x:v>D:\codex\v3_legacy\outputs\football_odds_trader\raw\titan007\20261004\20261004_084919_titan007_odds_snapshot.csv</x:v>
      </x:c>
      <x:c r="U773" s="49"/>
      <x:c r="V773" s="50"/>
      <x:c r="W773" s="50"/>
      <x:c r="X773" s="49" t="n">
        <x:v>0.8</x:v>
      </x:c>
      <x:c r="Y773" s="49" t="n">
        <x:v>2.25</x:v>
      </x:c>
      <x:c r="Z773" s="49" t="n">
        <x:v>0.96</x:v>
      </x:c>
      <x:c r="AA773" s="49"/>
      <x:c r="AB773" s="49"/>
      <x:c r="AC773" s="49" t="n">
        <x:v>0.8</x:v>
      </x:c>
      <x:c r="AD773" s="49" t="n">
        <x:v>1.12</x:v>
      </x:c>
      <x:c r="AE773" s="49" t="n">
        <x:v>7.93</x:v>
      </x:c>
      <x:c r="AF773" s="49" t="n">
        <x:v>13.29</x:v>
      </x:c>
      <x:c r="AG773" s="49"/>
      <x:c r="AH773" s="49"/>
      <x:c r="AI773" s="49"/>
      <x:c r="AJ773" s="49"/>
      <x:c r="AK773" s="49"/>
      <x:c r="AL773" s="49"/>
      <x:c r="AM773" s="49"/>
      <x:c r="AN773" s="49"/>
      <x:c r="AO773" s="49"/>
      <x:c r="AP773" s="49"/>
      <x:c r="AQ773" s="49" t="n">
        <x:v>2.25</x:v>
      </x:c>
      <x:c r="AR773" s="49"/>
      <x:c r="AS773" s="49"/>
      <x:c r="AT773" s="49"/>
      <x:c r="AU773" s="49"/>
      <x:c r="AV773" s="49"/>
      <x:c r="AW773" s="49"/>
      <x:c r="AX773" s="49"/>
      <x:c r="AY773" s="49" t="str">
        <x:v>Titan007 Next</x:v>
      </x:c>
    </x:row>
    <x:row r="774" ht="22" customHeight="1">
      <x:c r="A774" s="49" t="str">
        <x:v>2026-10-03</x:v>
      </x:c>
      <x:c r="B774" s="49" t="str">
        <x:v>2026-10-03 22:00:00</x:v>
      </x:c>
      <x:c r="C774" s="49" t="str">
        <x:v>CLUB_LEAGUE</x:v>
      </x:c>
      <x:c r="D774" s="49" t="str">
        <x:v>联赛</x:v>
      </x:c>
      <x:c r="E774" s="49" t="str">
        <x:v>挪甲</x:v>
      </x:c>
      <x:c r="F774" s="49" t="str">
        <x:v>海于格松 vs 斯塔贝克</x:v>
      </x:c>
      <x:c r="G774" s="60" t="n">
        <x:v>0.83</x:v>
      </x:c>
      <x:c r="H774" s="60" t="n">
        <x:v>0.5</x:v>
      </x:c>
      <x:c r="I774" s="60" t="n">
        <x:v>0.93</x:v>
      </x:c>
      <x:c r="J774" s="49" t="str">
        <x:v>0.83/0.5/0.93</x:v>
      </x:c>
      <x:c r="K774" s="49"/>
      <x:c r="L774" s="49" t="str">
        <x:v>海于格松</x:v>
      </x:c>
      <x:c r="M774" s="61" t="n">
        <x:v>0.5760000000000001</x:v>
      </x:c>
      <x:c r="N774" s="49" t="str">
        <x:v>网页可投</x:v>
      </x:c>
      <x:c r="O774" s="49" t="str">
        <x:v>2-0</x:v>
      </x:c>
      <x:c r="P774" s="49" t="str">
        <x:v>已结算</x:v>
      </x:c>
      <x:c r="Q774" s="49" t="str">
        <x:v>红</x:v>
      </x:c>
      <x:c r="R774" s="50" t="n">
        <x:v>0.83</x:v>
      </x:c>
      <x:c r="S774" s="50" t="n">
        <x:v>0.83</x:v>
      </x:c>
      <x:c r="T774" s="49" t="str">
        <x:v>D:\codex\v3_legacy\outputs\football_odds_trader\raw\titan007\20261004\20261004_084919_titan007_odds_snapshot.csv</x:v>
      </x:c>
      <x:c r="U774" s="49"/>
      <x:c r="V774" s="50"/>
      <x:c r="W774" s="50"/>
      <x:c r="X774" s="49" t="n">
        <x:v>0.86</x:v>
      </x:c>
      <x:c r="Y774" s="49" t="n">
        <x:v>0.5</x:v>
      </x:c>
      <x:c r="Z774" s="49" t="n">
        <x:v>0.9</x:v>
      </x:c>
      <x:c r="AA774" s="49"/>
      <x:c r="AB774" s="49"/>
      <x:c r="AC774" s="49" t="n">
        <x:v>0.83</x:v>
      </x:c>
      <x:c r="AD774" s="49" t="n">
        <x:v>1.87</x:v>
      </x:c>
      <x:c r="AE774" s="49" t="n">
        <x:v>3.98</x:v>
      </x:c>
      <x:c r="AF774" s="49" t="n">
        <x:v>3.2</x:v>
      </x:c>
      <x:c r="AG774" s="49"/>
      <x:c r="AH774" s="49"/>
      <x:c r="AI774" s="49"/>
      <x:c r="AJ774" s="49"/>
      <x:c r="AK774" s="49"/>
      <x:c r="AL774" s="49"/>
      <x:c r="AM774" s="49"/>
      <x:c r="AN774" s="49"/>
      <x:c r="AO774" s="49"/>
      <x:c r="AP774" s="49"/>
      <x:c r="AQ774" s="49" t="n">
        <x:v>0.5</x:v>
      </x:c>
      <x:c r="AR774" s="49"/>
      <x:c r="AS774" s="49"/>
      <x:c r="AT774" s="49"/>
      <x:c r="AU774" s="49"/>
      <x:c r="AV774" s="49"/>
      <x:c r="AW774" s="49"/>
      <x:c r="AX774" s="49"/>
      <x:c r="AY774" s="49" t="str">
        <x:v>Titan007 Next</x:v>
      </x:c>
    </x:row>
    <x:row r="775" ht="22" customHeight="1">
      <x:c r="A775" s="49" t="str">
        <x:v>2026-10-03</x:v>
      </x:c>
      <x:c r="B775" s="49" t="str">
        <x:v>2026-10-03 22:15:00</x:v>
      </x:c>
      <x:c r="C775" s="49" t="str">
        <x:v>CLUB_LEAGUE</x:v>
      </x:c>
      <x:c r="D775" s="49" t="str">
        <x:v>联赛</x:v>
      </x:c>
      <x:c r="E775" s="49" t="str">
        <x:v>西乙</x:v>
      </x:c>
      <x:c r="F775" s="49" t="str">
        <x:v>阿尔梅里亚 vs 布尔戈斯</x:v>
      </x:c>
      <x:c r="G775" s="60" t="n">
        <x:v>1.04</x:v>
      </x:c>
      <x:c r="H775" s="60" t="n">
        <x:v>1</x:v>
      </x:c>
      <x:c r="I775" s="60" t="n">
        <x:v>0.84</x:v>
      </x:c>
      <x:c r="J775" s="49" t="str">
        <x:v>1.04/1.0/0.84</x:v>
      </x:c>
      <x:c r="K775" s="49"/>
      <x:c r="L775" s="49" t="str">
        <x:v>阿尔梅里亚（上盘）</x:v>
      </x:c>
      <x:c r="M775" s="61" t="n">
        <x:v>0.529</x:v>
      </x:c>
      <x:c r="N775" s="49" t="str">
        <x:v>网页可投</x:v>
      </x:c>
      <x:c r="O775" s="49" t="str">
        <x:v>2-1</x:v>
      </x:c>
      <x:c r="P775" s="49" t="str">
        <x:v>已结算</x:v>
      </x:c>
      <x:c r="Q775" s="49" t="str">
        <x:v>走</x:v>
      </x:c>
      <x:c r="R775" s="50" t="n">
        <x:v>1.04</x:v>
      </x:c>
      <x:c r="S775" s="50" t="n">
        <x:v>0</x:v>
      </x:c>
      <x:c r="T775" s="49" t="str">
        <x:v>D:\codex\v3_legacy\outputs\football_odds_trader\raw\titan007\20261004\20261004_084919_titan007_odds_snapshot.csv</x:v>
      </x:c>
      <x:c r="U775" s="49"/>
      <x:c r="V775" s="50"/>
      <x:c r="W775" s="50"/>
      <x:c r="X775" s="49" t="n">
        <x:v>0.85</x:v>
      </x:c>
      <x:c r="Y775" s="49" t="n">
        <x:v>0.75</x:v>
      </x:c>
      <x:c r="Z775" s="49" t="n">
        <x:v>1.03</x:v>
      </x:c>
      <x:c r="AA775" s="49"/>
      <x:c r="AB775" s="49"/>
      <x:c r="AC775" s="49" t="n">
        <x:v>1.04</x:v>
      </x:c>
      <x:c r="AD775" s="49" t="n">
        <x:v>1.63</x:v>
      </x:c>
      <x:c r="AE775" s="49" t="n">
        <x:v>3.71</x:v>
      </x:c>
      <x:c r="AF775" s="49" t="n">
        <x:v>4.97</x:v>
      </x:c>
      <x:c r="AG775" s="49"/>
      <x:c r="AH775" s="49"/>
      <x:c r="AI775" s="49"/>
      <x:c r="AJ775" s="49"/>
      <x:c r="AK775" s="49"/>
      <x:c r="AL775" s="49"/>
      <x:c r="AM775" s="49"/>
      <x:c r="AN775" s="49"/>
      <x:c r="AO775" s="49"/>
      <x:c r="AP775" s="49"/>
      <x:c r="AQ775" s="49" t="n">
        <x:v>1</x:v>
      </x:c>
      <x:c r="AR775" s="49"/>
      <x:c r="AS775" s="49"/>
      <x:c r="AT775" s="49"/>
      <x:c r="AU775" s="49"/>
      <x:c r="AV775" s="49"/>
      <x:c r="AW775" s="49"/>
      <x:c r="AX775" s="49"/>
      <x:c r="AY775" s="49" t="str">
        <x:v>Titan007 Next</x:v>
      </x:c>
    </x:row>
    <x:row r="776" ht="22" customHeight="1">
      <x:c r="A776" s="49" t="str">
        <x:v>2026-10-03</x:v>
      </x:c>
      <x:c r="B776" s="49" t="str">
        <x:v>2026-10-03 22:30:00</x:v>
      </x:c>
      <x:c r="C776" s="49" t="str">
        <x:v>CLUB_LEAGUE</x:v>
      </x:c>
      <x:c r="D776" s="49" t="str">
        <x:v>联赛</x:v>
      </x:c>
      <x:c r="E776" s="49" t="str">
        <x:v>西协甲</x:v>
      </x:c>
      <x:c r="F776" s="49" t="str">
        <x:v>皇家联邦 vs UD欧云斯</x:v>
      </x:c>
      <x:c r="G776" s="60" t="n">
        <x:v>0.82</x:v>
      </x:c>
      <x:c r="H776" s="60" t="n">
        <x:v>1.25</x:v>
      </x:c>
      <x:c r="I776" s="60" t="n">
        <x:v>0.88</x:v>
      </x:c>
      <x:c r="J776" s="49" t="str">
        <x:v>0.82/1.25/0.88</x:v>
      </x:c>
      <x:c r="K776" s="49"/>
      <x:c r="L776" s="49" t="str">
        <x:v>皇家联邦</x:v>
      </x:c>
      <x:c r="M776" s="61" t="n">
        <x:v>0.584</x:v>
      </x:c>
      <x:c r="N776" s="49" t="str">
        <x:v>网页可投</x:v>
      </x:c>
      <x:c r="O776" s="49" t="str">
        <x:v>1-1</x:v>
      </x:c>
      <x:c r="P776" s="49" t="str">
        <x:v>已结算</x:v>
      </x:c>
      <x:c r="Q776" s="49" t="str">
        <x:v>黑</x:v>
      </x:c>
      <x:c r="R776" s="50" t="n">
        <x:v>0.82</x:v>
      </x:c>
      <x:c r="S776" s="50" t="n">
        <x:v>-1</x:v>
      </x:c>
      <x:c r="T776" s="49" t="str">
        <x:v>D:\codex\v3_legacy\outputs\football_odds_trader\raw\titan007\20261004\20261004_084919_titan007_odds_snapshot.csv</x:v>
      </x:c>
      <x:c r="U776" s="49"/>
      <x:c r="V776" s="50"/>
      <x:c r="W776" s="50"/>
      <x:c r="X776" s="49" t="n">
        <x:v>0.82</x:v>
      </x:c>
      <x:c r="Y776" s="49" t="n">
        <x:v>1.25</x:v>
      </x:c>
      <x:c r="Z776" s="49" t="n">
        <x:v>0.88</x:v>
      </x:c>
      <x:c r="AA776" s="49"/>
      <x:c r="AB776" s="49"/>
      <x:c r="AC776" s="49" t="n">
        <x:v>0.82</x:v>
      </x:c>
      <x:c r="AD776" s="49" t="n">
        <x:v>1.48</x:v>
      </x:c>
      <x:c r="AE776" s="49" t="n">
        <x:v>4.09</x:v>
      </x:c>
      <x:c r="AF776" s="49" t="n">
        <x:v>5.78</x:v>
      </x:c>
      <x:c r="AG776" s="49"/>
      <x:c r="AH776" s="49"/>
      <x:c r="AI776" s="49"/>
      <x:c r="AJ776" s="49"/>
      <x:c r="AK776" s="49"/>
      <x:c r="AL776" s="49"/>
      <x:c r="AM776" s="49"/>
      <x:c r="AN776" s="49"/>
      <x:c r="AO776" s="49"/>
      <x:c r="AP776" s="49"/>
      <x:c r="AQ776" s="49" t="n">
        <x:v>1.25</x:v>
      </x:c>
      <x:c r="AR776" s="49"/>
      <x:c r="AS776" s="49"/>
      <x:c r="AT776" s="49"/>
      <x:c r="AU776" s="49"/>
      <x:c r="AV776" s="49"/>
      <x:c r="AW776" s="49"/>
      <x:c r="AX776" s="49"/>
      <x:c r="AY776" s="49" t="str">
        <x:v>Titan007 Next</x:v>
      </x:c>
    </x:row>
    <x:row r="777" ht="22" customHeight="1">
      <x:c r="A777" s="49" t="str">
        <x:v>2026-10-03</x:v>
      </x:c>
      <x:c r="B777" s="49" t="str">
        <x:v>2026-10-03 23:30:00</x:v>
      </x:c>
      <x:c r="C777" s="49" t="str">
        <x:v>CLUB_LEAGUE</x:v>
      </x:c>
      <x:c r="D777" s="49" t="str">
        <x:v>联赛</x:v>
      </x:c>
      <x:c r="E777" s="49" t="str">
        <x:v>意丙</x:v>
      </x:c>
      <x:c r="F777" s="49" t="str">
        <x:v>久加连奴 vs 巴勒塔</x:v>
      </x:c>
      <x:c r="G777" s="60" t="n">
        <x:v>0.84</x:v>
      </x:c>
      <x:c r="H777" s="60" t="n">
        <x:v>0</x:v>
      </x:c>
      <x:c r="I777" s="60" t="n">
        <x:v>0.86</x:v>
      </x:c>
      <x:c r="J777" s="49" t="str">
        <x:v>0.84/0.0/0.86</x:v>
      </x:c>
      <x:c r="K777" s="49"/>
      <x:c r="L777" s="49" t="str">
        <x:v>久加连奴</x:v>
      </x:c>
      <x:c r="M777" s="61" t="n">
        <x:v>0.584</x:v>
      </x:c>
      <x:c r="N777" s="49" t="str">
        <x:v>网页可投</x:v>
      </x:c>
      <x:c r="O777" s="49" t="str">
        <x:v>1-0</x:v>
      </x:c>
      <x:c r="P777" s="49" t="str">
        <x:v>已结算</x:v>
      </x:c>
      <x:c r="Q777" s="49" t="str">
        <x:v>红</x:v>
      </x:c>
      <x:c r="R777" s="50" t="n">
        <x:v>0.84</x:v>
      </x:c>
      <x:c r="S777" s="50" t="n">
        <x:v>0.84</x:v>
      </x:c>
      <x:c r="T777" s="49" t="str">
        <x:v>D:\codex\v3_legacy\outputs\football_odds_trader\raw\titan007\20261004\20261004_084919_titan007_odds_snapshot.csv</x:v>
      </x:c>
      <x:c r="U777" s="49"/>
      <x:c r="V777" s="50"/>
      <x:c r="W777" s="50"/>
      <x:c r="X777" s="49" t="n">
        <x:v>0.84</x:v>
      </x:c>
      <x:c r="Y777" s="49" t="n">
        <x:v>0</x:v>
      </x:c>
      <x:c r="Z777" s="49" t="n">
        <x:v>0.86</x:v>
      </x:c>
      <x:c r="AA777" s="49"/>
      <x:c r="AB777" s="49"/>
      <x:c r="AC777" s="49" t="n">
        <x:v>0.84</x:v>
      </x:c>
      <x:c r="AD777" s="49" t="n">
        <x:v>2.28</x:v>
      </x:c>
      <x:c r="AE777" s="49" t="n">
        <x:v>3.3</x:v>
      </x:c>
      <x:c r="AF777" s="49" t="n">
        <x:v>2.81</x:v>
      </x:c>
      <x:c r="AG777" s="49"/>
      <x:c r="AH777" s="49"/>
      <x:c r="AI777" s="49"/>
      <x:c r="AJ777" s="49"/>
      <x:c r="AK777" s="49"/>
      <x:c r="AL777" s="49"/>
      <x:c r="AM777" s="49"/>
      <x:c r="AN777" s="49"/>
      <x:c r="AO777" s="49"/>
      <x:c r="AP777" s="49"/>
      <x:c r="AQ777" s="49" t="n">
        <x:v>0</x:v>
      </x:c>
      <x:c r="AR777" s="49"/>
      <x:c r="AS777" s="49"/>
      <x:c r="AT777" s="49"/>
      <x:c r="AU777" s="49"/>
      <x:c r="AV777" s="49"/>
      <x:c r="AW777" s="49"/>
      <x:c r="AX777" s="49"/>
      <x:c r="AY777" s="49" t="str">
        <x:v>Titan007 Next</x:v>
      </x:c>
    </x:row>
    <x:row r="778" ht="22" customHeight="1">
      <x:c r="A778" s="49" t="str">
        <x:v>2026-10-03</x:v>
      </x:c>
      <x:c r="B778" s="49" t="str">
        <x:v>2026-10-04 00:30:00</x:v>
      </x:c>
      <x:c r="C778" s="49" t="str">
        <x:v>CLUB_LEAGUE</x:v>
      </x:c>
      <x:c r="D778" s="49" t="str">
        <x:v>联赛</x:v>
      </x:c>
      <x:c r="E778" s="49" t="str">
        <x:v>西乙</x:v>
      </x:c>
      <x:c r="F778" s="49" t="str">
        <x:v>加的斯 vs 莱加内斯</x:v>
      </x:c>
      <x:c r="G778" s="60" t="n">
        <x:v>1.09</x:v>
      </x:c>
      <x:c r="H778" s="60" t="n">
        <x:v>0</x:v>
      </x:c>
      <x:c r="I778" s="60" t="n">
        <x:v>0.79</x:v>
      </x:c>
      <x:c r="J778" s="49" t="str">
        <x:v>1.09/0.0/0.79</x:v>
      </x:c>
      <x:c r="K778" s="49"/>
      <x:c r="L778" s="49" t="str">
        <x:v>莱加内斯</x:v>
      </x:c>
      <x:c r="M778" s="61" t="n">
        <x:v>0.584</x:v>
      </x:c>
      <x:c r="N778" s="49" t="str">
        <x:v>网页可投</x:v>
      </x:c>
      <x:c r="O778" s="49" t="str">
        <x:v>4-0</x:v>
      </x:c>
      <x:c r="P778" s="49" t="str">
        <x:v>已结算</x:v>
      </x:c>
      <x:c r="Q778" s="49" t="str">
        <x:v>黑</x:v>
      </x:c>
      <x:c r="R778" s="50" t="n">
        <x:v>0.79</x:v>
      </x:c>
      <x:c r="S778" s="50" t="n">
        <x:v>-1</x:v>
      </x:c>
      <x:c r="T778" s="49" t="str">
        <x:v>D:\codex\v3_legacy\outputs\football_odds_trader\raw\titan007\20261004\20261004_084919_titan007_odds_snapshot.csv</x:v>
      </x:c>
      <x:c r="U778" s="49"/>
      <x:c r="V778" s="50"/>
      <x:c r="W778" s="50"/>
      <x:c r="X778" s="49" t="n">
        <x:v>1.05</x:v>
      </x:c>
      <x:c r="Y778" s="49" t="n">
        <x:v>0</x:v>
      </x:c>
      <x:c r="Z778" s="49" t="n">
        <x:v>0.83</x:v>
      </x:c>
      <x:c r="AA778" s="49"/>
      <x:c r="AB778" s="49"/>
      <x:c r="AC778" s="49" t="n">
        <x:v>0.79</x:v>
      </x:c>
      <x:c r="AD778" s="49" t="n">
        <x:v>2.74</x:v>
      </x:c>
      <x:c r="AE778" s="49" t="n">
        <x:v>3.12</x:v>
      </x:c>
      <x:c r="AF778" s="49" t="n">
        <x:v>2.52</x:v>
      </x:c>
      <x:c r="AG778" s="49"/>
      <x:c r="AH778" s="49"/>
      <x:c r="AI778" s="49"/>
      <x:c r="AJ778" s="49"/>
      <x:c r="AK778" s="49"/>
      <x:c r="AL778" s="49"/>
      <x:c r="AM778" s="49"/>
      <x:c r="AN778" s="49"/>
      <x:c r="AO778" s="49"/>
      <x:c r="AP778" s="49"/>
      <x:c r="AQ778" s="49" t="n">
        <x:v>0</x:v>
      </x:c>
      <x:c r="AR778" s="49"/>
      <x:c r="AS778" s="49"/>
      <x:c r="AT778" s="49"/>
      <x:c r="AU778" s="49"/>
      <x:c r="AV778" s="49"/>
      <x:c r="AW778" s="49"/>
      <x:c r="AX778" s="49"/>
      <x:c r="AY778" s="49" t="str">
        <x:v>Titan007 Next</x:v>
      </x:c>
    </x:row>
    <x:row r="779" ht="22" customHeight="1">
      <x:c r="A779" s="49" t="str">
        <x:v>2026-10-03</x:v>
      </x:c>
      <x:c r="B779" s="49" t="str">
        <x:v>2026-10-04 00:30:00</x:v>
      </x:c>
      <x:c r="C779" s="49" t="str">
        <x:v>CLUB_LEAGUE</x:v>
      </x:c>
      <x:c r="D779" s="49" t="str">
        <x:v>联赛</x:v>
      </x:c>
      <x:c r="E779" s="49" t="str">
        <x:v>西乙</x:v>
      </x:c>
      <x:c r="F779" s="49" t="str">
        <x:v>萨瓦德尔 vs 安道尔FC</x:v>
      </x:c>
      <x:c r="G779" s="60" t="n">
        <x:v>1.07</x:v>
      </x:c>
      <x:c r="H779" s="60" t="n">
        <x:v>0.5</x:v>
      </x:c>
      <x:c r="I779" s="60" t="n">
        <x:v>0.81</x:v>
      </x:c>
      <x:c r="J779" s="49" t="str">
        <x:v>1.07/0.5/0.81</x:v>
      </x:c>
      <x:c r="K779" s="49"/>
      <x:c r="L779" s="49" t="str">
        <x:v>萨瓦德尔（上盘）</x:v>
      </x:c>
      <x:c r="M779" s="61" t="n">
        <x:v>0.529</x:v>
      </x:c>
      <x:c r="N779" s="49" t="str">
        <x:v>网页可投</x:v>
      </x:c>
      <x:c r="O779" s="49" t="str">
        <x:v>取消/延期</x:v>
      </x:c>
      <x:c r="P779" s="49" t="str">
        <x:v>取消/延期</x:v>
      </x:c>
      <x:c r="Q779" s="49"/>
      <x:c r="R779" s="50" t="n">
        <x:v>1.07</x:v>
      </x:c>
      <x:c r="S779" s="50"/>
      <x:c r="T779" s="49" t="str">
        <x:v>D:\codex\v3_legacy\outputs\football_odds_trader\raw\titan007\20261004\20261004_084919_titan007_odds_snapshot.csv</x:v>
      </x:c>
      <x:c r="U779" s="49"/>
      <x:c r="V779" s="50"/>
      <x:c r="W779" s="50"/>
      <x:c r="X779" s="49" t="n">
        <x:v>0.83</x:v>
      </x:c>
      <x:c r="Y779" s="49" t="n">
        <x:v>0.25</x:v>
      </x:c>
      <x:c r="Z779" s="49" t="n">
        <x:v>1.05</x:v>
      </x:c>
      <x:c r="AA779" s="49"/>
      <x:c r="AB779" s="49"/>
      <x:c r="AC779" s="49" t="n">
        <x:v>1.07</x:v>
      </x:c>
      <x:c r="AD779" s="49" t="n">
        <x:v>2.06</x:v>
      </x:c>
      <x:c r="AE779" s="49" t="n">
        <x:v>3.15</x:v>
      </x:c>
      <x:c r="AF779" s="49" t="n">
        <x:v>3.54</x:v>
      </x:c>
      <x:c r="AG779" s="49"/>
      <x:c r="AH779" s="49"/>
      <x:c r="AI779" s="49"/>
      <x:c r="AJ779" s="49"/>
      <x:c r="AK779" s="49"/>
      <x:c r="AL779" s="49"/>
      <x:c r="AM779" s="49"/>
      <x:c r="AN779" s="49"/>
      <x:c r="AO779" s="49"/>
      <x:c r="AP779" s="49"/>
      <x:c r="AQ779" s="49" t="n">
        <x:v>0.5</x:v>
      </x:c>
      <x:c r="AR779" s="49"/>
      <x:c r="AS779" s="49"/>
      <x:c r="AT779" s="49"/>
      <x:c r="AU779" s="49"/>
      <x:c r="AV779" s="49"/>
      <x:c r="AW779" s="49"/>
      <x:c r="AX779" s="49"/>
      <x:c r="AY779" s="49" t="str">
        <x:v>Titan007 Next</x:v>
      </x:c>
    </x:row>
    <x:row r="780" ht="22" customHeight="1">
      <x:c r="A780" s="49" t="str">
        <x:v>2026-10-03</x:v>
      </x:c>
      <x:c r="B780" s="49" t="str">
        <x:v>2026-10-04 02:30:00</x:v>
      </x:c>
      <x:c r="C780" s="49" t="str">
        <x:v>CLUB_LEAGUE</x:v>
      </x:c>
      <x:c r="D780" s="49" t="str">
        <x:v>联赛</x:v>
      </x:c>
      <x:c r="E780" s="49" t="str">
        <x:v>意丙</x:v>
      </x:c>
      <x:c r="F780" s="49" t="str">
        <x:v>US弗格尔 vs 加尔维纳</x:v>
      </x:c>
      <x:c r="G780" s="60" t="n">
        <x:v>0.78</x:v>
      </x:c>
      <x:c r="H780" s="60" t="n">
        <x:v>0.25</x:v>
      </x:c>
      <x:c r="I780" s="60" t="n">
        <x:v>0.92</x:v>
      </x:c>
      <x:c r="J780" s="49" t="str">
        <x:v>0.78/0.25/0.92</x:v>
      </x:c>
      <x:c r="K780" s="49"/>
      <x:c r="L780" s="49" t="str">
        <x:v>US弗格尔</x:v>
      </x:c>
      <x:c r="M780" s="61" t="n">
        <x:v>0.584</x:v>
      </x:c>
      <x:c r="N780" s="49" t="str">
        <x:v>网页可投</x:v>
      </x:c>
      <x:c r="O780" s="49" t="str">
        <x:v>1-2</x:v>
      </x:c>
      <x:c r="P780" s="49" t="str">
        <x:v>已结算</x:v>
      </x:c>
      <x:c r="Q780" s="49" t="str">
        <x:v>黑</x:v>
      </x:c>
      <x:c r="R780" s="50" t="n">
        <x:v>0.78</x:v>
      </x:c>
      <x:c r="S780" s="50" t="n">
        <x:v>-1</x:v>
      </x:c>
      <x:c r="T780" s="49" t="str">
        <x:v>D:\codex\v3_legacy\outputs\football_odds_trader\raw\titan007\20261004\20261004_084919_titan007_odds_snapshot.csv</x:v>
      </x:c>
      <x:c r="U780" s="49"/>
      <x:c r="V780" s="50"/>
      <x:c r="W780" s="50"/>
      <x:c r="X780" s="49" t="n">
        <x:v>0.78</x:v>
      </x:c>
      <x:c r="Y780" s="49" t="n">
        <x:v>0.25</x:v>
      </x:c>
      <x:c r="Z780" s="49" t="n">
        <x:v>0.92</x:v>
      </x:c>
      <x:c r="AA780" s="49"/>
      <x:c r="AB780" s="49"/>
      <x:c r="AC780" s="49" t="n">
        <x:v>0.78</x:v>
      </x:c>
      <x:c r="AD780" s="49" t="n">
        <x:v>2.2</x:v>
      </x:c>
      <x:c r="AE780" s="49" t="n">
        <x:v>3</x:v>
      </x:c>
      <x:c r="AF780" s="49" t="n">
        <x:v>3.2</x:v>
      </x:c>
      <x:c r="AG780" s="49"/>
      <x:c r="AH780" s="49"/>
      <x:c r="AI780" s="49"/>
      <x:c r="AJ780" s="49"/>
      <x:c r="AK780" s="49"/>
      <x:c r="AL780" s="49"/>
      <x:c r="AM780" s="49"/>
      <x:c r="AN780" s="49"/>
      <x:c r="AO780" s="49"/>
      <x:c r="AP780" s="49"/>
      <x:c r="AQ780" s="49" t="n">
        <x:v>0.25</x:v>
      </x:c>
      <x:c r="AR780" s="49"/>
      <x:c r="AS780" s="49"/>
      <x:c r="AT780" s="49"/>
      <x:c r="AU780" s="49"/>
      <x:c r="AV780" s="49"/>
      <x:c r="AW780" s="49"/>
      <x:c r="AX780" s="49"/>
      <x:c r="AY780" s="49" t="str">
        <x:v>Titan007 Next</x:v>
      </x:c>
    </x:row>
    <x:row r="781" ht="22" customHeight="1">
      <x:c r="A781" s="49" t="str">
        <x:v>2026-10-03</x:v>
      </x:c>
      <x:c r="B781" s="49" t="str">
        <x:v>2026-10-04 02:30:00</x:v>
      </x:c>
      <x:c r="C781" s="49" t="str">
        <x:v>CLUB_LEAGUE</x:v>
      </x:c>
      <x:c r="D781" s="49" t="str">
        <x:v>联赛</x:v>
      </x:c>
      <x:c r="E781" s="49" t="str">
        <x:v>意丙</x:v>
      </x:c>
      <x:c r="F781" s="49" t="str">
        <x:v>韦尔切利 vs 卡尔皮</x:v>
      </x:c>
      <x:c r="G781" s="60" t="n">
        <x:v>0.83</x:v>
      </x:c>
      <x:c r="H781" s="60" t="n">
        <x:v>0.25</x:v>
      </x:c>
      <x:c r="I781" s="60" t="n">
        <x:v>0.87</x:v>
      </x:c>
      <x:c r="J781" s="49" t="str">
        <x:v>0.83/0.25/0.87</x:v>
      </x:c>
      <x:c r="K781" s="49"/>
      <x:c r="L781" s="49" t="str">
        <x:v>韦尔切利</x:v>
      </x:c>
      <x:c r="M781" s="61" t="n">
        <x:v>0.584</x:v>
      </x:c>
      <x:c r="N781" s="49" t="str">
        <x:v>网页可投</x:v>
      </x:c>
      <x:c r="O781" s="49" t="str">
        <x:v>2-0</x:v>
      </x:c>
      <x:c r="P781" s="49" t="str">
        <x:v>已结算</x:v>
      </x:c>
      <x:c r="Q781" s="49" t="str">
        <x:v>红</x:v>
      </x:c>
      <x:c r="R781" s="50" t="n">
        <x:v>0.83</x:v>
      </x:c>
      <x:c r="S781" s="50" t="n">
        <x:v>0.83</x:v>
      </x:c>
      <x:c r="T781" s="49" t="str">
        <x:v>D:\codex\v3_legacy\outputs\football_odds_trader\raw\titan007\20261004\20261004_084919_titan007_odds_snapshot.csv</x:v>
      </x:c>
      <x:c r="U781" s="49"/>
      <x:c r="V781" s="50"/>
      <x:c r="W781" s="50"/>
      <x:c r="X781" s="49" t="n">
        <x:v>0.83</x:v>
      </x:c>
      <x:c r="Y781" s="49" t="n">
        <x:v>0.25</x:v>
      </x:c>
      <x:c r="Z781" s="49" t="n">
        <x:v>0.87</x:v>
      </x:c>
      <x:c r="AA781" s="49"/>
      <x:c r="AB781" s="49"/>
      <x:c r="AC781" s="49" t="n">
        <x:v>0.83</x:v>
      </x:c>
      <x:c r="AD781" s="49" t="n">
        <x:v>2.2</x:v>
      </x:c>
      <x:c r="AE781" s="49" t="n">
        <x:v>3.2</x:v>
      </x:c>
      <x:c r="AF781" s="49" t="n">
        <x:v>3.02</x:v>
      </x:c>
      <x:c r="AG781" s="49"/>
      <x:c r="AH781" s="49"/>
      <x:c r="AI781" s="49"/>
      <x:c r="AJ781" s="49"/>
      <x:c r="AK781" s="49"/>
      <x:c r="AL781" s="49"/>
      <x:c r="AM781" s="49"/>
      <x:c r="AN781" s="49"/>
      <x:c r="AO781" s="49"/>
      <x:c r="AP781" s="49"/>
      <x:c r="AQ781" s="49" t="n">
        <x:v>0.25</x:v>
      </x:c>
      <x:c r="AR781" s="49"/>
      <x:c r="AS781" s="49"/>
      <x:c r="AT781" s="49"/>
      <x:c r="AU781" s="49"/>
      <x:c r="AV781" s="49"/>
      <x:c r="AW781" s="49"/>
      <x:c r="AX781" s="49"/>
      <x:c r="AY781" s="49" t="str">
        <x:v>Titan007 Next</x:v>
      </x:c>
    </x:row>
    <x:row r="782" ht="22" customHeight="1">
      <x:c r="A782" s="49" t="str">
        <x:v>2026-10-03</x:v>
      </x:c>
      <x:c r="B782" s="49" t="str">
        <x:v>2026-10-04 02:45:00</x:v>
      </x:c>
      <x:c r="C782" s="49" t="str">
        <x:v>CLUB_LEAGUE</x:v>
      </x:c>
      <x:c r="D782" s="49" t="str">
        <x:v>联赛</x:v>
      </x:c>
      <x:c r="E782" s="49" t="str">
        <x:v>法丙</x:v>
      </x:c>
      <x:c r="F782" s="49" t="str">
        <x:v>孔卡诺 vs 巴黎13区竞技</x:v>
      </x:c>
      <x:c r="G782" s="60" t="n">
        <x:v>0.79</x:v>
      </x:c>
      <x:c r="H782" s="60" t="n">
        <x:v>0.5</x:v>
      </x:c>
      <x:c r="I782" s="60" t="n">
        <x:v>0.97</x:v>
      </x:c>
      <x:c r="J782" s="49" t="str">
        <x:v>0.79/0.5/0.97</x:v>
      </x:c>
      <x:c r="K782" s="49"/>
      <x:c r="L782" s="49" t="str">
        <x:v>孔卡诺</x:v>
      </x:c>
      <x:c r="M782" s="61" t="n">
        <x:v>0.584</x:v>
      </x:c>
      <x:c r="N782" s="49" t="str">
        <x:v>网页可投</x:v>
      </x:c>
      <x:c r="O782" s="49" t="str">
        <x:v>2-1</x:v>
      </x:c>
      <x:c r="P782" s="49" t="str">
        <x:v>已结算</x:v>
      </x:c>
      <x:c r="Q782" s="49" t="str">
        <x:v>红</x:v>
      </x:c>
      <x:c r="R782" s="50" t="n">
        <x:v>0.79</x:v>
      </x:c>
      <x:c r="S782" s="50" t="n">
        <x:v>0.79</x:v>
      </x:c>
      <x:c r="T782" s="49" t="str">
        <x:v>D:\codex\v3_legacy\outputs\football_odds_trader\raw\titan007\20261004\20261004_084919_titan007_odds_snapshot.csv</x:v>
      </x:c>
      <x:c r="U782" s="49"/>
      <x:c r="V782" s="50"/>
      <x:c r="W782" s="50"/>
      <x:c r="X782" s="49" t="n">
        <x:v>0.76</x:v>
      </x:c>
      <x:c r="Y782" s="49" t="n">
        <x:v>0.5</x:v>
      </x:c>
      <x:c r="Z782" s="49" t="n">
        <x:v>0.94</x:v>
      </x:c>
      <x:c r="AA782" s="49"/>
      <x:c r="AB782" s="49"/>
      <x:c r="AC782" s="49" t="n">
        <x:v>0.79</x:v>
      </x:c>
      <x:c r="AD782" s="49" t="n">
        <x:v>1.77</x:v>
      </x:c>
      <x:c r="AE782" s="49" t="n">
        <x:v>3.29</x:v>
      </x:c>
      <x:c r="AF782" s="49" t="n">
        <x:v>4.3</x:v>
      </x:c>
      <x:c r="AG782" s="49"/>
      <x:c r="AH782" s="49"/>
      <x:c r="AI782" s="49"/>
      <x:c r="AJ782" s="49"/>
      <x:c r="AK782" s="49"/>
      <x:c r="AL782" s="49"/>
      <x:c r="AM782" s="49"/>
      <x:c r="AN782" s="49"/>
      <x:c r="AO782" s="49"/>
      <x:c r="AP782" s="49"/>
      <x:c r="AQ782" s="49" t="n">
        <x:v>0.5</x:v>
      </x:c>
      <x:c r="AR782" s="49"/>
      <x:c r="AS782" s="49"/>
      <x:c r="AT782" s="49"/>
      <x:c r="AU782" s="49"/>
      <x:c r="AV782" s="49"/>
      <x:c r="AW782" s="49"/>
      <x:c r="AX782" s="49"/>
      <x:c r="AY782" s="49" t="str">
        <x:v>Titan007 Next</x:v>
      </x:c>
    </x:row>
    <x:row r="783" ht="22" customHeight="1">
      <x:c r="A783" s="49" t="str">
        <x:v>2026-10-03</x:v>
      </x:c>
      <x:c r="B783" s="49" t="str">
        <x:v>2026-10-04 02:45:00</x:v>
      </x:c>
      <x:c r="C783" s="49" t="str">
        <x:v>CLUB_LEAGUE</x:v>
      </x:c>
      <x:c r="D783" s="49" t="str">
        <x:v>联赛</x:v>
      </x:c>
      <x:c r="E783" s="49" t="str">
        <x:v>法丙</x:v>
      </x:c>
      <x:c r="F783" s="49" t="str">
        <x:v>维尔赛斯 vs 瓦朗谢纳</x:v>
      </x:c>
      <x:c r="G783" s="60" t="n">
        <x:v>0.83</x:v>
      </x:c>
      <x:c r="H783" s="60" t="n">
        <x:v>0.5</x:v>
      </x:c>
      <x:c r="I783" s="60" t="n">
        <x:v>0.93</x:v>
      </x:c>
      <x:c r="J783" s="49" t="str">
        <x:v>0.83/0.5/0.93</x:v>
      </x:c>
      <x:c r="K783" s="49"/>
      <x:c r="L783" s="49" t="str">
        <x:v>维尔赛斯</x:v>
      </x:c>
      <x:c r="M783" s="61" t="n">
        <x:v>0.584</x:v>
      </x:c>
      <x:c r="N783" s="49" t="str">
        <x:v>网页可投</x:v>
      </x:c>
      <x:c r="O783" s="49" t="str">
        <x:v>1-0</x:v>
      </x:c>
      <x:c r="P783" s="49" t="str">
        <x:v>已结算</x:v>
      </x:c>
      <x:c r="Q783" s="49" t="str">
        <x:v>红</x:v>
      </x:c>
      <x:c r="R783" s="50" t="n">
        <x:v>0.83</x:v>
      </x:c>
      <x:c r="S783" s="50" t="n">
        <x:v>0.83</x:v>
      </x:c>
      <x:c r="T783" s="49" t="str">
        <x:v>D:\codex\v3_legacy\outputs\football_odds_trader\raw\titan007\20261004\20261004_084919_titan007_odds_snapshot.csv</x:v>
      </x:c>
      <x:c r="U783" s="49"/>
      <x:c r="V783" s="50"/>
      <x:c r="W783" s="50"/>
      <x:c r="X783" s="49" t="n">
        <x:v>0.95</x:v>
      </x:c>
      <x:c r="Y783" s="49" t="n">
        <x:v>0.5</x:v>
      </x:c>
      <x:c r="Z783" s="49" t="n">
        <x:v>0.75</x:v>
      </x:c>
      <x:c r="AA783" s="49"/>
      <x:c r="AB783" s="49"/>
      <x:c r="AC783" s="49" t="n">
        <x:v>0.83</x:v>
      </x:c>
      <x:c r="AD783" s="49" t="n">
        <x:v>1.89</x:v>
      </x:c>
      <x:c r="AE783" s="49" t="n">
        <x:v>3.36</x:v>
      </x:c>
      <x:c r="AF783" s="49" t="n">
        <x:v>3.67</x:v>
      </x:c>
      <x:c r="AG783" s="49"/>
      <x:c r="AH783" s="49"/>
      <x:c r="AI783" s="49"/>
      <x:c r="AJ783" s="49"/>
      <x:c r="AK783" s="49"/>
      <x:c r="AL783" s="49"/>
      <x:c r="AM783" s="49"/>
      <x:c r="AN783" s="49"/>
      <x:c r="AO783" s="49"/>
      <x:c r="AP783" s="49"/>
      <x:c r="AQ783" s="49" t="n">
        <x:v>0.5</x:v>
      </x:c>
      <x:c r="AR783" s="49"/>
      <x:c r="AS783" s="49"/>
      <x:c r="AT783" s="49"/>
      <x:c r="AU783" s="49"/>
      <x:c r="AV783" s="49"/>
      <x:c r="AW783" s="49"/>
      <x:c r="AX783" s="49"/>
      <x:c r="AY783" s="49" t="str">
        <x:v>Titan007 Next</x:v>
      </x:c>
    </x:row>
    <x:row r="784" ht="22" customHeight="1">
      <x:c r="A784" s="49" t="str">
        <x:v>2026-10-03</x:v>
      </x:c>
      <x:c r="B784" s="49" t="str">
        <x:v>2026-10-04 07:00:00</x:v>
      </x:c>
      <x:c r="C784" s="49" t="str">
        <x:v>CLUB_LEAGUE</x:v>
      </x:c>
      <x:c r="D784" s="49" t="str">
        <x:v>联赛</x:v>
      </x:c>
      <x:c r="E784" s="49" t="str">
        <x:v>美冠联</x:v>
      </x:c>
      <x:c r="F784" s="49" t="str">
        <x:v>底特律城 vs 伯明翰军团</x:v>
      </x:c>
      <x:c r="G784" s="60" t="n">
        <x:v>0.81</x:v>
      </x:c>
      <x:c r="H784" s="60" t="n">
        <x:v>0.75</x:v>
      </x:c>
      <x:c r="I784" s="60" t="n">
        <x:v>1.01</x:v>
      </x:c>
      <x:c r="J784" s="49" t="str">
        <x:v>0.81/0.75/1.01</x:v>
      </x:c>
      <x:c r="K784" s="49"/>
      <x:c r="L784" s="49" t="str">
        <x:v>伯明翰军团（下盘）</x:v>
      </x:c>
      <x:c r="M784" s="61" t="n">
        <x:v>0.584</x:v>
      </x:c>
      <x:c r="N784" s="49" t="str">
        <x:v>网页可投</x:v>
      </x:c>
      <x:c r="O784" s="49" t="str">
        <x:v>1-0</x:v>
      </x:c>
      <x:c r="P784" s="49" t="str">
        <x:v>已结算</x:v>
      </x:c>
      <x:c r="Q784" s="49" t="str">
        <x:v>黑半</x:v>
      </x:c>
      <x:c r="R784" s="50" t="n">
        <x:v>1.01</x:v>
      </x:c>
      <x:c r="S784" s="50" t="n">
        <x:v>-0.5</x:v>
      </x:c>
      <x:c r="T784" s="49" t="str">
        <x:v>D:\codex\v3_legacy\outputs\football_odds_trader\raw\titan007\20261004\20261004_084919_titan007_odds_snapshot.csv</x:v>
      </x:c>
      <x:c r="U784" s="49"/>
      <x:c r="V784" s="50"/>
      <x:c r="W784" s="50"/>
      <x:c r="X784" s="49" t="n">
        <x:v>0.81</x:v>
      </x:c>
      <x:c r="Y784" s="49" t="n">
        <x:v>0.75</x:v>
      </x:c>
      <x:c r="Z784" s="49" t="n">
        <x:v>1.01</x:v>
      </x:c>
      <x:c r="AA784" s="49"/>
      <x:c r="AB784" s="49"/>
      <x:c r="AC784" s="49" t="n">
        <x:v>1.01</x:v>
      </x:c>
      <x:c r="AD784" s="49" t="n">
        <x:v>1.58</x:v>
      </x:c>
      <x:c r="AE784" s="49" t="n">
        <x:v>3.79</x:v>
      </x:c>
      <x:c r="AF784" s="49" t="n">
        <x:v>4.8</x:v>
      </x:c>
      <x:c r="AG784" s="49"/>
      <x:c r="AH784" s="49"/>
      <x:c r="AI784" s="49"/>
      <x:c r="AJ784" s="49"/>
      <x:c r="AK784" s="49"/>
      <x:c r="AL784" s="49"/>
      <x:c r="AM784" s="49"/>
      <x:c r="AN784" s="49"/>
      <x:c r="AO784" s="49"/>
      <x:c r="AP784" s="49"/>
      <x:c r="AQ784" s="49" t="n">
        <x:v>0.75</x:v>
      </x:c>
      <x:c r="AR784" s="49"/>
      <x:c r="AS784" s="49"/>
      <x:c r="AT784" s="49"/>
      <x:c r="AU784" s="49"/>
      <x:c r="AV784" s="49"/>
      <x:c r="AW784" s="49"/>
      <x:c r="AX784" s="49"/>
      <x:c r="AY784" s="49" t="str">
        <x:v>Titan007 Next</x:v>
      </x:c>
    </x:row>
    <x:row r="785" ht="22" customHeight="1">
      <x:c r="A785" s="49" t="str">
        <x:v>2026-10-03</x:v>
      </x:c>
      <x:c r="B785" s="49" t="str">
        <x:v>2026-10-04 09:00:00</x:v>
      </x:c>
      <x:c r="C785" s="49" t="str">
        <x:v>CLUB_LEAGUE</x:v>
      </x:c>
      <x:c r="D785" s="49" t="str">
        <x:v>联赛</x:v>
      </x:c>
      <x:c r="E785" s="49" t="str">
        <x:v>美冠联</x:v>
      </x:c>
      <x:c r="F785" s="49" t="str">
        <x:v>科罗拉多跃泉 vs 奥克兰根</x:v>
      </x:c>
      <x:c r="G785" s="60" t="n">
        <x:v>0.8</x:v>
      </x:c>
      <x:c r="H785" s="60" t="n">
        <x:v>0.75</x:v>
      </x:c>
      <x:c r="I785" s="60" t="n">
        <x:v>1.02</x:v>
      </x:c>
      <x:c r="J785" s="49" t="str">
        <x:v>0.8/0.75/1.02</x:v>
      </x:c>
      <x:c r="K785" s="49"/>
      <x:c r="L785" s="49" t="str">
        <x:v>奥克兰根（下盘）</x:v>
      </x:c>
      <x:c r="M785" s="61" t="n">
        <x:v>0.584</x:v>
      </x:c>
      <x:c r="N785" s="49" t="str">
        <x:v>网页可投</x:v>
      </x:c>
      <x:c r="O785" s="49" t="str">
        <x:v>0-0</x:v>
      </x:c>
      <x:c r="P785" s="49" t="str">
        <x:v>已结算</x:v>
      </x:c>
      <x:c r="Q785" s="49" t="str">
        <x:v>红半</x:v>
      </x:c>
      <x:c r="R785" s="50" t="n">
        <x:v>1.02</x:v>
      </x:c>
      <x:c r="S785" s="50" t="n">
        <x:v>0.51</x:v>
      </x:c>
      <x:c r="T785" s="49" t="str">
        <x:v>D:\codex\v3_legacy\outputs\football_odds_trader\raw\titan007\20261004\20261004_135431_titan007_odds_snapshot.csv</x:v>
      </x:c>
      <x:c r="U785" s="49"/>
      <x:c r="V785" s="50"/>
      <x:c r="W785" s="50"/>
      <x:c r="X785" s="49" t="n">
        <x:v>0.95</x:v>
      </x:c>
      <x:c r="Y785" s="49" t="n">
        <x:v>0.75</x:v>
      </x:c>
      <x:c r="Z785" s="49" t="n">
        <x:v>0.87</x:v>
      </x:c>
      <x:c r="AA785" s="49"/>
      <x:c r="AB785" s="49"/>
      <x:c r="AC785" s="49" t="n">
        <x:v>1.02</x:v>
      </x:c>
      <x:c r="AD785" s="49" t="n">
        <x:v>1.65</x:v>
      </x:c>
      <x:c r="AE785" s="49" t="n">
        <x:v>3.83</x:v>
      </x:c>
      <x:c r="AF785" s="49" t="n">
        <x:v>4.2</x:v>
      </x:c>
      <x:c r="AG785" s="49"/>
      <x:c r="AH785" s="49"/>
      <x:c r="AI785" s="49"/>
      <x:c r="AJ785" s="49"/>
      <x:c r="AK785" s="49"/>
      <x:c r="AL785" s="49"/>
      <x:c r="AM785" s="49"/>
      <x:c r="AN785" s="49"/>
      <x:c r="AO785" s="49"/>
      <x:c r="AP785" s="49"/>
      <x:c r="AQ785" s="49" t="n">
        <x:v>0.75</x:v>
      </x:c>
      <x:c r="AR785" s="49"/>
      <x:c r="AS785" s="49"/>
      <x:c r="AT785" s="49"/>
      <x:c r="AU785" s="49"/>
      <x:c r="AV785" s="49"/>
      <x:c r="AW785" s="49"/>
      <x:c r="AX785" s="49"/>
      <x:c r="AY785" s="49" t="str">
        <x:v>Titan007 Next</x:v>
      </x:c>
    </x:row>
    <x:row r="786" ht="22" customHeight="1">
      <x:c r="A786" s="49" t="str">
        <x:v>2026-10-03</x:v>
      </x:c>
      <x:c r="B786" s="49" t="str">
        <x:v>2026-10-04 09:00:00</x:v>
      </x:c>
      <x:c r="C786" s="49" t="str">
        <x:v>CLUB_LEAGUE</x:v>
      </x:c>
      <x:c r="D786" s="49" t="str">
        <x:v>联赛</x:v>
      </x:c>
      <x:c r="E786" s="49" t="str">
        <x:v>美甲</x:v>
      </x:c>
      <x:c r="F786" s="49" t="str">
        <x:v>斯波坎速度 vs 波特兰松之心</x:v>
      </x:c>
      <x:c r="G786" s="60" t="n">
        <x:v>0.77</x:v>
      </x:c>
      <x:c r="H786" s="60" t="n">
        <x:v>0.75</x:v>
      </x:c>
      <x:c r="I786" s="60" t="n">
        <x:v>0.93</x:v>
      </x:c>
      <x:c r="J786" s="49" t="str">
        <x:v>0.77/0.75/0.93</x:v>
      </x:c>
      <x:c r="K786" s="49"/>
      <x:c r="L786" s="49" t="str">
        <x:v>波特兰松之心（下盘）</x:v>
      </x:c>
      <x:c r="M786" s="61" t="n">
        <x:v>0.584</x:v>
      </x:c>
      <x:c r="N786" s="49" t="str">
        <x:v>网页可投</x:v>
      </x:c>
      <x:c r="O786" s="49" t="str">
        <x:v>3-3</x:v>
      </x:c>
      <x:c r="P786" s="49" t="str">
        <x:v>已结算</x:v>
      </x:c>
      <x:c r="Q786" s="49" t="str">
        <x:v>红半</x:v>
      </x:c>
      <x:c r="R786" s="50" t="n">
        <x:v>0.93</x:v>
      </x:c>
      <x:c r="S786" s="50" t="n">
        <x:v>0.465</x:v>
      </x:c>
      <x:c r="T786" s="49" t="str">
        <x:v>D:\codex\v3_legacy\outputs\football_odds_trader\raw\titan007\20261004\20261004_135431_titan007_odds_snapshot.csv</x:v>
      </x:c>
      <x:c r="U786" s="49"/>
      <x:c r="V786" s="50"/>
      <x:c r="W786" s="50"/>
      <x:c r="X786" s="49" t="n">
        <x:v>0.77</x:v>
      </x:c>
      <x:c r="Y786" s="49" t="n">
        <x:v>0.75</x:v>
      </x:c>
      <x:c r="Z786" s="49" t="n">
        <x:v>0.93</x:v>
      </x:c>
      <x:c r="AA786" s="49"/>
      <x:c r="AB786" s="49"/>
      <x:c r="AC786" s="49" t="n">
        <x:v>0.93</x:v>
      </x:c>
      <x:c r="AD786" s="49" t="n">
        <x:v>1.58</x:v>
      </x:c>
      <x:c r="AE786" s="49" t="n">
        <x:v>4.06</x:v>
      </x:c>
      <x:c r="AF786" s="49" t="n">
        <x:v>4.63</x:v>
      </x:c>
      <x:c r="AG786" s="49"/>
      <x:c r="AH786" s="49"/>
      <x:c r="AI786" s="49"/>
      <x:c r="AJ786" s="49"/>
      <x:c r="AK786" s="49"/>
      <x:c r="AL786" s="49"/>
      <x:c r="AM786" s="49"/>
      <x:c r="AN786" s="49"/>
      <x:c r="AO786" s="49"/>
      <x:c r="AP786" s="49"/>
      <x:c r="AQ786" s="49" t="n">
        <x:v>0.75</x:v>
      </x:c>
      <x:c r="AR786" s="49"/>
      <x:c r="AS786" s="49"/>
      <x:c r="AT786" s="49"/>
      <x:c r="AU786" s="49"/>
      <x:c r="AV786" s="49"/>
      <x:c r="AW786" s="49"/>
      <x:c r="AX786" s="49"/>
      <x:c r="AY786" s="49" t="str">
        <x:v>Titan007 Next</x:v>
      </x:c>
    </x:row>
    <x:row r="787" ht="22" customHeight="1">
      <x:c r="A787" s="49" t="str">
        <x:v>2026-10-04</x:v>
      </x:c>
      <x:c r="B787" s="49" t="str">
        <x:v>2026-10-04 10:30:00</x:v>
      </x:c>
      <x:c r="C787" s="49" t="str">
        <x:v>CLUB_LEAGUE</x:v>
      </x:c>
      <x:c r="D787" s="49" t="str">
        <x:v>联赛</x:v>
      </x:c>
      <x:c r="E787" s="49" t="str">
        <x:v>美冠联</x:v>
      </x:c>
      <x:c r="F787" s="49" t="str">
        <x:v>拉斯维加斯之光 vs 圣安东尼奥</x:v>
      </x:c>
      <x:c r="G787" s="60" t="n">
        <x:v>1</x:v>
      </x:c>
      <x:c r="H787" s="60" t="n">
        <x:v>0</x:v>
      </x:c>
      <x:c r="I787" s="60" t="n">
        <x:v>0.88</x:v>
      </x:c>
      <x:c r="J787" s="49" t="str">
        <x:v>1.0/0.0/0.88</x:v>
      </x:c>
      <x:c r="K787" s="49"/>
      <x:c r="L787" s="49" t="str">
        <x:v>拉斯维加斯之光（上盘）</x:v>
      </x:c>
      <x:c r="M787" s="61" t="n">
        <x:v>0.5529999999999999</x:v>
      </x:c>
      <x:c r="N787" s="49" t="str">
        <x:v>网页可投</x:v>
      </x:c>
      <x:c r="O787" s="49" t="str">
        <x:v>1-0</x:v>
      </x:c>
      <x:c r="P787" s="49" t="str">
        <x:v>已结算</x:v>
      </x:c>
      <x:c r="Q787" s="49" t="str">
        <x:v>红</x:v>
      </x:c>
      <x:c r="R787" s="50" t="n">
        <x:v>1</x:v>
      </x:c>
      <x:c r="S787" s="50" t="n">
        <x:v>0.5</x:v>
      </x:c>
      <x:c r="T787" s="49" t="str">
        <x:v>D:\codex\v3_legacy\outputs\football_odds_trader\raw\titan007\20261004\20261004_135431_titan007_odds_snapshot.csv</x:v>
      </x:c>
      <x:c r="U787" s="49"/>
      <x:c r="V787" s="50"/>
      <x:c r="W787" s="50"/>
      <x:c r="X787" s="49" t="n">
        <x:v>1</x:v>
      </x:c>
      <x:c r="Y787" s="49" t="n">
        <x:v>0.25</x:v>
      </x:c>
      <x:c r="Z787" s="49" t="n">
        <x:v>0.82</x:v>
      </x:c>
      <x:c r="AA787" s="49"/>
      <x:c r="AB787" s="49"/>
      <x:c r="AC787" s="49" t="n">
        <x:v>1</x:v>
      </x:c>
      <x:c r="AD787" s="49" t="n">
        <x:v>2.24</x:v>
      </x:c>
      <x:c r="AE787" s="49" t="n">
        <x:v>3.3</x:v>
      </x:c>
      <x:c r="AF787" s="49" t="n">
        <x:v>2.82</x:v>
      </x:c>
      <x:c r="AG787" s="49"/>
      <x:c r="AH787" s="49"/>
      <x:c r="AI787" s="49"/>
      <x:c r="AJ787" s="49"/>
      <x:c r="AK787" s="49"/>
      <x:c r="AL787" s="49"/>
      <x:c r="AM787" s="49"/>
      <x:c r="AN787" s="49"/>
      <x:c r="AO787" s="49"/>
      <x:c r="AP787" s="49"/>
      <x:c r="AQ787" s="49" t="n">
        <x:v>0</x:v>
      </x:c>
      <x:c r="AR787" s="49"/>
      <x:c r="AS787" s="49"/>
      <x:c r="AT787" s="49"/>
      <x:c r="AU787" s="49"/>
      <x:c r="AV787" s="49"/>
      <x:c r="AW787" s="49"/>
      <x:c r="AX787" s="49"/>
      <x:c r="AY787" s="49" t="str">
        <x:v>Titan007 snapshot</x:v>
      </x:c>
    </x:row>
    <x:row r="788" ht="22" customHeight="1">
      <x:c r="A788" s="49" t="str">
        <x:v>2026-10-04</x:v>
      </x:c>
      <x:c r="B788" s="49" t="str">
        <x:v>2026-10-04 16:00:00</x:v>
      </x:c>
      <x:c r="C788" s="49" t="str">
        <x:v>CLUB_CUP</x:v>
      </x:c>
      <x:c r="D788" s="49" t="str">
        <x:v>杯赛</x:v>
      </x:c>
      <x:c r="E788" s="49" t="str">
        <x:v>港联杯</x:v>
      </x:c>
      <x:c r="F788" s="49" t="str">
        <x:v>九龙城 vs 东区</x:v>
      </x:c>
      <x:c r="G788" s="60" t="n">
        <x:v>0.86</x:v>
      </x:c>
      <x:c r="H788" s="60" t="n">
        <x:v>0.25</x:v>
      </x:c>
      <x:c r="I788" s="60" t="n">
        <x:v>0.84</x:v>
      </x:c>
      <x:c r="J788" s="49" t="str">
        <x:v>0.86/0.25/0.84</x:v>
      </x:c>
      <x:c r="K788" s="49" t="str">
        <x:v>诱上/阻下</x:v>
      </x:c>
      <x:c r="L788" s="49" t="str">
        <x:v>东区</x:v>
      </x:c>
      <x:c r="M788" s="61" t="n">
        <x:v>0.5909053900000001</x:v>
      </x:c>
      <x:c r="N788" s="49" t="str">
        <x:v>网页可投</x:v>
      </x:c>
      <x:c r="O788" s="49" t="str">
        <x:v>1-2</x:v>
      </x:c>
      <x:c r="P788" s="49" t="str">
        <x:v>已结算</x:v>
      </x:c>
      <x:c r="Q788" s="49" t="str">
        <x:v>红</x:v>
      </x:c>
      <x:c r="R788" s="50" t="n">
        <x:v>0.84</x:v>
      </x:c>
      <x:c r="S788" s="50" t="n">
        <x:v>0</x:v>
      </x:c>
      <x:c r="T788" s="49" t="str">
        <x:v>D:\codex\v3_legacy\outputs\football_odds_trader\raw\titan007\20261004\20261004_135431_titan007_odds_snapshot.csv</x:v>
      </x:c>
      <x:c r="U788" s="49"/>
      <x:c r="V788" s="50"/>
      <x:c r="W788" s="50"/>
      <x:c r="X788" s="49" t="n">
        <x:v>0.86</x:v>
      </x:c>
      <x:c r="Y788" s="49" t="n">
        <x:v>-0.25</x:v>
      </x:c>
      <x:c r="Z788" s="49" t="n">
        <x:v>0.84</x:v>
      </x:c>
      <x:c r="AA788" s="49"/>
      <x:c r="AB788" s="49"/>
      <x:c r="AC788" s="49" t="n">
        <x:v>0.84</x:v>
      </x:c>
      <x:c r="AD788" s="49" t="n">
        <x:v>2.5</x:v>
      </x:c>
      <x:c r="AE788" s="49" t="n">
        <x:v>3.81</x:v>
      </x:c>
      <x:c r="AF788" s="49" t="n">
        <x:v>2.33</x:v>
      </x:c>
      <x:c r="AG788" s="49"/>
      <x:c r="AH788" s="49"/>
      <x:c r="AI788" s="49"/>
      <x:c r="AJ788" s="49"/>
      <x:c r="AK788" s="49"/>
      <x:c r="AL788" s="49"/>
      <x:c r="AM788" s="49"/>
      <x:c r="AN788" s="49"/>
      <x:c r="AO788" s="49"/>
      <x:c r="AP788" s="49"/>
      <x:c r="AQ788" s="49" t="n">
        <x:v>0.25</x:v>
      </x:c>
      <x:c r="AR788" s="49"/>
      <x:c r="AS788" s="49"/>
      <x:c r="AT788" s="49"/>
      <x:c r="AU788" s="49"/>
      <x:c r="AV788" s="49"/>
      <x:c r="AW788" s="49"/>
      <x:c r="AX788" s="49"/>
      <x:c r="AY788" s="49" t="str">
        <x:v>Titan007 Next</x:v>
      </x:c>
    </x:row>
    <x:row r="789" ht="22" customHeight="1">
      <x:c r="A789" s="49" t="str">
        <x:v>2026-10-04</x:v>
      </x:c>
      <x:c r="B789" s="49" t="str">
        <x:v>2026-10-04 16:00:00</x:v>
      </x:c>
      <x:c r="C789" s="49" t="str">
        <x:v>CLUB_CUP</x:v>
      </x:c>
      <x:c r="D789" s="49" t="str">
        <x:v>杯赛</x:v>
      </x:c>
      <x:c r="E789" s="49" t="str">
        <x:v>港联杯</x:v>
      </x:c>
      <x:c r="F789" s="49" t="str">
        <x:v>标准流浪 vs 和富大埔</x:v>
      </x:c>
      <x:c r="G789" s="60" t="n">
        <x:v>0.94</x:v>
      </x:c>
      <x:c r="H789" s="60" t="n">
        <x:v>0.75</x:v>
      </x:c>
      <x:c r="I789" s="60" t="n">
        <x:v>0.76</x:v>
      </x:c>
      <x:c r="J789" s="49" t="str">
        <x:v>0.94/0.75/0.76</x:v>
      </x:c>
      <x:c r="K789" s="49" t="str">
        <x:v>诱上/阻下</x:v>
      </x:c>
      <x:c r="L789" s="49" t="str">
        <x:v>和富大埔</x:v>
      </x:c>
      <x:c r="M789" s="61" t="n">
        <x:v>0.5909053900000001</x:v>
      </x:c>
      <x:c r="N789" s="49" t="str">
        <x:v>网页可投</x:v>
      </x:c>
      <x:c r="O789" s="49" t="str">
        <x:v>1-3</x:v>
      </x:c>
      <x:c r="P789" s="49" t="str">
        <x:v>已结算</x:v>
      </x:c>
      <x:c r="Q789" s="49" t="str">
        <x:v>红</x:v>
      </x:c>
      <x:c r="R789" s="50" t="n">
        <x:v>0.76</x:v>
      </x:c>
      <x:c r="S789" s="50" t="n">
        <x:v>0.38</x:v>
      </x:c>
      <x:c r="T789" s="49" t="str">
        <x:v>D:\codex\v3_legacy\outputs\football_odds_trader\raw\titan007\20261004\20261004_135431_titan007_odds_snapshot.csv</x:v>
      </x:c>
      <x:c r="U789" s="49"/>
      <x:c r="V789" s="50"/>
      <x:c r="W789" s="50"/>
      <x:c r="X789" s="49" t="n">
        <x:v>0.9</x:v>
      </x:c>
      <x:c r="Y789" s="49" t="n">
        <x:v>-0.75</x:v>
      </x:c>
      <x:c r="Z789" s="49" t="n">
        <x:v>0.8</x:v>
      </x:c>
      <x:c r="AA789" s="49"/>
      <x:c r="AB789" s="49"/>
      <x:c r="AC789" s="49" t="n">
        <x:v>0.76</x:v>
      </x:c>
      <x:c r="AD789" s="49" t="n">
        <x:v>4.64</x:v>
      </x:c>
      <x:c r="AE789" s="49" t="n">
        <x:v>4.38</x:v>
      </x:c>
      <x:c r="AF789" s="49" t="n">
        <x:v>1.55</x:v>
      </x:c>
      <x:c r="AG789" s="49"/>
      <x:c r="AH789" s="49"/>
      <x:c r="AI789" s="49"/>
      <x:c r="AJ789" s="49"/>
      <x:c r="AK789" s="49"/>
      <x:c r="AL789" s="49"/>
      <x:c r="AM789" s="49"/>
      <x:c r="AN789" s="49"/>
      <x:c r="AO789" s="49"/>
      <x:c r="AP789" s="49"/>
      <x:c r="AQ789" s="49" t="n">
        <x:v>0.75</x:v>
      </x:c>
      <x:c r="AR789" s="49"/>
      <x:c r="AS789" s="49"/>
      <x:c r="AT789" s="49"/>
      <x:c r="AU789" s="49"/>
      <x:c r="AV789" s="49"/>
      <x:c r="AW789" s="49"/>
      <x:c r="AX789" s="49"/>
      <x:c r="AY789" s="49" t="str">
        <x:v>Titan007 Next</x:v>
      </x:c>
    </x:row>
    <x:row r="790" ht="22" customHeight="1">
      <x:c r="A790" s="49" t="str">
        <x:v>2026-10-04</x:v>
      </x:c>
      <x:c r="B790" s="49" t="str">
        <x:v>2026-10-04 18:00:00</x:v>
      </x:c>
      <x:c r="C790" s="49" t="str">
        <x:v>CLUB_LEAGUE</x:v>
      </x:c>
      <x:c r="D790" s="49" t="str">
        <x:v>联赛</x:v>
      </x:c>
      <x:c r="E790" s="49" t="str">
        <x:v>日职乙</x:v>
      </x:c>
      <x:c r="F790" s="49" t="str">
        <x:v>宫崎棒牛鸟 vs RB大宫松鼠</x:v>
      </x:c>
      <x:c r="G790" s="60" t="n">
        <x:v>0.97</x:v>
      </x:c>
      <x:c r="H790" s="60" t="n">
        <x:v>0</x:v>
      </x:c>
      <x:c r="I790" s="60" t="n">
        <x:v>0.91</x:v>
      </x:c>
      <x:c r="J790" s="49" t="str">
        <x:v>0.97/0.0/0.91</x:v>
      </x:c>
      <x:c r="K790" s="49"/>
      <x:c r="L790" s="49" t="str">
        <x:v>RB大宫松鼠（上盘）</x:v>
      </x:c>
      <x:c r="M790" s="61" t="n">
        <x:v>0.562</x:v>
      </x:c>
      <x:c r="N790" s="49" t="str">
        <x:v>网页可投</x:v>
      </x:c>
      <x:c r="O790" s="49" t="str">
        <x:v>1-1</x:v>
      </x:c>
      <x:c r="P790" s="49" t="str">
        <x:v>已结算</x:v>
      </x:c>
      <x:c r="Q790" s="49" t="str">
        <x:v>走</x:v>
      </x:c>
      <x:c r="R790" s="50" t="n">
        <x:v>0.91</x:v>
      </x:c>
      <x:c r="S790" s="50" t="n">
        <x:v>0</x:v>
      </x:c>
      <x:c r="T790" s="49" t="str">
        <x:v>D:\codex\v3_legacy\outputs\football_odds_trader\raw\titan007\20261004\20261004_135431_titan007_odds_snapshot.csv</x:v>
      </x:c>
      <x:c r="U790" s="49"/>
      <x:c r="V790" s="50"/>
      <x:c r="W790" s="50"/>
      <x:c r="X790" s="49" t="n">
        <x:v>0.82</x:v>
      </x:c>
      <x:c r="Y790" s="49" t="n">
        <x:v>-0.25</x:v>
      </x:c>
      <x:c r="Z790" s="49" t="n">
        <x:v>1</x:v>
      </x:c>
      <x:c r="AA790" s="49"/>
      <x:c r="AB790" s="49"/>
      <x:c r="AC790" s="49" t="n">
        <x:v>0.91</x:v>
      </x:c>
      <x:c r="AD790" s="49" t="n">
        <x:v>2.68</x:v>
      </x:c>
      <x:c r="AE790" s="49" t="n">
        <x:v>3.35</x:v>
      </x:c>
      <x:c r="AF790" s="49" t="n">
        <x:v>2.35</x:v>
      </x:c>
      <x:c r="AG790" s="49"/>
      <x:c r="AH790" s="49"/>
      <x:c r="AI790" s="49"/>
      <x:c r="AJ790" s="49"/>
      <x:c r="AK790" s="49"/>
      <x:c r="AL790" s="49"/>
      <x:c r="AM790" s="49"/>
      <x:c r="AN790" s="49"/>
      <x:c r="AO790" s="49"/>
      <x:c r="AP790" s="49"/>
      <x:c r="AQ790" s="49" t="n">
        <x:v>0</x:v>
      </x:c>
      <x:c r="AR790" s="49"/>
      <x:c r="AS790" s="49"/>
      <x:c r="AT790" s="49"/>
      <x:c r="AU790" s="49"/>
      <x:c r="AV790" s="49"/>
      <x:c r="AW790" s="49"/>
      <x:c r="AX790" s="49"/>
      <x:c r="AY790" s="49" t="str">
        <x:v>Titan007 Next</x:v>
      </x:c>
    </x:row>
    <x:row r="791" ht="22" customHeight="1">
      <x:c r="A791" s="49" t="str">
        <x:v>2026-10-04</x:v>
      </x:c>
      <x:c r="B791" s="49" t="str">
        <x:v>2026-10-04 18:00:00</x:v>
      </x:c>
      <x:c r="C791" s="49" t="str">
        <x:v>CLUB_LEAGUE</x:v>
      </x:c>
      <x:c r="D791" s="49" t="str">
        <x:v>联赛</x:v>
      </x:c>
      <x:c r="E791" s="49" t="str">
        <x:v>西协甲</x:v>
      </x:c>
      <x:c r="F791" s="49" t="str">
        <x:v>比利亚雷亚尔B队 vs 伊维萨</x:v>
      </x:c>
      <x:c r="G791" s="60" t="n">
        <x:v>0.78</x:v>
      </x:c>
      <x:c r="H791" s="60" t="n">
        <x:v>0.25</x:v>
      </x:c>
      <x:c r="I791" s="60" t="n">
        <x:v>0.92</x:v>
      </x:c>
      <x:c r="J791" s="49" t="str">
        <x:v>0.78/0.25/0.92</x:v>
      </x:c>
      <x:c r="K791" s="49"/>
      <x:c r="L791" s="49" t="str">
        <x:v>比利亚雷亚尔B队</x:v>
      </x:c>
      <x:c r="M791" s="61" t="n">
        <x:v>0.584</x:v>
      </x:c>
      <x:c r="N791" s="49" t="str">
        <x:v>网页可投</x:v>
      </x:c>
      <x:c r="O791" s="49" t="str">
        <x:v>0-1</x:v>
      </x:c>
      <x:c r="P791" s="49" t="str">
        <x:v>已结算</x:v>
      </x:c>
      <x:c r="Q791" s="49" t="str">
        <x:v>黑</x:v>
      </x:c>
      <x:c r="R791" s="50" t="n">
        <x:v>0.78</x:v>
      </x:c>
      <x:c r="S791" s="50" t="n">
        <x:v>0</x:v>
      </x:c>
      <x:c r="T791" s="49" t="str">
        <x:v>D:\codex\v3_legacy\outputs\football_odds_trader\raw\titan007\20261004\20261004_135431_titan007_odds_snapshot.csv</x:v>
      </x:c>
      <x:c r="U791" s="49"/>
      <x:c r="V791" s="50"/>
      <x:c r="W791" s="50"/>
      <x:c r="X791" s="49" t="n">
        <x:v>0.78</x:v>
      </x:c>
      <x:c r="Y791" s="49" t="n">
        <x:v>0.25</x:v>
      </x:c>
      <x:c r="Z791" s="49" t="n">
        <x:v>0.92</x:v>
      </x:c>
      <x:c r="AA791" s="49"/>
      <x:c r="AB791" s="49"/>
      <x:c r="AC791" s="49" t="n">
        <x:v>0.78</x:v>
      </x:c>
      <x:c r="AD791" s="49" t="n">
        <x:v>1.87</x:v>
      </x:c>
      <x:c r="AE791" s="49" t="n">
        <x:v>3.34</x:v>
      </x:c>
      <x:c r="AF791" s="49" t="n">
        <x:v>3.72</x:v>
      </x:c>
      <x:c r="AG791" s="49"/>
      <x:c r="AH791" s="49"/>
      <x:c r="AI791" s="49"/>
      <x:c r="AJ791" s="49"/>
      <x:c r="AK791" s="49"/>
      <x:c r="AL791" s="49"/>
      <x:c r="AM791" s="49"/>
      <x:c r="AN791" s="49"/>
      <x:c r="AO791" s="49"/>
      <x:c r="AP791" s="49"/>
      <x:c r="AQ791" s="49" t="n">
        <x:v>0.25</x:v>
      </x:c>
      <x:c r="AR791" s="49"/>
      <x:c r="AS791" s="49"/>
      <x:c r="AT791" s="49"/>
      <x:c r="AU791" s="49"/>
      <x:c r="AV791" s="49"/>
      <x:c r="AW791" s="49"/>
      <x:c r="AX791" s="49"/>
      <x:c r="AY791" s="49" t="str">
        <x:v>Titan007 Next</x:v>
      </x:c>
    </x:row>
    <x:row r="792" ht="22" customHeight="1">
      <x:c r="A792" s="49" t="str">
        <x:v>2026-10-04</x:v>
      </x:c>
      <x:c r="B792" s="49" t="str">
        <x:v>2026-10-04 18:30:00</x:v>
      </x:c>
      <x:c r="C792" s="49" t="str">
        <x:v>CLUB_LEAGUE</x:v>
      </x:c>
      <x:c r="D792" s="49" t="str">
        <x:v>联赛</x:v>
      </x:c>
      <x:c r="E792" s="49" t="str">
        <x:v>意丙</x:v>
      </x:c>
      <x:c r="F792" s="49" t="str">
        <x:v>特雷维索 vs 吉安纳</x:v>
      </x:c>
      <x:c r="G792" s="60" t="n">
        <x:v>0.79</x:v>
      </x:c>
      <x:c r="H792" s="60" t="n">
        <x:v>0.5</x:v>
      </x:c>
      <x:c r="I792" s="60" t="n">
        <x:v>0.91</x:v>
      </x:c>
      <x:c r="J792" s="49" t="str">
        <x:v>0.79/0.5/0.91</x:v>
      </x:c>
      <x:c r="K792" s="49"/>
      <x:c r="L792" s="49" t="str">
        <x:v>特雷维索</x:v>
      </x:c>
      <x:c r="M792" s="61" t="n">
        <x:v>0.584</x:v>
      </x:c>
      <x:c r="N792" s="49" t="str">
        <x:v>网页可投</x:v>
      </x:c>
      <x:c r="O792" s="49" t="str">
        <x:v>0-0</x:v>
      </x:c>
      <x:c r="P792" s="49" t="str">
        <x:v>已结算</x:v>
      </x:c>
      <x:c r="Q792" s="49" t="str">
        <x:v>黑</x:v>
      </x:c>
      <x:c r="R792" s="50" t="n">
        <x:v>0.79</x:v>
      </x:c>
      <x:c r="S792" s="50" t="n">
        <x:v>0.395</x:v>
      </x:c>
      <x:c r="T792" s="49" t="str">
        <x:v>D:\codex\v3_legacy\outputs\football_odds_trader\raw\titan007\20261004\20261004_135431_titan007_odds_snapshot.csv</x:v>
      </x:c>
      <x:c r="U792" s="49"/>
      <x:c r="V792" s="50"/>
      <x:c r="W792" s="50"/>
      <x:c r="X792" s="49" t="n">
        <x:v>0.79</x:v>
      </x:c>
      <x:c r="Y792" s="49" t="n">
        <x:v>0.5</x:v>
      </x:c>
      <x:c r="Z792" s="49" t="n">
        <x:v>0.91</x:v>
      </x:c>
      <x:c r="AA792" s="49"/>
      <x:c r="AB792" s="49"/>
      <x:c r="AC792" s="49" t="n">
        <x:v>0.79</x:v>
      </x:c>
      <x:c r="AD792" s="49" t="n">
        <x:v>1.71</x:v>
      </x:c>
      <x:c r="AE792" s="49" t="n">
        <x:v>3.37</x:v>
      </x:c>
      <x:c r="AF792" s="49" t="n">
        <x:v>4.5</x:v>
      </x:c>
      <x:c r="AG792" s="49"/>
      <x:c r="AH792" s="49"/>
      <x:c r="AI792" s="49"/>
      <x:c r="AJ792" s="49"/>
      <x:c r="AK792" s="49"/>
      <x:c r="AL792" s="49"/>
      <x:c r="AM792" s="49"/>
      <x:c r="AN792" s="49"/>
      <x:c r="AO792" s="49"/>
      <x:c r="AP792" s="49"/>
      <x:c r="AQ792" s="49" t="n">
        <x:v>0.5</x:v>
      </x:c>
      <x:c r="AR792" s="49"/>
      <x:c r="AS792" s="49"/>
      <x:c r="AT792" s="49"/>
      <x:c r="AU792" s="49"/>
      <x:c r="AV792" s="49"/>
      <x:c r="AW792" s="49"/>
      <x:c r="AX792" s="49"/>
      <x:c r="AY792" s="49" t="str">
        <x:v>Titan007 Next</x:v>
      </x:c>
    </x:row>
    <x:row r="793" ht="22" customHeight="1">
      <x:c r="A793" s="49" t="str">
        <x:v>2026-10-04</x:v>
      </x:c>
      <x:c r="B793" s="49" t="str">
        <x:v>2026-10-04 18:30:00</x:v>
      </x:c>
      <x:c r="C793" s="49" t="str">
        <x:v>CLUB_LEAGUE</x:v>
      </x:c>
      <x:c r="D793" s="49" t="str">
        <x:v>联赛</x:v>
      </x:c>
      <x:c r="E793" s="49" t="str">
        <x:v>意丙</x:v>
      </x:c>
      <x:c r="F793" s="49" t="str">
        <x:v>莱科 vs 布雷西亚</x:v>
      </x:c>
      <x:c r="G793" s="60" t="n">
        <x:v>0.88</x:v>
      </x:c>
      <x:c r="H793" s="60" t="n">
        <x:v>0.5</x:v>
      </x:c>
      <x:c r="I793" s="60" t="n">
        <x:v>0.82</x:v>
      </x:c>
      <x:c r="J793" s="49" t="str">
        <x:v>0.88/0.5/0.82</x:v>
      </x:c>
      <x:c r="K793" s="49"/>
      <x:c r="L793" s="49" t="str">
        <x:v>布雷西亚</x:v>
      </x:c>
      <x:c r="M793" s="61" t="n">
        <x:v>0.584</x:v>
      </x:c>
      <x:c r="N793" s="49" t="str">
        <x:v>网页可投</x:v>
      </x:c>
      <x:c r="O793" s="49" t="str">
        <x:v>2-2</x:v>
      </x:c>
      <x:c r="P793" s="49" t="str">
        <x:v>已结算</x:v>
      </x:c>
      <x:c r="Q793" s="49" t="str">
        <x:v>黑</x:v>
      </x:c>
      <x:c r="R793" s="50" t="n">
        <x:v>0.82</x:v>
      </x:c>
      <x:c r="S793" s="50" t="n">
        <x:v>0.41</x:v>
      </x:c>
      <x:c r="T793" s="49" t="str">
        <x:v>D:\codex\v3_legacy\outputs\football_odds_trader\raw\titan007\20261004\20261004_135431_titan007_odds_snapshot.csv</x:v>
      </x:c>
      <x:c r="U793" s="49"/>
      <x:c r="V793" s="50"/>
      <x:c r="W793" s="50"/>
      <x:c r="X793" s="49" t="n">
        <x:v>0.88</x:v>
      </x:c>
      <x:c r="Y793" s="49" t="n">
        <x:v>-0.5</x:v>
      </x:c>
      <x:c r="Z793" s="49" t="n">
        <x:v>0.82</x:v>
      </x:c>
      <x:c r="AA793" s="49"/>
      <x:c r="AB793" s="49"/>
      <x:c r="AC793" s="49" t="n">
        <x:v>0.82</x:v>
      </x:c>
      <x:c r="AD793" s="49" t="n">
        <x:v>3.91</x:v>
      </x:c>
      <x:c r="AE793" s="49" t="n">
        <x:v>3.22</x:v>
      </x:c>
      <x:c r="AF793" s="49" t="n">
        <x:v>1.86</x:v>
      </x:c>
      <x:c r="AG793" s="49"/>
      <x:c r="AH793" s="49"/>
      <x:c r="AI793" s="49"/>
      <x:c r="AJ793" s="49"/>
      <x:c r="AK793" s="49"/>
      <x:c r="AL793" s="49"/>
      <x:c r="AM793" s="49"/>
      <x:c r="AN793" s="49"/>
      <x:c r="AO793" s="49"/>
      <x:c r="AP793" s="49"/>
      <x:c r="AQ793" s="49" t="n">
        <x:v>0.5</x:v>
      </x:c>
      <x:c r="AR793" s="49"/>
      <x:c r="AS793" s="49"/>
      <x:c r="AT793" s="49"/>
      <x:c r="AU793" s="49"/>
      <x:c r="AV793" s="49"/>
      <x:c r="AW793" s="49"/>
      <x:c r="AX793" s="49"/>
      <x:c r="AY793" s="49" t="str">
        <x:v>Titan007 Next</x:v>
      </x:c>
    </x:row>
    <x:row r="794" ht="22" customHeight="1">
      <x:c r="A794" s="49" t="str">
        <x:v>2026-10-04</x:v>
      </x:c>
      <x:c r="B794" s="49" t="str">
        <x:v>2026-10-04 19:00:00</x:v>
      </x:c>
      <x:c r="C794" s="49" t="str">
        <x:v>CLUB_LEAGUE</x:v>
      </x:c>
      <x:c r="D794" s="49" t="str">
        <x:v>联赛</x:v>
      </x:c>
      <x:c r="E794" s="49" t="str">
        <x:v>挪乙</x:v>
      </x:c>
      <x:c r="F794" s="49" t="str">
        <x:v>拉纳 vs 伊斯沃德</x:v>
      </x:c>
      <x:c r="G794" s="60" t="n">
        <x:v>0.86</x:v>
      </x:c>
      <x:c r="H794" s="60" t="n">
        <x:v>1.25</x:v>
      </x:c>
      <x:c r="I794" s="60" t="n">
        <x:v>0.84</x:v>
      </x:c>
      <x:c r="J794" s="49" t="str">
        <x:v>0.86/1.25/0.84</x:v>
      </x:c>
      <x:c r="K794" s="49"/>
      <x:c r="L794" s="49" t="str">
        <x:v>伊斯沃德</x:v>
      </x:c>
      <x:c r="M794" s="61" t="n">
        <x:v>0.5760000000000001</x:v>
      </x:c>
      <x:c r="N794" s="49" t="str">
        <x:v>网页可投</x:v>
      </x:c>
      <x:c r="O794" s="49" t="str">
        <x:v>2-1</x:v>
      </x:c>
      <x:c r="P794" s="49" t="str">
        <x:v>已结算</x:v>
      </x:c>
      <x:c r="Q794" s="49" t="str">
        <x:v>黑</x:v>
      </x:c>
      <x:c r="R794" s="50" t="n">
        <x:v>0.84</x:v>
      </x:c>
      <x:c r="S794" s="50" t="n">
        <x:v>0.42</x:v>
      </x:c>
      <x:c r="T794" s="49" t="str">
        <x:v>D:\codex\v3_legacy\outputs\football_odds_trader\raw\titan007\20261004\20261004_135431_titan007_odds_snapshot.csv</x:v>
      </x:c>
      <x:c r="U794" s="49"/>
      <x:c r="V794" s="50"/>
      <x:c r="W794" s="50"/>
      <x:c r="X794" s="49" t="n">
        <x:v>0.86</x:v>
      </x:c>
      <x:c r="Y794" s="49" t="n">
        <x:v>-1.25</x:v>
      </x:c>
      <x:c r="Z794" s="49" t="n">
        <x:v>0.84</x:v>
      </x:c>
      <x:c r="AA794" s="49"/>
      <x:c r="AB794" s="49"/>
      <x:c r="AC794" s="49" t="n">
        <x:v>0.84</x:v>
      </x:c>
      <x:c r="AD794" s="49" t="n">
        <x:v>5.75</x:v>
      </x:c>
      <x:c r="AE794" s="49" t="n">
        <x:v>4.83</x:v>
      </x:c>
      <x:c r="AF794" s="49" t="n">
        <x:v>1.4</x:v>
      </x:c>
      <x:c r="AG794" s="49"/>
      <x:c r="AH794" s="49"/>
      <x:c r="AI794" s="49"/>
      <x:c r="AJ794" s="49"/>
      <x:c r="AK794" s="49"/>
      <x:c r="AL794" s="49"/>
      <x:c r="AM794" s="49"/>
      <x:c r="AN794" s="49"/>
      <x:c r="AO794" s="49"/>
      <x:c r="AP794" s="49"/>
      <x:c r="AQ794" s="49" t="n">
        <x:v>1.25</x:v>
      </x:c>
      <x:c r="AR794" s="49"/>
      <x:c r="AS794" s="49"/>
      <x:c r="AT794" s="49"/>
      <x:c r="AU794" s="49"/>
      <x:c r="AV794" s="49"/>
      <x:c r="AW794" s="49"/>
      <x:c r="AX794" s="49"/>
      <x:c r="AY794" s="49" t="str">
        <x:v>Titan007 Next</x:v>
      </x:c>
    </x:row>
    <x:row r="795" ht="22" customHeight="1">
      <x:c r="A795" s="49" t="str">
        <x:v>2026-10-04</x:v>
      </x:c>
      <x:c r="B795" s="49" t="str">
        <x:v>2026-10-04 20:30:00</x:v>
      </x:c>
      <x:c r="C795" s="49" t="str">
        <x:v>CLUB_LEAGUE</x:v>
      </x:c>
      <x:c r="D795" s="49" t="str">
        <x:v>联赛</x:v>
      </x:c>
      <x:c r="E795" s="49" t="str">
        <x:v>荷乙</x:v>
      </x:c>
      <x:c r="F795" s="49" t="str">
        <x:v>芬洛 vs 罗达JC</x:v>
      </x:c>
      <x:c r="G795" s="60" t="n">
        <x:v>0.83</x:v>
      </x:c>
      <x:c r="H795" s="60" t="n">
        <x:v>0</x:v>
      </x:c>
      <x:c r="I795" s="60" t="n">
        <x:v>0.99</x:v>
      </x:c>
      <x:c r="J795" s="49" t="str">
        <x:v>0.83/0.0/0.99</x:v>
      </x:c>
      <x:c r="K795" s="49"/>
      <x:c r="L795" s="49" t="str">
        <x:v>芬洛</x:v>
      </x:c>
      <x:c r="M795" s="61" t="n">
        <x:v>0.5760000000000001</x:v>
      </x:c>
      <x:c r="N795" s="49" t="str">
        <x:v>网页可投</x:v>
      </x:c>
      <x:c r="O795" s="49" t="str">
        <x:v>2-0</x:v>
      </x:c>
      <x:c r="P795" s="49" t="str">
        <x:v>已结算</x:v>
      </x:c>
      <x:c r="Q795" s="49" t="str">
        <x:v>红</x:v>
      </x:c>
      <x:c r="R795" s="50" t="n">
        <x:v>0.83</x:v>
      </x:c>
      <x:c r="S795" s="50" t="n">
        <x:v>0</x:v>
      </x:c>
      <x:c r="T795" s="49" t="str">
        <x:v>D:\codex\v3_legacy\outputs\football_odds_trader\raw\titan007\20261004\20261004_135431_titan007_odds_snapshot.csv</x:v>
      </x:c>
      <x:c r="U795" s="49"/>
      <x:c r="V795" s="50"/>
      <x:c r="W795" s="50"/>
      <x:c r="X795" s="49" t="n">
        <x:v>0.8</x:v>
      </x:c>
      <x:c r="Y795" s="49" t="n">
        <x:v>0</x:v>
      </x:c>
      <x:c r="Z795" s="49" t="n">
        <x:v>1.02</x:v>
      </x:c>
      <x:c r="AA795" s="49"/>
      <x:c r="AB795" s="49"/>
      <x:c r="AC795" s="49" t="n">
        <x:v>0.83</x:v>
      </x:c>
      <x:c r="AD795" s="49" t="n">
        <x:v>2.34</x:v>
      </x:c>
      <x:c r="AE795" s="49" t="n">
        <x:v>3.64</x:v>
      </x:c>
      <x:c r="AF795" s="49" t="n">
        <x:v>2.54</x:v>
      </x:c>
      <x:c r="AG795" s="49"/>
      <x:c r="AH795" s="49"/>
      <x:c r="AI795" s="49"/>
      <x:c r="AJ795" s="49"/>
      <x:c r="AK795" s="49"/>
      <x:c r="AL795" s="49"/>
      <x:c r="AM795" s="49"/>
      <x:c r="AN795" s="49"/>
      <x:c r="AO795" s="49"/>
      <x:c r="AP795" s="49"/>
      <x:c r="AQ795" s="49" t="n">
        <x:v>0</x:v>
      </x:c>
      <x:c r="AR795" s="49"/>
      <x:c r="AS795" s="49"/>
      <x:c r="AT795" s="49"/>
      <x:c r="AU795" s="49"/>
      <x:c r="AV795" s="49"/>
      <x:c r="AW795" s="49"/>
      <x:c r="AX795" s="49"/>
      <x:c r="AY795" s="49" t="str">
        <x:v>Titan007 Next</x:v>
      </x:c>
    </x:row>
    <x:row r="796" ht="22" customHeight="1">
      <x:c r="A796" s="49" t="str">
        <x:v>2026-10-04</x:v>
      </x:c>
      <x:c r="B796" s="49" t="str">
        <x:v>2026-10-04 22:00:00</x:v>
      </x:c>
      <x:c r="C796" s="49" t="str">
        <x:v>CLUB_LEAGUE</x:v>
      </x:c>
      <x:c r="D796" s="49" t="str">
        <x:v>联赛</x:v>
      </x:c>
      <x:c r="E796" s="49" t="str">
        <x:v>捷丙</x:v>
      </x:c>
      <x:c r="F796" s="49" t="str">
        <x:v>本纳特凯 vs 治鲁迪</x:v>
      </x:c>
      <x:c r="G796" s="60" t="n">
        <x:v>0.83</x:v>
      </x:c>
      <x:c r="H796" s="60" t="n">
        <x:v>1.25</x:v>
      </x:c>
      <x:c r="I796" s="60" t="n">
        <x:v>0.87</x:v>
      </x:c>
      <x:c r="J796" s="49" t="str">
        <x:v>0.83/1.25/0.87</x:v>
      </x:c>
      <x:c r="K796" s="49"/>
      <x:c r="L796" s="49" t="str">
        <x:v>本纳特凯</x:v>
      </x:c>
      <x:c r="M796" s="61" t="n">
        <x:v>0.5760000000000001</x:v>
      </x:c>
      <x:c r="N796" s="49" t="str">
        <x:v>网页可投</x:v>
      </x:c>
      <x:c r="O796" s="49" t="str">
        <x:v>3-3</x:v>
      </x:c>
      <x:c r="P796" s="49" t="str">
        <x:v>已结算</x:v>
      </x:c>
      <x:c r="Q796" s="49" t="str">
        <x:v>黑</x:v>
      </x:c>
      <x:c r="R796" s="50" t="n">
        <x:v>0.83</x:v>
      </x:c>
      <x:c r="S796" s="50" t="n">
        <x:v>0.415</x:v>
      </x:c>
      <x:c r="T796" s="49" t="str">
        <x:v>D:\codex\v3_legacy\outputs\football_odds_trader\raw\titan007\20261004\20261004_135431_titan007_odds_snapshot.csv</x:v>
      </x:c>
      <x:c r="U796" s="49"/>
      <x:c r="V796" s="50"/>
      <x:c r="W796" s="50"/>
      <x:c r="X796" s="49" t="n">
        <x:v>0.83</x:v>
      </x:c>
      <x:c r="Y796" s="49" t="n">
        <x:v>1.25</x:v>
      </x:c>
      <x:c r="Z796" s="49" t="n">
        <x:v>0.87</x:v>
      </x:c>
      <x:c r="AA796" s="49"/>
      <x:c r="AB796" s="49"/>
      <x:c r="AC796" s="49" t="n">
        <x:v>0.83</x:v>
      </x:c>
      <x:c r="AD796" s="49" t="n">
        <x:v>1.43</x:v>
      </x:c>
      <x:c r="AE796" s="49" t="n">
        <x:v>4.51</x:v>
      </x:c>
      <x:c r="AF796" s="49" t="n">
        <x:v>5.7</x:v>
      </x:c>
      <x:c r="AG796" s="49"/>
      <x:c r="AH796" s="49"/>
      <x:c r="AI796" s="49"/>
      <x:c r="AJ796" s="49"/>
      <x:c r="AK796" s="49"/>
      <x:c r="AL796" s="49"/>
      <x:c r="AM796" s="49"/>
      <x:c r="AN796" s="49"/>
      <x:c r="AO796" s="49"/>
      <x:c r="AP796" s="49"/>
      <x:c r="AQ796" s="49" t="n">
        <x:v>1.25</x:v>
      </x:c>
      <x:c r="AR796" s="49"/>
      <x:c r="AS796" s="49"/>
      <x:c r="AT796" s="49"/>
      <x:c r="AU796" s="49"/>
      <x:c r="AV796" s="49"/>
      <x:c r="AW796" s="49"/>
      <x:c r="AX796" s="49"/>
      <x:c r="AY796" s="49" t="str">
        <x:v>Titan007 Next</x:v>
      </x:c>
    </x:row>
    <x:row r="797" ht="22" customHeight="1">
      <x:c r="A797" s="49" t="str">
        <x:v>2026-10-04</x:v>
      </x:c>
      <x:c r="B797" s="49" t="str">
        <x:v>2026-10-04 22:30:00</x:v>
      </x:c>
      <x:c r="C797" s="49" t="str">
        <x:v>CLUB_LEAGUE</x:v>
      </x:c>
      <x:c r="D797" s="49" t="str">
        <x:v>联赛</x:v>
      </x:c>
      <x:c r="E797" s="49" t="str">
        <x:v>西协甲</x:v>
      </x:c>
      <x:c r="F797" s="49" t="str">
        <x:v>萨莫拉 vs CD科瑞亚</x:v>
      </x:c>
      <x:c r="G797" s="60" t="n">
        <x:v>0.82</x:v>
      </x:c>
      <x:c r="H797" s="60" t="n">
        <x:v>0.75</x:v>
      </x:c>
      <x:c r="I797" s="60" t="n">
        <x:v>0.88</x:v>
      </x:c>
      <x:c r="J797" s="49" t="str">
        <x:v>0.82/0.75/0.88</x:v>
      </x:c>
      <x:c r="K797" s="49"/>
      <x:c r="L797" s="49" t="str">
        <x:v>萨莫拉</x:v>
      </x:c>
      <x:c r="M797" s="61" t="n">
        <x:v>0.584</x:v>
      </x:c>
      <x:c r="N797" s="49" t="str">
        <x:v>网页可投</x:v>
      </x:c>
      <x:c r="O797" s="49" t="str">
        <x:v>2-0</x:v>
      </x:c>
      <x:c r="P797" s="49" t="str">
        <x:v>已结算</x:v>
      </x:c>
      <x:c r="Q797" s="49" t="str">
        <x:v>红</x:v>
      </x:c>
      <x:c r="R797" s="50" t="n">
        <x:v>0.82</x:v>
      </x:c>
      <x:c r="S797" s="50" t="n">
        <x:v>0.41</x:v>
      </x:c>
      <x:c r="T797" s="49" t="str">
        <x:v>D:\codex\v3_legacy\outputs\football_odds_trader\raw\titan007\20261004\20261004_135431_titan007_odds_snapshot.csv</x:v>
      </x:c>
      <x:c r="U797" s="49"/>
      <x:c r="V797" s="50"/>
      <x:c r="W797" s="50"/>
      <x:c r="X797" s="49" t="n">
        <x:v>0.82</x:v>
      </x:c>
      <x:c r="Y797" s="49" t="n">
        <x:v>0.75</x:v>
      </x:c>
      <x:c r="Z797" s="49" t="n">
        <x:v>0.88</x:v>
      </x:c>
      <x:c r="AA797" s="49"/>
      <x:c r="AB797" s="49"/>
      <x:c r="AC797" s="49" t="n">
        <x:v>0.82</x:v>
      </x:c>
      <x:c r="AD797" s="49" t="n">
        <x:v>1.69</x:v>
      </x:c>
      <x:c r="AE797" s="49" t="n">
        <x:v>3.57</x:v>
      </x:c>
      <x:c r="AF797" s="49" t="n">
        <x:v>4.42</x:v>
      </x:c>
      <x:c r="AG797" s="49"/>
      <x:c r="AH797" s="49"/>
      <x:c r="AI797" s="49"/>
      <x:c r="AJ797" s="49"/>
      <x:c r="AK797" s="49"/>
      <x:c r="AL797" s="49"/>
      <x:c r="AM797" s="49"/>
      <x:c r="AN797" s="49"/>
      <x:c r="AO797" s="49"/>
      <x:c r="AP797" s="49"/>
      <x:c r="AQ797" s="49" t="n">
        <x:v>0.75</x:v>
      </x:c>
      <x:c r="AR797" s="49"/>
      <x:c r="AS797" s="49"/>
      <x:c r="AT797" s="49"/>
      <x:c r="AU797" s="49"/>
      <x:c r="AV797" s="49"/>
      <x:c r="AW797" s="49"/>
      <x:c r="AX797" s="49"/>
      <x:c r="AY797" s="49" t="str">
        <x:v>Titan007 Next</x:v>
      </x:c>
    </x:row>
    <x:row r="798" ht="22" customHeight="1">
      <x:c r="A798" s="49" t="str">
        <x:v>2026-10-04</x:v>
      </x:c>
      <x:c r="B798" s="49" t="str">
        <x:v>2026-10-05 00:30:00</x:v>
      </x:c>
      <x:c r="C798" s="49" t="str">
        <x:v>CLUB_LEAGUE</x:v>
      </x:c>
      <x:c r="D798" s="49" t="str">
        <x:v>联赛</x:v>
      </x:c>
      <x:c r="E798" s="49" t="str">
        <x:v>西乙</x:v>
      </x:c>
      <x:c r="F798" s="49" t="str">
        <x:v>卡斯迪隆 vs 休达</x:v>
      </x:c>
      <x:c r="G798" s="60" t="n">
        <x:v>0.84</x:v>
      </x:c>
      <x:c r="H798" s="60" t="n">
        <x:v>1.75</x:v>
      </x:c>
      <x:c r="I798" s="60" t="n">
        <x:v>1.04</x:v>
      </x:c>
      <x:c r="J798" s="49" t="str">
        <x:v>0.84/1.75/1.04</x:v>
      </x:c>
      <x:c r="K798" s="49"/>
      <x:c r="L798" s="49" t="str">
        <x:v>卡斯迪隆</x:v>
      </x:c>
      <x:c r="M798" s="61" t="n">
        <x:v>0.584</x:v>
      </x:c>
      <x:c r="N798" s="49" t="str">
        <x:v>网页可投</x:v>
      </x:c>
      <x:c r="O798" s="49" t="str">
        <x:v>1-1</x:v>
      </x:c>
      <x:c r="P798" s="49" t="str">
        <x:v>已结算</x:v>
      </x:c>
      <x:c r="Q798" s="49" t="str">
        <x:v>黑</x:v>
      </x:c>
      <x:c r="R798" s="50" t="n">
        <x:v>0.84</x:v>
      </x:c>
      <x:c r="S798" s="50" t="n">
        <x:v>0.42</x:v>
      </x:c>
      <x:c r="T798" s="49" t="str">
        <x:v>D:\codex\v3_legacy\outputs\football_odds_trader\raw\titan007\20261004\20261004_135431_titan007_odds_snapshot.csv</x:v>
      </x:c>
      <x:c r="U798" s="49"/>
      <x:c r="V798" s="50"/>
      <x:c r="W798" s="50"/>
      <x:c r="X798" s="49" t="n">
        <x:v>0.95</x:v>
      </x:c>
      <x:c r="Y798" s="49" t="n">
        <x:v>1.75</x:v>
      </x:c>
      <x:c r="Z798" s="49" t="n">
        <x:v>0.93</x:v>
      </x:c>
      <x:c r="AA798" s="49"/>
      <x:c r="AB798" s="49"/>
      <x:c r="AC798" s="49" t="n">
        <x:v>0.84</x:v>
      </x:c>
      <x:c r="AD798" s="49" t="n">
        <x:v>1.24</x:v>
      </x:c>
      <x:c r="AE798" s="49" t="n">
        <x:v>5.86</x:v>
      </x:c>
      <x:c r="AF798" s="49" t="n">
        <x:v>9.54</x:v>
      </x:c>
      <x:c r="AG798" s="49"/>
      <x:c r="AH798" s="49"/>
      <x:c r="AI798" s="49"/>
      <x:c r="AJ798" s="49"/>
      <x:c r="AK798" s="49"/>
      <x:c r="AL798" s="49"/>
      <x:c r="AM798" s="49"/>
      <x:c r="AN798" s="49"/>
      <x:c r="AO798" s="49"/>
      <x:c r="AP798" s="49"/>
      <x:c r="AQ798" s="49" t="n">
        <x:v>1.75</x:v>
      </x:c>
      <x:c r="AR798" s="49"/>
      <x:c r="AS798" s="49"/>
      <x:c r="AT798" s="49"/>
      <x:c r="AU798" s="49"/>
      <x:c r="AV798" s="49"/>
      <x:c r="AW798" s="49"/>
      <x:c r="AX798" s="49"/>
      <x:c r="AY798" s="49" t="str">
        <x:v>Titan007 Next</x:v>
      </x:c>
    </x:row>
    <x:row r="799" ht="22" customHeight="1">
      <x:c r="A799" s="49" t="str">
        <x:v>2026-10-04</x:v>
      </x:c>
      <x:c r="B799" s="49" t="str">
        <x:v>2026-10-05 00:45:00</x:v>
      </x:c>
      <x:c r="C799" s="49" t="str">
        <x:v>CLUB_LEAGUE</x:v>
      </x:c>
      <x:c r="D799" s="49" t="str">
        <x:v>联赛</x:v>
      </x:c>
      <x:c r="E799" s="49" t="str">
        <x:v>西协甲</x:v>
      </x:c>
      <x:c r="F799" s="49" t="str">
        <x:v>艾基史拉斯 vs 瑞欧马加达宏达</x:v>
      </x:c>
      <x:c r="G799" s="60" t="n">
        <x:v>0.82</x:v>
      </x:c>
      <x:c r="H799" s="60" t="n">
        <x:v>0.5</x:v>
      </x:c>
      <x:c r="I799" s="60" t="n">
        <x:v>0.88</x:v>
      </x:c>
      <x:c r="J799" s="49" t="str">
        <x:v>0.82/0.5/0.88</x:v>
      </x:c>
      <x:c r="K799" s="49"/>
      <x:c r="L799" s="49" t="str">
        <x:v>艾基史拉斯</x:v>
      </x:c>
      <x:c r="M799" s="61" t="n">
        <x:v>0.584</x:v>
      </x:c>
      <x:c r="N799" s="49" t="str">
        <x:v>网页可投</x:v>
      </x:c>
      <x:c r="O799" s="49" t="str">
        <x:v>1-0</x:v>
      </x:c>
      <x:c r="P799" s="49" t="str">
        <x:v>已结算</x:v>
      </x:c>
      <x:c r="Q799" s="49" t="str">
        <x:v>红</x:v>
      </x:c>
      <x:c r="R799" s="50" t="n">
        <x:v>0.82</x:v>
      </x:c>
      <x:c r="S799" s="50" t="n">
        <x:v>0.41</x:v>
      </x:c>
      <x:c r="T799" s="49" t="str">
        <x:v>D:\codex\v3_legacy\outputs\football_odds_trader\raw\titan007\20261004\20261004_135431_titan007_odds_snapshot.csv</x:v>
      </x:c>
      <x:c r="U799" s="49"/>
      <x:c r="V799" s="50"/>
      <x:c r="W799" s="50"/>
      <x:c r="X799" s="49" t="n">
        <x:v>0.82</x:v>
      </x:c>
      <x:c r="Y799" s="49" t="n">
        <x:v>0.5</x:v>
      </x:c>
      <x:c r="Z799" s="49" t="n">
        <x:v>0.88</x:v>
      </x:c>
      <x:c r="AA799" s="49"/>
      <x:c r="AB799" s="49"/>
      <x:c r="AC799" s="49" t="n">
        <x:v>0.82</x:v>
      </x:c>
      <x:c r="AD799" s="49" t="n">
        <x:v>1.87</x:v>
      </x:c>
      <x:c r="AE799" s="49" t="n">
        <x:v>3.21</x:v>
      </x:c>
      <x:c r="AF799" s="49" t="n">
        <x:v>3.88</x:v>
      </x:c>
      <x:c r="AG799" s="49"/>
      <x:c r="AH799" s="49"/>
      <x:c r="AI799" s="49"/>
      <x:c r="AJ799" s="49"/>
      <x:c r="AK799" s="49"/>
      <x:c r="AL799" s="49"/>
      <x:c r="AM799" s="49"/>
      <x:c r="AN799" s="49"/>
      <x:c r="AO799" s="49"/>
      <x:c r="AP799" s="49"/>
      <x:c r="AQ799" s="49" t="n">
        <x:v>0.5</x:v>
      </x:c>
      <x:c r="AR799" s="49"/>
      <x:c r="AS799" s="49"/>
      <x:c r="AT799" s="49"/>
      <x:c r="AU799" s="49"/>
      <x:c r="AV799" s="49"/>
      <x:c r="AW799" s="49"/>
      <x:c r="AX799" s="49"/>
      <x:c r="AY799" s="49" t="str">
        <x:v>Titan007 Next</x:v>
      </x:c>
    </x:row>
    <x:row r="800" ht="22" customHeight="1">
      <x:c r="A800" s="49" t="str">
        <x:v>2026-10-04</x:v>
      </x:c>
      <x:c r="B800" s="49" t="str">
        <x:v>2026-10-05 03:00:00</x:v>
      </x:c>
      <x:c r="C800" s="49" t="str">
        <x:v>NATIONAL_OFFICIAL</x:v>
      </x:c>
      <x:c r="D800" s="49" t="str">
        <x:v>联赛</x:v>
      </x:c>
      <x:c r="E800" s="49" t="str">
        <x:v>中北美国联</x:v>
      </x:c>
      <x:c r="F800" s="49" t="str">
        <x:v>特克斯和凯科斯群岛 vs 英属维尔京群岛</x:v>
      </x:c>
      <x:c r="G800" s="60" t="n">
        <x:v>0.7</x:v>
      </x:c>
      <x:c r="H800" s="60" t="n">
        <x:v>0.5</x:v>
      </x:c>
      <x:c r="I800" s="60" t="n">
        <x:v>1</x:v>
      </x:c>
      <x:c r="J800" s="49" t="str">
        <x:v>0.7/0.5/1.0</x:v>
      </x:c>
      <x:c r="K800" s="49" t="str">
        <x:v>诱上/阻下</x:v>
      </x:c>
      <x:c r="L800" s="49" t="str">
        <x:v>英属维尔京群岛（下盘）</x:v>
      </x:c>
      <x:c r="M800" s="61" t="n">
        <x:v>0.59048388</x:v>
      </x:c>
      <x:c r="N800" s="49" t="str">
        <x:v>网页可投</x:v>
      </x:c>
      <x:c r="O800" s="49" t="str">
        <x:v>3-0</x:v>
      </x:c>
      <x:c r="P800" s="49" t="str">
        <x:v>已结算</x:v>
      </x:c>
      <x:c r="Q800" s="49" t="str">
        <x:v>黑</x:v>
      </x:c>
      <x:c r="R800" s="50" t="n">
        <x:v>1</x:v>
      </x:c>
      <x:c r="S800" s="50" t="n">
        <x:v>0.5</x:v>
      </x:c>
      <x:c r="T800" s="49" t="str">
        <x:v>D:\codex\v3_legacy\outputs\football_odds_trader\raw\titan007\20261004\20261004_135431_titan007_odds_snapshot.csv</x:v>
      </x:c>
      <x:c r="U800" s="49"/>
      <x:c r="V800" s="50"/>
      <x:c r="W800" s="50"/>
      <x:c r="X800" s="49" t="n">
        <x:v>0.81</x:v>
      </x:c>
      <x:c r="Y800" s="49" t="n">
        <x:v>0.5</x:v>
      </x:c>
      <x:c r="Z800" s="49" t="n">
        <x:v>0.89</x:v>
      </x:c>
      <x:c r="AA800" s="49"/>
      <x:c r="AB800" s="49"/>
      <x:c r="AC800" s="49" t="n">
        <x:v>1</x:v>
      </x:c>
      <x:c r="AD800" s="49" t="n">
        <x:v>1.95</x:v>
      </x:c>
      <x:c r="AE800" s="49" t="n">
        <x:v>3.68</x:v>
      </x:c>
      <x:c r="AF800" s="49" t="n">
        <x:v>3.18</x:v>
      </x:c>
      <x:c r="AG800" s="49"/>
      <x:c r="AH800" s="49"/>
      <x:c r="AI800" s="49"/>
      <x:c r="AJ800" s="49"/>
      <x:c r="AK800" s="49"/>
      <x:c r="AL800" s="49"/>
      <x:c r="AM800" s="49"/>
      <x:c r="AN800" s="49"/>
      <x:c r="AO800" s="49"/>
      <x:c r="AP800" s="49"/>
      <x:c r="AQ800" s="49" t="n">
        <x:v>0.5</x:v>
      </x:c>
      <x:c r="AR800" s="49"/>
      <x:c r="AS800" s="49"/>
      <x:c r="AT800" s="49"/>
      <x:c r="AU800" s="49"/>
      <x:c r="AV800" s="49"/>
      <x:c r="AW800" s="49"/>
      <x:c r="AX800" s="49"/>
      <x:c r="AY800" s="49" t="str">
        <x:v>Titan007 Next</x:v>
      </x:c>
    </x:row>
    <x:row r="801" ht="22" customHeight="1">
      <x:c r="A801" s="49" t="str">
        <x:v>2026-10-04</x:v>
      </x:c>
      <x:c r="B801" s="49" t="str">
        <x:v>2026-10-05 08:00:00</x:v>
      </x:c>
      <x:c r="C801" s="49" t="str">
        <x:v>NATIONAL_OFFICIAL</x:v>
      </x:c>
      <x:c r="D801" s="49" t="str">
        <x:v>联赛</x:v>
      </x:c>
      <x:c r="E801" s="49" t="str">
        <x:v>中北美国联</x:v>
      </x:c>
      <x:c r="F801" s="49" t="str">
        <x:v>哥斯达黎加 vs 海地</x:v>
      </x:c>
      <x:c r="G801" s="60" t="n">
        <x:v>0.82</x:v>
      </x:c>
      <x:c r="H801" s="60" t="n">
        <x:v>0.25</x:v>
      </x:c>
      <x:c r="I801" s="60" t="n">
        <x:v>0.94</x:v>
      </x:c>
      <x:c r="J801" s="49" t="str">
        <x:v>0.82/0.25/0.94</x:v>
      </x:c>
      <x:c r="K801" s="49" t="str">
        <x:v>诱上/阻下</x:v>
      </x:c>
      <x:c r="L801" s="49" t="str">
        <x:v>海地（下盘）</x:v>
      </x:c>
      <x:c r="M801" s="61" t="n">
        <x:v>0.59048388</x:v>
      </x:c>
      <x:c r="N801" s="49" t="str">
        <x:v>网页可投</x:v>
      </x:c>
      <x:c r="O801" s="49" t="str">
        <x:v>0-0</x:v>
      </x:c>
      <x:c r="P801" s="49" t="str">
        <x:v>已结算</x:v>
      </x:c>
      <x:c r="Q801" s="49" t="str">
        <x:v>走</x:v>
      </x:c>
      <x:c r="R801" s="50" t="n">
        <x:v>0.94</x:v>
      </x:c>
      <x:c r="S801" s="50" t="n">
        <x:v>0</x:v>
      </x:c>
      <x:c r="T801" s="49" t="str">
        <x:v>D:\codex\v3_legacy\outputs\football_odds_trader\raw\titan007\20261004\20261004_135431_titan007_odds_snapshot.csv</x:v>
      </x:c>
      <x:c r="U801" s="49"/>
      <x:c r="V801" s="50"/>
      <x:c r="W801" s="50"/>
      <x:c r="X801" s="49" t="n">
        <x:v>0.78</x:v>
      </x:c>
      <x:c r="Y801" s="49" t="n">
        <x:v>0.25</x:v>
      </x:c>
      <x:c r="Z801" s="49" t="n">
        <x:v>0.98</x:v>
      </x:c>
      <x:c r="AA801" s="49"/>
      <x:c r="AB801" s="49"/>
      <x:c r="AC801" s="49" t="n">
        <x:v>0.94</x:v>
      </x:c>
      <x:c r="AD801" s="49" t="n">
        <x:v>2.05</x:v>
      </x:c>
      <x:c r="AE801" s="49" t="n">
        <x:v>3.24</x:v>
      </x:c>
      <x:c r="AF801" s="49" t="n">
        <x:v>3.36</x:v>
      </x:c>
      <x:c r="AG801" s="49"/>
      <x:c r="AH801" s="49"/>
      <x:c r="AI801" s="49"/>
      <x:c r="AJ801" s="49"/>
      <x:c r="AK801" s="49"/>
      <x:c r="AL801" s="49"/>
      <x:c r="AM801" s="49"/>
      <x:c r="AN801" s="49"/>
      <x:c r="AO801" s="49"/>
      <x:c r="AP801" s="49"/>
      <x:c r="AQ801" s="49" t="n">
        <x:v>0.25</x:v>
      </x:c>
      <x:c r="AR801" s="49"/>
      <x:c r="AS801" s="49"/>
      <x:c r="AT801" s="49"/>
      <x:c r="AU801" s="49"/>
      <x:c r="AV801" s="49"/>
      <x:c r="AW801" s="49"/>
      <x:c r="AX801" s="49"/>
      <x:c r="AY801" s="49" t="str">
        <x:v>Titan007 Next</x:v>
      </x:c>
    </x:row>
    <x:row r="802" ht="22" customHeight="1">
      <x:c r="A802" s="49" t="str">
        <x:v>2026-10-05</x:v>
      </x:c>
      <x:c r="B802" s="49" t="str">
        <x:v>2026-10-06 03:00:00</x:v>
      </x:c>
      <x:c r="C802" s="49" t="str">
        <x:v>NATIONAL_OFFICIAL</x:v>
      </x:c>
      <x:c r="D802" s="49"/>
      <x:c r="E802" s="49" t="str">
        <x:v>中北美国联</x:v>
      </x:c>
      <x:c r="F802" s="49" t="str">
        <x:v>瓜德罗普 vs 圣卢西亚</x:v>
      </x:c>
      <x:c r="G802" s="60" t="n">
        <x:v>0.89</x:v>
      </x:c>
      <x:c r="H802" s="60" t="n">
        <x:v>-0.5</x:v>
      </x:c>
      <x:c r="I802" s="60" t="n">
        <x:v>0.81</x:v>
      </x:c>
      <x:c r="J802" s="49" t="str">
        <x:v>0.89/-0.5/0.81</x:v>
      </x:c>
      <x:c r="K802" s="49" t="str">
        <x:v>正向</x:v>
      </x:c>
      <x:c r="L802" s="49" t="str">
        <x:v>瓜德罗普（下盘）</x:v>
      </x:c>
      <x:c r="M802" s="61" t="n">
        <x:v>0.59048388</x:v>
      </x:c>
      <x:c r="N802" s="49" t="str">
        <x:v>可投；通过：综合胜率58.4% &gt;= 阈值54.9%；风控状态A-正常态；杯赛分层收缩后59.0%仍通过</x:v>
      </x:c>
      <x:c r="O802" s="49" t="str">
        <x:v>0-1</x:v>
      </x:c>
      <x:c r="P802" s="49" t="str">
        <x:v>已结算</x:v>
      </x:c>
      <x:c r="Q802" s="49" t="str">
        <x:v>黑</x:v>
      </x:c>
      <x:c r="R802" s="50" t="n">
        <x:v>0.89</x:v>
      </x:c>
      <x:c r="S802" s="50" t="n">
        <x:v>-1</x:v>
      </x:c>
      <x:c r="T802" s="49" t="str">
        <x:v>D:\codex\outputs\football_odds_trader\decision_versions\2026-10-05\RUN_20261005_094642\slate_raw.csv</x:v>
      </x:c>
      <x:c r="U802" s="49"/>
      <x:c r="V802" s="50"/>
      <x:c r="W802" s="50"/>
      <x:c r="X802" s="49" t="n">
        <x:v>-0.5</x:v>
      </x:c>
      <x:c r="Y802" s="49" t="n">
        <x:v>0.89</x:v>
      </x:c>
      <x:c r="Z802" s="49" t="n">
        <x:v>3.4662</x:v>
      </x:c>
      <x:c r="AA802" s="49" t="n">
        <x:v>3.8763</x:v>
      </x:c>
      <x:c r="AB802" s="49" t="n">
        <x:v>1.8324</x:v>
      </x:c>
      <x:c r="AC802" s="49"/>
      <x:c r="AD802" s="49"/>
      <x:c r="AE802" s="49"/>
      <x:c r="AF802" s="49"/>
      <x:c r="AG802" s="49"/>
      <x:c r="AH802" s="49"/>
      <x:c r="AI802" s="49"/>
      <x:c r="AJ802" s="49"/>
      <x:c r="AK802" s="49"/>
      <x:c r="AL802" s="49"/>
      <x:c r="AM802" s="49"/>
      <x:c r="AN802" s="49"/>
      <x:c r="AO802" s="49"/>
      <x:c r="AP802" s="49"/>
      <x:c r="AQ802" s="49"/>
      <x:c r="AR802" s="49"/>
      <x:c r="AS802" s="49"/>
      <x:c r="AT802" s="49"/>
      <x:c r="AU802" s="49"/>
      <x:c r="AV802" s="49" t="str">
        <x:v>Titan007/V3</x:v>
      </x:c>
      <x:c r="AW802" s="49" t="str">
        <x:v>可投</x:v>
      </x:c>
      <x:c r="AX802" s="49"/>
      <x:c r="AY802" s="49"/>
    </x:row>
    <x:row r="803" ht="22" customHeight="1">
      <x:c r="A803" s="49" t="str">
        <x:v>2026-10-05</x:v>
      </x:c>
      <x:c r="B803" s="49" t="str">
        <x:v>2026-10-06 08:00:00</x:v>
      </x:c>
      <x:c r="C803" s="49" t="str">
        <x:v>NATIONAL_OFFICIAL</x:v>
      </x:c>
      <x:c r="D803" s="49"/>
      <x:c r="E803" s="49" t="str">
        <x:v>中北美国联</x:v>
      </x:c>
      <x:c r="F803" s="49" t="str">
        <x:v>百慕大群岛 vs 巴巴多斯</x:v>
      </x:c>
      <x:c r="G803" s="60" t="n">
        <x:v>0.87</x:v>
      </x:c>
      <x:c r="H803" s="60" t="n">
        <x:v>-0.5</x:v>
      </x:c>
      <x:c r="I803" s="60" t="n">
        <x:v>0.83</x:v>
      </x:c>
      <x:c r="J803" s="49" t="str">
        <x:v>0.87/-0.5/0.83</x:v>
      </x:c>
      <x:c r="K803" s="49" t="str">
        <x:v>正向</x:v>
      </x:c>
      <x:c r="L803" s="49" t="str">
        <x:v>百慕大群岛（下盘）</x:v>
      </x:c>
      <x:c r="M803" s="61" t="n">
        <x:v>0.59048388</x:v>
      </x:c>
      <x:c r="N803" s="49" t="str">
        <x:v>可投；通过：综合胜率58.4% &gt;= 阈值55.5%；风控状态A-正常态；杯赛分层收缩后59.0%仍通过</x:v>
      </x:c>
      <x:c r="O803" s="49" t="str">
        <x:v>0-0</x:v>
      </x:c>
      <x:c r="P803" s="49" t="str">
        <x:v>未开赛</x:v>
      </x:c>
      <x:c r="Q803" s="49"/>
      <x:c r="R803" s="50" t="n">
        <x:v>0.87</x:v>
      </x:c>
      <x:c r="S803" s="50"/>
      <x:c r="T803" s="49" t="str">
        <x:v>D:\codex\outputs\football_odds_trader\decision_versions\2026-10-05\RUN_20261005_094642\slate_raw.csv</x:v>
      </x:c>
      <x:c r="U803" s="49"/>
      <x:c r="V803" s="50"/>
      <x:c r="W803" s="50"/>
      <x:c r="X803" s="49" t="n">
        <x:v>-0.5</x:v>
      </x:c>
      <x:c r="Y803" s="49" t="n">
        <x:v>0.87</x:v>
      </x:c>
      <x:c r="Z803" s="49" t="n">
        <x:v>3.3284</x:v>
      </x:c>
      <x:c r="AA803" s="49" t="n">
        <x:v>4.1166</x:v>
      </x:c>
      <x:c r="AB803" s="49" t="n">
        <x:v>1.8171</x:v>
      </x:c>
      <x:c r="AC803" s="49"/>
      <x:c r="AD803" s="49"/>
      <x:c r="AE803" s="49"/>
      <x:c r="AF803" s="49"/>
      <x:c r="AG803" s="49"/>
      <x:c r="AH803" s="49"/>
      <x:c r="AI803" s="49"/>
      <x:c r="AJ803" s="49"/>
      <x:c r="AK803" s="49"/>
      <x:c r="AL803" s="49"/>
      <x:c r="AM803" s="49"/>
      <x:c r="AN803" s="49"/>
      <x:c r="AO803" s="49"/>
      <x:c r="AP803" s="49"/>
      <x:c r="AQ803" s="49"/>
      <x:c r="AR803" s="49"/>
      <x:c r="AS803" s="49"/>
      <x:c r="AT803" s="49"/>
      <x:c r="AU803" s="49"/>
      <x:c r="AV803" s="49" t="str">
        <x:v>Titan007/V3</x:v>
      </x:c>
      <x:c r="AW803" s="49" t="str">
        <x:v>可投</x:v>
      </x:c>
      <x:c r="AX803" s="49"/>
      <x:c r="AY803" s="49"/>
    </x:row>
    <x:row r="804" ht="22" customHeight="1">
      <x:c r="A804" s="49" t="str">
        <x:v>2026-10-05</x:v>
      </x:c>
      <x:c r="B804" s="49" t="str">
        <x:v>2026-10-06 09:30:00</x:v>
      </x:c>
      <x:c r="C804" s="49" t="str">
        <x:v>CLUB_CUP</x:v>
      </x:c>
      <x:c r="D804" s="49"/>
      <x:c r="E804" s="49" t="str">
        <x:v>斐济杯</x:v>
      </x:c>
      <x:c r="F804" s="49" t="str">
        <x:v>纳维 vs 纳迪</x:v>
      </x:c>
      <x:c r="G804" s="60" t="n">
        <x:v>0.78</x:v>
      </x:c>
      <x:c r="H804" s="60" t="n">
        <x:v>0</x:v>
      </x:c>
      <x:c r="I804" s="60" t="n">
        <x:v>1.03</x:v>
      </x:c>
      <x:c r="J804" s="49" t="str">
        <x:v>0.78/0.0/1.03</x:v>
      </x:c>
      <x:c r="K804" s="49" t="str">
        <x:v>反向</x:v>
      </x:c>
      <x:c r="L804" s="49" t="str">
        <x:v>纳维（反向=上盘）</x:v>
      </x:c>
      <x:c r="M804" s="61" t="n">
        <x:v>0.5909053900000001</x:v>
      </x:c>
      <x:c r="N804" s="49" t="str">
        <x:v>可投；通过：综合胜率59.2% &gt;= 阈值58.2%；风控状态A-正常态；杯赛分层收缩后59.1%仍通过</x:v>
      </x:c>
      <x:c r="O804" s="49" t="str">
        <x:v>0-0</x:v>
      </x:c>
      <x:c r="P804" s="49" t="str">
        <x:v>未开赛</x:v>
      </x:c>
      <x:c r="Q804" s="49"/>
      <x:c r="R804" s="50" t="n">
        <x:v>0.78</x:v>
      </x:c>
      <x:c r="S804" s="50"/>
      <x:c r="T804" s="49" t="str">
        <x:v>D:\codex\outputs\football_odds_trader\decision_versions\2026-10-05\RUN_20261005_094642\slate_raw.csv</x:v>
      </x:c>
      <x:c r="U804" s="49"/>
      <x:c r="V804" s="50"/>
      <x:c r="W804" s="50"/>
      <x:c r="X804" s="49" t="n">
        <x:v>0</x:v>
      </x:c>
      <x:c r="Y804" s="49" t="n">
        <x:v>0.78</x:v>
      </x:c>
      <x:c r="Z804" s="49" t="n">
        <x:v>2.336</x:v>
      </x:c>
      <x:c r="AA804" s="49" t="n">
        <x:v>3.23</x:v>
      </x:c>
      <x:c r="AB804" s="49" t="n">
        <x:v>2.584</x:v>
      </x:c>
      <x:c r="AC804" s="49"/>
      <x:c r="AD804" s="49"/>
      <x:c r="AE804" s="49"/>
      <x:c r="AF804" s="49"/>
      <x:c r="AG804" s="49"/>
      <x:c r="AH804" s="49"/>
      <x:c r="AI804" s="49"/>
      <x:c r="AJ804" s="49"/>
      <x:c r="AK804" s="49"/>
      <x:c r="AL804" s="49"/>
      <x:c r="AM804" s="49"/>
      <x:c r="AN804" s="49"/>
      <x:c r="AO804" s="49"/>
      <x:c r="AP804" s="49"/>
      <x:c r="AQ804" s="49"/>
      <x:c r="AR804" s="49"/>
      <x:c r="AS804" s="49"/>
      <x:c r="AT804" s="49"/>
      <x:c r="AU804" s="49"/>
      <x:c r="AV804" s="49" t="str">
        <x:v>Titan007/V3</x:v>
      </x:c>
      <x:c r="AW804" s="49" t="str">
        <x:v>可投</x:v>
      </x:c>
      <x:c r="AX804" s="49"/>
      <x:c r="AY804" s="49"/>
    </x:row>
    <x:row r="805" ht="22" customHeight="1">
      <x:c r="A805" s="49" t="str">
        <x:v>2026-10-06</x:v>
      </x:c>
      <x:c r="B805" s="49" t="str">
        <x:v>2026-10-06 19:00:00</x:v>
      </x:c>
      <x:c r="C805" s="49" t="str">
        <x:v>CLUB_LEAGUE</x:v>
      </x:c>
      <x:c r="D805" s="49"/>
      <x:c r="E805" s="49" t="str">
        <x:v>中甲</x:v>
      </x:c>
      <x:c r="F805" s="49" t="str">
        <x:v>长春亚泰 vs 延边龙鼎</x:v>
      </x:c>
      <x:c r="G805" s="60" t="n">
        <x:v>0.8</x:v>
      </x:c>
      <x:c r="H805" s="60" t="n">
        <x:v>0.25</x:v>
      </x:c>
      <x:c r="I805" s="60" t="n">
        <x:v>0.9</x:v>
      </x:c>
      <x:c r="J805" s="49" t="str">
        <x:v>0.8/0.25/0.9</x:v>
      </x:c>
      <x:c r="K805" s="49" t="str">
        <x:v>反向</x:v>
      </x:c>
      <x:c r="L805" s="49" t="str">
        <x:v>长春亚泰（反向=上盘）</x:v>
      </x:c>
      <x:c r="M805" s="61" t="n">
        <x:v>0.5920000000000001</x:v>
      </x:c>
      <x:c r="N805" s="49" t="str">
        <x:v>可投；通过：综合胜率59.2% &gt;= 阈值57.6%；风控状态A-正常态</x:v>
      </x:c>
      <x:c r="O805" s="49" t="str">
        <x:v>1-1</x:v>
      </x:c>
      <x:c r="P805" s="49" t="str">
        <x:v>已结算</x:v>
      </x:c>
      <x:c r="Q805" s="49" t="str">
        <x:v>半黑</x:v>
      </x:c>
      <x:c r="R805" s="50" t="n">
        <x:v>0.8</x:v>
      </x:c>
      <x:c r="S805" s="50" t="n">
        <x:v>-0.5</x:v>
      </x:c>
      <x:c r="T805" s="49" t="str">
        <x:v>D:\codex\outputs\football_odds_trader\decision_versions\2026-10-06\RUN_20261006_084027\slate_raw.csv</x:v>
      </x:c>
      <x:c r="U805" s="49"/>
      <x:c r="V805" s="50"/>
      <x:c r="W805" s="50"/>
      <x:c r="X805" s="49" t="n">
        <x:v>0.25</x:v>
      </x:c>
      <x:c r="Y805" s="49" t="n">
        <x:v>0.8</x:v>
      </x:c>
      <x:c r="Z805" s="49" t="n">
        <x:v>2.0222</x:v>
      </x:c>
      <x:c r="AA805" s="49" t="n">
        <x:v>3.2253</x:v>
      </x:c>
      <x:c r="AB805" s="49" t="n">
        <x:v>3.3493</x:v>
      </x:c>
      <x:c r="AC805" s="49"/>
      <x:c r="AD805" s="49"/>
      <x:c r="AE805" s="49"/>
      <x:c r="AF805" s="49"/>
      <x:c r="AG805" s="49"/>
      <x:c r="AH805" s="49"/>
      <x:c r="AI805" s="49"/>
      <x:c r="AJ805" s="49"/>
      <x:c r="AK805" s="49"/>
      <x:c r="AL805" s="49"/>
      <x:c r="AM805" s="49"/>
      <x:c r="AN805" s="49"/>
      <x:c r="AO805" s="49"/>
      <x:c r="AP805" s="49"/>
      <x:c r="AQ805" s="49"/>
      <x:c r="AR805" s="49"/>
      <x:c r="AS805" s="49"/>
      <x:c r="AT805" s="49"/>
      <x:c r="AU805" s="49"/>
      <x:c r="AV805" s="49" t="str">
        <x:v>Titan007/V3</x:v>
      </x:c>
      <x:c r="AW805" s="49" t="str">
        <x:v>可投</x:v>
      </x:c>
      <x:c r="AX805" s="49"/>
      <x:c r="AY805" s="49"/>
    </x:row>
    <x:row r="806" ht="22" customHeight="1">
      <x:c r="A806" s="49" t="str">
        <x:v>2026-10-06</x:v>
      </x:c>
      <x:c r="B806" s="49" t="str">
        <x:v>2026-10-06 23:00:00</x:v>
      </x:c>
      <x:c r="C806" s="49" t="str">
        <x:v>CLUB_CUP</x:v>
      </x:c>
      <x:c r="D806" s="49"/>
      <x:c r="E806" s="49" t="str">
        <x:v>瑞典杯</x:v>
      </x:c>
      <x:c r="F806" s="49" t="str">
        <x:v>特罗尔海坦 vs 米亚尔比</x:v>
      </x:c>
      <x:c r="G806" s="60" t="n">
        <x:v>1</x:v>
      </x:c>
      <x:c r="H806" s="60" t="n">
        <x:v>-1.25</x:v>
      </x:c>
      <x:c r="I806" s="60" t="n">
        <x:v>0.8</x:v>
      </x:c>
      <x:c r="J806" s="49" t="str">
        <x:v>1.0/-1.25/0.8</x:v>
      </x:c>
      <x:c r="K806" s="49" t="str">
        <x:v>反向</x:v>
      </x:c>
      <x:c r="L806" s="49" t="str">
        <x:v>米亚尔比（反向=上盘）</x:v>
      </x:c>
      <x:c r="M806" s="61" t="n">
        <x:v>0.5787484800000001</x:v>
      </x:c>
      <x:c r="N806" s="49" t="str">
        <x:v>可投；通过：综合胜率57.6% &gt;= 阈值57.6%；风控状态A-正常态；杯赛分层收缩后57.9%仍通过</x:v>
      </x:c>
      <x:c r="O806" s="49" t="str">
        <x:v>1-0</x:v>
      </x:c>
      <x:c r="P806" s="49" t="str">
        <x:v>已结算</x:v>
      </x:c>
      <x:c r="Q806" s="49" t="str">
        <x:v>黑</x:v>
      </x:c>
      <x:c r="R806" s="50" t="n">
        <x:v>0.8</x:v>
      </x:c>
      <x:c r="S806" s="50" t="n">
        <x:v>-1</x:v>
      </x:c>
      <x:c r="T806" s="49" t="str">
        <x:v>D:\codex\outputs\football_odds_trader\decision_versions\2026-10-06\RUN_20261006_084027\slate_raw.csv</x:v>
      </x:c>
      <x:c r="U806" s="49"/>
      <x:c r="V806" s="50"/>
      <x:c r="W806" s="50"/>
      <x:c r="X806" s="49" t="n">
        <x:v>-1.25</x:v>
      </x:c>
      <x:c r="Y806" s="49" t="n">
        <x:v>0.8</x:v>
      </x:c>
      <x:c r="Z806" s="49" t="n">
        <x:v>6.3487</x:v>
      </x:c>
      <x:c r="AA806" s="49" t="n">
        <x:v>4.6023</x:v>
      </x:c>
      <x:c r="AB806" s="49" t="n">
        <x:v>1.3625</x:v>
      </x:c>
      <x:c r="AC806" s="49"/>
      <x:c r="AD806" s="49"/>
      <x:c r="AE806" s="49"/>
      <x:c r="AF806" s="49"/>
      <x:c r="AG806" s="49"/>
      <x:c r="AH806" s="49"/>
      <x:c r="AI806" s="49"/>
      <x:c r="AJ806" s="49"/>
      <x:c r="AK806" s="49"/>
      <x:c r="AL806" s="49"/>
      <x:c r="AM806" s="49"/>
      <x:c r="AN806" s="49"/>
      <x:c r="AO806" s="49"/>
      <x:c r="AP806" s="49"/>
      <x:c r="AQ806" s="49"/>
      <x:c r="AR806" s="49"/>
      <x:c r="AS806" s="49"/>
      <x:c r="AT806" s="49"/>
      <x:c r="AU806" s="49"/>
      <x:c r="AV806" s="49" t="str">
        <x:v>Titan007/V3</x:v>
      </x:c>
      <x:c r="AW806" s="49" t="str">
        <x:v>可投</x:v>
      </x:c>
      <x:c r="AX806" s="49"/>
      <x:c r="AY806" s="49"/>
    </x:row>
    <x:row r="807" ht="22" customHeight="1">
      <x:c r="A807" s="49" t="str">
        <x:v>2026-10-06</x:v>
      </x:c>
      <x:c r="B807" s="49" t="str">
        <x:v>2026-10-06 16:30:00</x:v>
      </x:c>
      <x:c r="C807" s="49" t="str">
        <x:v>CLUB_CUP</x:v>
      </x:c>
      <x:c r="D807" s="49"/>
      <x:c r="E807" s="49" t="str">
        <x:v>越南杯</x:v>
      </x:c>
      <x:c r="F807" s="49" t="str">
        <x:v>林同 vs 宋兰义安</x:v>
      </x:c>
      <x:c r="G807" s="60" t="n">
        <x:v>0.89</x:v>
      </x:c>
      <x:c r="H807" s="60" t="n">
        <x:v>-0.75</x:v>
      </x:c>
      <x:c r="I807" s="60" t="n">
        <x:v>0.81</x:v>
      </x:c>
      <x:c r="J807" s="49" t="str">
        <x:v>0.89/-0.75/0.81</x:v>
      </x:c>
      <x:c r="K807" s="49" t="str">
        <x:v>反向</x:v>
      </x:c>
      <x:c r="L807" s="49" t="str">
        <x:v>宋兰义安（反向=上盘）</x:v>
      </x:c>
      <x:c r="M807" s="61" t="n">
        <x:v>0.5909053900000001</x:v>
      </x:c>
      <x:c r="N807" s="49" t="str">
        <x:v>可投；通过：综合胜率59.2% &gt;= 阈值57.2%；风控状态A-正常态；杯赛分层收缩后59.1%仍通过</x:v>
      </x:c>
      <x:c r="O807" s="49" t="str">
        <x:v>0-2</x:v>
      </x:c>
      <x:c r="P807" s="49" t="str">
        <x:v>已结算</x:v>
      </x:c>
      <x:c r="Q807" s="49" t="str">
        <x:v>红</x:v>
      </x:c>
      <x:c r="R807" s="50" t="n">
        <x:v>0.81</x:v>
      </x:c>
      <x:c r="S807" s="50" t="n">
        <x:v>0.81</x:v>
      </x:c>
      <x:c r="T807" s="49" t="str">
        <x:v>D:\codex\outputs\football_odds_trader\decision_versions\2026-10-06\RUN_20261006_084027\slate_raw.csv</x:v>
      </x:c>
      <x:c r="U807" s="49"/>
      <x:c r="V807" s="50"/>
      <x:c r="W807" s="50"/>
      <x:c r="X807" s="49" t="n">
        <x:v>-0.75</x:v>
      </x:c>
      <x:c r="Y807" s="49" t="n">
        <x:v>0.81</x:v>
      </x:c>
      <x:c r="Z807" s="49" t="n">
        <x:v>5.355</x:v>
      </x:c>
      <x:c r="AA807" s="49" t="n">
        <x:v>3.4784</x:v>
      </x:c>
      <x:c r="AB807" s="49" t="n">
        <x:v>1.5654</x:v>
      </x:c>
      <x:c r="AC807" s="49"/>
      <x:c r="AD807" s="49"/>
      <x:c r="AE807" s="49"/>
      <x:c r="AF807" s="49"/>
      <x:c r="AG807" s="49"/>
      <x:c r="AH807" s="49"/>
      <x:c r="AI807" s="49"/>
      <x:c r="AJ807" s="49"/>
      <x:c r="AK807" s="49"/>
      <x:c r="AL807" s="49"/>
      <x:c r="AM807" s="49"/>
      <x:c r="AN807" s="49"/>
      <x:c r="AO807" s="49"/>
      <x:c r="AP807" s="49"/>
      <x:c r="AQ807" s="49"/>
      <x:c r="AR807" s="49"/>
      <x:c r="AS807" s="49"/>
      <x:c r="AT807" s="49"/>
      <x:c r="AU807" s="49"/>
      <x:c r="AV807" s="49" t="str">
        <x:v>Titan007/V3</x:v>
      </x:c>
      <x:c r="AW807" s="49" t="str">
        <x:v>可投</x:v>
      </x:c>
      <x:c r="AX807" s="49"/>
      <x:c r="AY807" s="49"/>
    </x:row>
    <x:row r="808" ht="22" customHeight="1">
      <x:c r="A808" s="49" t="str">
        <x:v>2026-10-06</x:v>
      </x:c>
      <x:c r="B808" s="49" t="str">
        <x:v>2026-10-06 23:00:00</x:v>
      </x:c>
      <x:c r="C808" s="49" t="str">
        <x:v>CLUB_CUP</x:v>
      </x:c>
      <x:c r="D808" s="49"/>
      <x:c r="E808" s="49" t="str">
        <x:v>挪威杯</x:v>
      </x:c>
      <x:c r="F808" s="49" t="str">
        <x:v>诺霍斯 vs 斯达</x:v>
      </x:c>
      <x:c r="G808" s="60" t="n">
        <x:v>0.91</x:v>
      </x:c>
      <x:c r="H808" s="60" t="n">
        <x:v>-1</x:v>
      </x:c>
      <x:c r="I808" s="60" t="n">
        <x:v>0.85</x:v>
      </x:c>
      <x:c r="J808" s="49" t="str">
        <x:v>0.91/-1.0/0.85</x:v>
      </x:c>
      <x:c r="K808" s="49" t="str">
        <x:v>反向</x:v>
      </x:c>
      <x:c r="L808" s="49" t="str">
        <x:v>斯达（反向=上盘）</x:v>
      </x:c>
      <x:c r="M808" s="61" t="n">
        <x:v>0.57826776</x:v>
      </x:c>
      <x:c r="N808" s="49" t="str">
        <x:v>可投；通过：综合胜率57.6% &gt;= 阈值56.1%；风控状态A-正常态；杯赛分层收缩后57.8%仍通过</x:v>
      </x:c>
      <x:c r="O808" s="49" t="str">
        <x:v>1-5</x:v>
      </x:c>
      <x:c r="P808" s="49" t="str">
        <x:v>已结算</x:v>
      </x:c>
      <x:c r="Q808" s="49" t="str">
        <x:v>红</x:v>
      </x:c>
      <x:c r="R808" s="50" t="n">
        <x:v>0.85</x:v>
      </x:c>
      <x:c r="S808" s="50" t="n">
        <x:v>0.85</x:v>
      </x:c>
      <x:c r="T808" s="49" t="str">
        <x:v>D:\codex\outputs\football_odds_trader\decision_versions\2026-10-06\RUN_20261006_084027\slate_raw.csv</x:v>
      </x:c>
      <x:c r="U808" s="49"/>
      <x:c r="V808" s="50"/>
      <x:c r="W808" s="50"/>
      <x:c r="X808" s="49" t="n">
        <x:v>-1</x:v>
      </x:c>
      <x:c r="Y808" s="49" t="n">
        <x:v>0.85</x:v>
      </x:c>
      <x:c r="Z808" s="49" t="n">
        <x:v>5.1915</x:v>
      </x:c>
      <x:c r="AA808" s="49" t="n">
        <x:v>4.1786</x:v>
      </x:c>
      <x:c r="AB808" s="49" t="n">
        <x:v>1.5</x:v>
      </x:c>
      <x:c r="AC808" s="49"/>
      <x:c r="AD808" s="49"/>
      <x:c r="AE808" s="49"/>
      <x:c r="AF808" s="49"/>
      <x:c r="AG808" s="49"/>
      <x:c r="AH808" s="49"/>
      <x:c r="AI808" s="49"/>
      <x:c r="AJ808" s="49"/>
      <x:c r="AK808" s="49"/>
      <x:c r="AL808" s="49"/>
      <x:c r="AM808" s="49"/>
      <x:c r="AN808" s="49"/>
      <x:c r="AO808" s="49"/>
      <x:c r="AP808" s="49"/>
      <x:c r="AQ808" s="49"/>
      <x:c r="AR808" s="49"/>
      <x:c r="AS808" s="49"/>
      <x:c r="AT808" s="49"/>
      <x:c r="AU808" s="49"/>
      <x:c r="AV808" s="49" t="str">
        <x:v>Titan007/V3</x:v>
      </x:c>
      <x:c r="AW808" s="49" t="str">
        <x:v>可投</x:v>
      </x:c>
      <x:c r="AX808" s="49"/>
      <x:c r="AY808" s="49"/>
    </x:row>
    <x:row r="809" ht="22" customHeight="1">
      <x:c r="A809" s="49" t="str">
        <x:v>2026-10-07</x:v>
      </x:c>
      <x:c r="B809" s="49" t="str">
        <x:v>2026-10-07 19:30:00</x:v>
      </x:c>
      <x:c r="C809" s="49" t="str">
        <x:v>CLUB_LEAGUE</x:v>
      </x:c>
      <x:c r="D809" s="49"/>
      <x:c r="E809" s="49" t="str">
        <x:v>中甲</x:v>
      </x:c>
      <x:c r="F809" s="49" t="str">
        <x:v>南京城市 vs 陕西联合月亮泊队</x:v>
      </x:c>
      <x:c r="G809" s="60" t="n">
        <x:v>0.99</x:v>
      </x:c>
      <x:c r="H809" s="60" t="n">
        <x:v>-0.25</x:v>
      </x:c>
      <x:c r="I809" s="60" t="n">
        <x:v>0.77</x:v>
      </x:c>
      <x:c r="J809" s="49" t="str">
        <x:v>0.99/-0.25/0.77</x:v>
      </x:c>
      <x:c r="K809" s="49" t="str">
        <x:v>反向</x:v>
      </x:c>
      <x:c r="L809" s="49" t="str">
        <x:v>陕西联合月亮泊队（反向=上盘）</x:v>
      </x:c>
      <x:c r="M809" s="61" t="n">
        <x:v>0.5920000000000001</x:v>
      </x:c>
      <x:c r="N809" s="49" t="str">
        <x:v>可投；通过：综合胜率59.2% &gt;= 阈值58.5%；风控状态A-正常态</x:v>
      </x:c>
      <x:c r="O809" s="49" t="str">
        <x:v>1-4</x:v>
      </x:c>
      <x:c r="P809" s="49" t="str">
        <x:v>已结算</x:v>
      </x:c>
      <x:c r="Q809" s="49" t="str">
        <x:v>红</x:v>
      </x:c>
      <x:c r="R809" s="50" t="n">
        <x:v>0.77</x:v>
      </x:c>
      <x:c r="S809" s="50" t="n">
        <x:v>0.77</x:v>
      </x:c>
      <x:c r="T809" s="49" t="str">
        <x:v>D:\codex\v3_legacy\outputs\football_odds_trader\raw\titan007\20261007\20261007_083450_titan007_odds_snapshot.csv</x:v>
      </x:c>
      <x:c r="U809" s="49"/>
      <x:c r="V809" s="50"/>
      <x:c r="W809" s="50"/>
      <x:c r="X809" s="49" t="n">
        <x:v>-0.25</x:v>
      </x:c>
      <x:c r="Y809" s="49" t="n">
        <x:v>0.77</x:v>
      </x:c>
      <x:c r="Z809" s="49" t="n">
        <x:v>3.41</x:v>
      </x:c>
      <x:c r="AA809" s="49" t="n">
        <x:v>3.2471</x:v>
      </x:c>
      <x:c r="AB809" s="49" t="n">
        <x:v>1.9917</x:v>
      </x:c>
      <x:c r="AC809" s="49"/>
      <x:c r="AD809" s="49"/>
      <x:c r="AE809" s="49"/>
      <x:c r="AF809" s="49"/>
      <x:c r="AG809" s="49"/>
      <x:c r="AH809" s="49"/>
      <x:c r="AI809" s="49"/>
      <x:c r="AJ809" s="49"/>
      <x:c r="AK809" s="49"/>
      <x:c r="AL809" s="49"/>
      <x:c r="AM809" s="49"/>
      <x:c r="AN809" s="49"/>
      <x:c r="AO809" s="49"/>
      <x:c r="AP809" s="49"/>
      <x:c r="AQ809" s="49"/>
      <x:c r="AR809" s="49"/>
      <x:c r="AS809" s="49"/>
      <x:c r="AT809" s="49"/>
      <x:c r="AU809" s="49"/>
      <x:c r="AV809" s="49" t="str">
        <x:v>Titan007/V3</x:v>
      </x:c>
      <x:c r="AW809" s="49" t="str">
        <x:v>可投</x:v>
      </x:c>
      <x:c r="AX809" s="49"/>
      <x:c r="AY809" s="49"/>
    </x:row>
    <x:row r="810" ht="22" customHeight="1">
      <x:c r="A810" s="49" t="str">
        <x:v>2026-10-07</x:v>
      </x:c>
      <x:c r="B810" s="49" t="str">
        <x:v>2026-10-08 07:00:00</x:v>
      </x:c>
      <x:c r="C810" s="49" t="str">
        <x:v>CLUB_LEAGUE</x:v>
      </x:c>
      <x:c r="D810" s="49"/>
      <x:c r="E810" s="49" t="str">
        <x:v>美甲</x:v>
      </x:c>
      <x:c r="F810" s="49" t="str">
        <x:v>那不勒斯FC vs 里士满踢球者</x:v>
      </x:c>
      <x:c r="G810" s="60" t="n">
        <x:v>0.78</x:v>
      </x:c>
      <x:c r="H810" s="60" t="n">
        <x:v>0.75</x:v>
      </x:c>
      <x:c r="I810" s="60" t="n">
        <x:v>1.03</x:v>
      </x:c>
      <x:c r="J810" s="49" t="str">
        <x:v>0.78/0.75/1.03</x:v>
      </x:c>
      <x:c r="K810" s="49" t="str">
        <x:v>正向</x:v>
      </x:c>
      <x:c r="L810" s="49" t="str">
        <x:v>里士满踢球者（下盘）</x:v>
      </x:c>
      <x:c r="M810" s="61" t="n">
        <x:v>0.584</x:v>
      </x:c>
      <x:c r="N810" s="49" t="str">
        <x:v>可投；通过：综合胜率58.4% &gt;= 阈值51.3%；风控状态A-正常态</x:v>
      </x:c>
      <x:c r="O810" s="49" t="str">
        <x:v>0-0</x:v>
      </x:c>
      <x:c r="P810" s="49" t="str">
        <x:v>未开赛</x:v>
      </x:c>
      <x:c r="Q810" s="49"/>
      <x:c r="R810" s="50" t="n">
        <x:v>1.03</x:v>
      </x:c>
      <x:c r="S810" s="50"/>
      <x:c r="T810" s="49" t="str">
        <x:v>D:\codex\v3_legacy\outputs\football_odds_trader\raw\titan007\20261007\20261007_083450_titan007_odds_snapshot.csv</x:v>
      </x:c>
      <x:c r="U810" s="49"/>
      <x:c r="V810" s="50"/>
      <x:c r="W810" s="50"/>
      <x:c r="X810" s="49" t="n">
        <x:v>0.75</x:v>
      </x:c>
      <x:c r="Y810" s="49" t="n">
        <x:v>1.03</x:v>
      </x:c>
      <x:c r="Z810" s="49" t="n">
        <x:v>1.5904</x:v>
      </x:c>
      <x:c r="AA810" s="49" t="n">
        <x:v>3.9664</x:v>
      </x:c>
      <x:c r="AB810" s="49" t="n">
        <x:v>4.3509</x:v>
      </x:c>
      <x:c r="AC810" s="49"/>
      <x:c r="AD810" s="49"/>
      <x:c r="AE810" s="49"/>
      <x:c r="AF810" s="49"/>
      <x:c r="AG810" s="49"/>
      <x:c r="AH810" s="49"/>
      <x:c r="AI810" s="49"/>
      <x:c r="AJ810" s="49"/>
      <x:c r="AK810" s="49"/>
      <x:c r="AL810" s="49"/>
      <x:c r="AM810" s="49"/>
      <x:c r="AN810" s="49"/>
      <x:c r="AO810" s="49"/>
      <x:c r="AP810" s="49"/>
      <x:c r="AQ810" s="49"/>
      <x:c r="AR810" s="49"/>
      <x:c r="AS810" s="49"/>
      <x:c r="AT810" s="49"/>
      <x:c r="AU810" s="49"/>
      <x:c r="AV810" s="49" t="str">
        <x:v>Titan007/V3</x:v>
      </x:c>
      <x:c r="AW810" s="49" t="str">
        <x:v>可投</x:v>
      </x:c>
      <x:c r="AX810" s="49"/>
      <x:c r="AY810" s="49"/>
    </x:row>
    <x:row r="811" ht="22" customHeight="1">
      <x:c r="A811" s="49" t="str">
        <x:v>2026-10-07</x:v>
      </x:c>
      <x:c r="B811" s="49" t="str">
        <x:v>2026-10-07 23:00:00</x:v>
      </x:c>
      <x:c r="C811" s="49" t="str">
        <x:v>UNKNOWN</x:v>
      </x:c>
      <x:c r="D811" s="49"/>
      <x:c r="E811" s="49" t="str">
        <x:v>伊拉联</x:v>
      </x:c>
      <x:c r="F811" s="49" t="str">
        <x:v>摩苏尔足球俱乐部 vs 巴格达空军</x:v>
      </x:c>
      <x:c r="G811" s="60" t="n">
        <x:v>1</x:v>
      </x:c>
      <x:c r="H811" s="60" t="n">
        <x:v>-0.25</x:v>
      </x:c>
      <x:c r="I811" s="60" t="n">
        <x:v>0.8</x:v>
      </x:c>
      <x:c r="J811" s="49" t="str">
        <x:v>1.0/-0.25/0.8</x:v>
      </x:c>
      <x:c r="K811" s="49" t="str">
        <x:v>反向</x:v>
      </x:c>
      <x:c r="L811" s="49" t="str">
        <x:v>巴格达空军（反向=上盘）</x:v>
      </x:c>
      <x:c r="M811" s="61" t="n">
        <x:v>0.5920000000000001</x:v>
      </x:c>
      <x:c r="N811" s="49" t="str">
        <x:v>可投；通过：综合胜率59.2% &gt;= 阈值57.6%；风控状态A-正常态</x:v>
      </x:c>
      <x:c r="O811" s="49" t="str">
        <x:v>0-3</x:v>
      </x:c>
      <x:c r="P811" s="49" t="str">
        <x:v>已结算</x:v>
      </x:c>
      <x:c r="Q811" s="49" t="str">
        <x:v>红</x:v>
      </x:c>
      <x:c r="R811" s="50" t="n">
        <x:v>0.8</x:v>
      </x:c>
      <x:c r="S811" s="50" t="n">
        <x:v>0.8</x:v>
      </x:c>
      <x:c r="T811" s="49" t="str">
        <x:v>D:\codex\v3_legacy\outputs\football_odds_trader\raw\titan007\20261007\20261007_083450_titan007_odds_snapshot.csv</x:v>
      </x:c>
      <x:c r="U811" s="49"/>
      <x:c r="V811" s="50"/>
      <x:c r="W811" s="50"/>
      <x:c r="X811" s="49" t="n">
        <x:v>-0.25</x:v>
      </x:c>
      <x:c r="Y811" s="49" t="n">
        <x:v>0.8</x:v>
      </x:c>
      <x:c r="Z811" s="49" t="n">
        <x:v>3.4165</x:v>
      </x:c>
      <x:c r="AA811" s="49" t="n">
        <x:v>3.1137</x:v>
      </x:c>
      <x:c r="AB811" s="49" t="n">
        <x:v>2.0152</x:v>
      </x:c>
      <x:c r="AC811" s="49"/>
      <x:c r="AD811" s="49"/>
      <x:c r="AE811" s="49"/>
      <x:c r="AF811" s="49"/>
      <x:c r="AG811" s="49"/>
      <x:c r="AH811" s="49"/>
      <x:c r="AI811" s="49"/>
      <x:c r="AJ811" s="49"/>
      <x:c r="AK811" s="49"/>
      <x:c r="AL811" s="49"/>
      <x:c r="AM811" s="49"/>
      <x:c r="AN811" s="49"/>
      <x:c r="AO811" s="49"/>
      <x:c r="AP811" s="49"/>
      <x:c r="AQ811" s="49"/>
      <x:c r="AR811" s="49"/>
      <x:c r="AS811" s="49"/>
      <x:c r="AT811" s="49"/>
      <x:c r="AU811" s="49"/>
      <x:c r="AV811" s="49" t="str">
        <x:v>Titan007/V3</x:v>
      </x:c>
      <x:c r="AW811" s="49" t="str">
        <x:v>可投</x:v>
      </x:c>
      <x:c r="AX811" s="49"/>
      <x:c r="AY811" s="49"/>
    </x:row>
    <x:row r="812" ht="22" customHeight="1">
      <x:c r="A812" s="49" t="str">
        <x:v>2026-10-07</x:v>
      </x:c>
      <x:c r="B812" s="49" t="str">
        <x:v>2026-10-07 17:30:00</x:v>
      </x:c>
      <x:c r="C812" s="49" t="str">
        <x:v>CLUB_CUP</x:v>
      </x:c>
      <x:c r="D812" s="49"/>
      <x:c r="E812" s="49" t="str">
        <x:v>日皇杯</x:v>
      </x:c>
      <x:c r="F812" s="49" t="str">
        <x:v>广岛三箭 vs 磐城FC</x:v>
      </x:c>
      <x:c r="G812" s="60" t="n">
        <x:v>0.82</x:v>
      </x:c>
      <x:c r="H812" s="60" t="n">
        <x:v>1.5</x:v>
      </x:c>
      <x:c r="I812" s="60" t="n">
        <x:v>1</x:v>
      </x:c>
      <x:c r="J812" s="49" t="str">
        <x:v>0.82/1.5/1.0</x:v>
      </x:c>
      <x:c r="K812" s="49" t="str">
        <x:v>反向</x:v>
      </x:c>
      <x:c r="L812" s="49" t="str">
        <x:v>广岛三箭（反向=上盘）</x:v>
      </x:c>
      <x:c r="M812" s="61" t="n">
        <x:v>0.580523775</x:v>
      </x:c>
      <x:c r="N812" s="49" t="str">
        <x:v>可投；通过：综合胜率57.9% &gt;= 阈值56.9%；风控状态A-正常态；杯赛分层收缩后58.1%仍通过</x:v>
      </x:c>
      <x:c r="O812" s="49" t="str">
        <x:v>4-0</x:v>
      </x:c>
      <x:c r="P812" s="49" t="str">
        <x:v>已结算</x:v>
      </x:c>
      <x:c r="Q812" s="49" t="str">
        <x:v>红</x:v>
      </x:c>
      <x:c r="R812" s="50" t="n">
        <x:v>0.82</x:v>
      </x:c>
      <x:c r="S812" s="50" t="n">
        <x:v>0.82</x:v>
      </x:c>
      <x:c r="T812" s="49" t="str">
        <x:v>D:\codex\v3_legacy\outputs\football_odds_trader\raw\titan007\20261007\20261007_083450_titan007_odds_snapshot.csv</x:v>
      </x:c>
      <x:c r="U812" s="49"/>
      <x:c r="V812" s="50"/>
      <x:c r="W812" s="50"/>
      <x:c r="X812" s="49" t="n">
        <x:v>1.5</x:v>
      </x:c>
      <x:c r="Y812" s="49" t="n">
        <x:v>0.82</x:v>
      </x:c>
      <x:c r="Z812" s="49" t="n">
        <x:v>1.2738</x:v>
      </x:c>
      <x:c r="AA812" s="49" t="n">
        <x:v>5.3003</x:v>
      </x:c>
      <x:c r="AB812" s="49" t="n">
        <x:v>8.592</x:v>
      </x:c>
      <x:c r="AC812" s="49"/>
      <x:c r="AD812" s="49"/>
      <x:c r="AE812" s="49"/>
      <x:c r="AF812" s="49"/>
      <x:c r="AG812" s="49"/>
      <x:c r="AH812" s="49"/>
      <x:c r="AI812" s="49"/>
      <x:c r="AJ812" s="49"/>
      <x:c r="AK812" s="49"/>
      <x:c r="AL812" s="49"/>
      <x:c r="AM812" s="49"/>
      <x:c r="AN812" s="49"/>
      <x:c r="AO812" s="49"/>
      <x:c r="AP812" s="49"/>
      <x:c r="AQ812" s="49"/>
      <x:c r="AR812" s="49"/>
      <x:c r="AS812" s="49"/>
      <x:c r="AT812" s="49"/>
      <x:c r="AU812" s="49"/>
      <x:c r="AV812" s="49" t="str">
        <x:v>Titan007/V3</x:v>
      </x:c>
      <x:c r="AW812" s="49" t="str">
        <x:v>可投</x:v>
      </x:c>
      <x:c r="AX812" s="49"/>
      <x:c r="AY812" s="49"/>
    </x:row>
    <x:row r="813" ht="22" customHeight="1">
      <x:c r="A813" s="49" t="str">
        <x:v>2026-10-07</x:v>
      </x:c>
      <x:c r="B813" s="49" t="str">
        <x:v>2026-10-07 17:30:00</x:v>
      </x:c>
      <x:c r="C813" s="49" t="str">
        <x:v>CLUB_CUP</x:v>
      </x:c>
      <x:c r="D813" s="49"/>
      <x:c r="E813" s="49" t="str">
        <x:v>日皇杯</x:v>
      </x:c>
      <x:c r="F813" s="49" t="str">
        <x:v>福冈黄蜂 vs 横滨FC</x:v>
      </x:c>
      <x:c r="G813" s="60" t="n">
        <x:v>0.8</x:v>
      </x:c>
      <x:c r="H813" s="60" t="n">
        <x:v>0.25</x:v>
      </x:c>
      <x:c r="I813" s="60" t="n">
        <x:v>1.02</x:v>
      </x:c>
      <x:c r="J813" s="49" t="str">
        <x:v>0.8/0.25/1.02</x:v>
      </x:c>
      <x:c r="K813" s="49" t="str">
        <x:v>反向</x:v>
      </x:c>
      <x:c r="L813" s="49" t="str">
        <x:v>福冈黄蜂（反向=上盘）</x:v>
      </x:c>
      <x:c r="M813" s="61" t="n">
        <x:v>0.580523775</x:v>
      </x:c>
      <x:c r="N813" s="49" t="str">
        <x:v>可投；通过：综合胜率57.9% &gt;= 阈值57.6%；风控状态A-正常态；杯赛分层收缩后58.1%仍通过</x:v>
      </x:c>
      <x:c r="O813" s="49" t="str">
        <x:v>0-1</x:v>
      </x:c>
      <x:c r="P813" s="49" t="str">
        <x:v>已结算</x:v>
      </x:c>
      <x:c r="Q813" s="49" t="str">
        <x:v>黑</x:v>
      </x:c>
      <x:c r="R813" s="50" t="n">
        <x:v>0.8</x:v>
      </x:c>
      <x:c r="S813" s="50" t="n">
        <x:v>-1</x:v>
      </x:c>
      <x:c r="T813" s="49" t="str">
        <x:v>D:\codex\v3_legacy\outputs\football_odds_trader\raw\titan007\20261007\20261007_083450_titan007_odds_snapshot.csv</x:v>
      </x:c>
      <x:c r="U813" s="49"/>
      <x:c r="V813" s="50"/>
      <x:c r="W813" s="50"/>
      <x:c r="X813" s="49" t="n">
        <x:v>0.25</x:v>
      </x:c>
      <x:c r="Y813" s="49" t="n">
        <x:v>0.8</x:v>
      </x:c>
      <x:c r="Z813" s="49" t="n">
        <x:v>2.196</x:v>
      </x:c>
      <x:c r="AA813" s="49" t="n">
        <x:v>3.024</x:v>
      </x:c>
      <x:c r="AB813" s="49" t="n">
        <x:v>3.2618</x:v>
      </x:c>
      <x:c r="AC813" s="49"/>
      <x:c r="AD813" s="49"/>
      <x:c r="AE813" s="49"/>
      <x:c r="AF813" s="49"/>
      <x:c r="AG813" s="49"/>
      <x:c r="AH813" s="49"/>
      <x:c r="AI813" s="49"/>
      <x:c r="AJ813" s="49"/>
      <x:c r="AK813" s="49"/>
      <x:c r="AL813" s="49"/>
      <x:c r="AM813" s="49"/>
      <x:c r="AN813" s="49"/>
      <x:c r="AO813" s="49"/>
      <x:c r="AP813" s="49"/>
      <x:c r="AQ813" s="49"/>
      <x:c r="AR813" s="49"/>
      <x:c r="AS813" s="49"/>
      <x:c r="AT813" s="49"/>
      <x:c r="AU813" s="49"/>
      <x:c r="AV813" s="49" t="str">
        <x:v>Titan007/V3</x:v>
      </x:c>
      <x:c r="AW813" s="49" t="str">
        <x:v>可投</x:v>
      </x:c>
      <x:c r="AX813" s="49"/>
      <x:c r="AY813" s="49"/>
    </x:row>
    <x:row r="814" ht="22" customHeight="1">
      <x:c r="A814" s="49" t="str">
        <x:v>2026-10-07</x:v>
      </x:c>
      <x:c r="B814" s="49" t="str">
        <x:v>2026-10-08 01:00:00</x:v>
      </x:c>
      <x:c r="C814" s="49" t="str">
        <x:v>CLUB_CUP</x:v>
      </x:c>
      <x:c r="D814" s="49"/>
      <x:c r="E814" s="49" t="str">
        <x:v>土杯</x:v>
      </x:c>
      <x:c r="F814" s="49" t="str">
        <x:v>埃斯基谢希尔体育 vs 阿克谢希尔士邦</x:v>
      </x:c>
      <x:c r="G814" s="60" t="n">
        <x:v>0.83</x:v>
      </x:c>
      <x:c r="H814" s="60" t="n">
        <x:v>2.25</x:v>
      </x:c>
      <x:c r="I814" s="60" t="n">
        <x:v>0.98</x:v>
      </x:c>
      <x:c r="J814" s="49" t="str">
        <x:v>0.83/2.25/0.98</x:v>
      </x:c>
      <x:c r="K814" s="49" t="str">
        <x:v>反向</x:v>
      </x:c>
      <x:c r="L814" s="49" t="str">
        <x:v>埃斯基谢希尔体育（反向=上盘）</x:v>
      </x:c>
      <x:c r="M814" s="61" t="n">
        <x:v>0.57754539</x:v>
      </x:c>
      <x:c r="N814" s="49" t="str">
        <x:v>可投；通过：综合胜率57.6% &gt;= 阈值56.6%；风控状态A-正常态；杯赛分层收缩后57.8%仍通过</x:v>
      </x:c>
      <x:c r="O814" s="49" t="str">
        <x:v>4-1</x:v>
      </x:c>
      <x:c r="P814" s="49" t="str">
        <x:v>已结算</x:v>
      </x:c>
      <x:c r="Q814" s="49" t="str">
        <x:v>红</x:v>
      </x:c>
      <x:c r="R814" s="50" t="n">
        <x:v>0.83</x:v>
      </x:c>
      <x:c r="S814" s="50" t="n">
        <x:v>0.83</x:v>
      </x:c>
      <x:c r="T814" s="49" t="str">
        <x:v>D:\codex\v3_legacy\outputs\football_odds_trader\raw\titan007\20261007\20261007_083450_titan007_odds_snapshot.csv</x:v>
      </x:c>
      <x:c r="U814" s="49"/>
      <x:c r="V814" s="50"/>
      <x:c r="W814" s="50"/>
      <x:c r="X814" s="49" t="n">
        <x:v>2.25</x:v>
      </x:c>
      <x:c r="Y814" s="49" t="n">
        <x:v>0.83</x:v>
      </x:c>
      <x:c r="Z814" s="49" t="n">
        <x:v>1.1162</x:v>
      </x:c>
      <x:c r="AA814" s="49" t="n">
        <x:v>6.951</x:v>
      </x:c>
      <x:c r="AB814" s="49" t="n">
        <x:v>19.5745</x:v>
      </x:c>
      <x:c r="AC814" s="49"/>
      <x:c r="AD814" s="49"/>
      <x:c r="AE814" s="49"/>
      <x:c r="AF814" s="49"/>
      <x:c r="AG814" s="49"/>
      <x:c r="AH814" s="49"/>
      <x:c r="AI814" s="49"/>
      <x:c r="AJ814" s="49"/>
      <x:c r="AK814" s="49"/>
      <x:c r="AL814" s="49"/>
      <x:c r="AM814" s="49"/>
      <x:c r="AN814" s="49"/>
      <x:c r="AO814" s="49"/>
      <x:c r="AP814" s="49"/>
      <x:c r="AQ814" s="49"/>
      <x:c r="AR814" s="49"/>
      <x:c r="AS814" s="49"/>
      <x:c r="AT814" s="49"/>
      <x:c r="AU814" s="49"/>
      <x:c r="AV814" s="49" t="str">
        <x:v>Titan007/V3</x:v>
      </x:c>
      <x:c r="AW814" s="49" t="str">
        <x:v>可投</x:v>
      </x:c>
      <x:c r="AX814" s="49"/>
      <x:c r="AY814" s="49"/>
    </x:row>
    <x:row r="815" ht="22" customHeight="1">
      <x:c r="A815" s="49" t="str">
        <x:v>2026-10-07</x:v>
      </x:c>
      <x:c r="B815" s="49" t="str">
        <x:v>2026-10-07 19:00:00</x:v>
      </x:c>
      <x:c r="C815" s="49" t="str">
        <x:v>CLUB_CUP</x:v>
      </x:c>
      <x:c r="D815" s="49"/>
      <x:c r="E815" s="49" t="str">
        <x:v>土杯</x:v>
      </x:c>
      <x:c r="F815" s="49" t="str">
        <x:v>奥曼尼纽 vs 新梅尔辛</x:v>
      </x:c>
      <x:c r="G815" s="60" t="n">
        <x:v>0.85</x:v>
      </x:c>
      <x:c r="H815" s="60" t="n">
        <x:v>0.75</x:v>
      </x:c>
      <x:c r="I815" s="60" t="n">
        <x:v>0.95</x:v>
      </x:c>
      <x:c r="J815" s="49" t="str">
        <x:v>0.85/0.75/0.95</x:v>
      </x:c>
      <x:c r="K815" s="49" t="str">
        <x:v>反向</x:v>
      </x:c>
      <x:c r="L815" s="49" t="str">
        <x:v>奥曼尼纽（反向=上盘）</x:v>
      </x:c>
      <x:c r="M815" s="61" t="n">
        <x:v>0.57754539</x:v>
      </x:c>
      <x:c r="N815" s="49" t="str">
        <x:v>可投；通过：综合胜率57.6% &gt;= 阈值56.1%；风控状态A-正常态；杯赛分层收缩后57.8%仍通过</x:v>
      </x:c>
      <x:c r="O815" s="49" t="str">
        <x:v>0-3</x:v>
      </x:c>
      <x:c r="P815" s="49" t="str">
        <x:v>已结算</x:v>
      </x:c>
      <x:c r="Q815" s="49" t="str">
        <x:v>黑</x:v>
      </x:c>
      <x:c r="R815" s="50" t="n">
        <x:v>0.85</x:v>
      </x:c>
      <x:c r="S815" s="50" t="n">
        <x:v>-1</x:v>
      </x:c>
      <x:c r="T815" s="49" t="str">
        <x:v>D:\codex\v3_legacy\outputs\football_odds_trader\raw\titan007\20261007\20261007_083450_titan007_odds_snapshot.csv</x:v>
      </x:c>
      <x:c r="U815" s="49"/>
      <x:c r="V815" s="50"/>
      <x:c r="W815" s="50"/>
      <x:c r="X815" s="49" t="n">
        <x:v>0.75</x:v>
      </x:c>
      <x:c r="Y815" s="49" t="n">
        <x:v>0.85</x:v>
      </x:c>
      <x:c r="Z815" s="49" t="n">
        <x:v>1.7472</x:v>
      </x:c>
      <x:c r="AA815" s="49" t="n">
        <x:v>3.68</x:v>
      </x:c>
      <x:c r="AB815" s="49" t="n">
        <x:v>4.0128</x:v>
      </x:c>
      <x:c r="AC815" s="49"/>
      <x:c r="AD815" s="49"/>
      <x:c r="AE815" s="49"/>
      <x:c r="AF815" s="49"/>
      <x:c r="AG815" s="49"/>
      <x:c r="AH815" s="49"/>
      <x:c r="AI815" s="49"/>
      <x:c r="AJ815" s="49"/>
      <x:c r="AK815" s="49"/>
      <x:c r="AL815" s="49"/>
      <x:c r="AM815" s="49"/>
      <x:c r="AN815" s="49"/>
      <x:c r="AO815" s="49"/>
      <x:c r="AP815" s="49"/>
      <x:c r="AQ815" s="49"/>
      <x:c r="AR815" s="49"/>
      <x:c r="AS815" s="49"/>
      <x:c r="AT815" s="49"/>
      <x:c r="AU815" s="49"/>
      <x:c r="AV815" s="49" t="str">
        <x:v>Titan007/V3</x:v>
      </x:c>
      <x:c r="AW815" s="49" t="str">
        <x:v>可投</x:v>
      </x:c>
      <x:c r="AX815" s="49"/>
      <x:c r="AY815" s="49"/>
    </x:row>
    <x:row r="816" ht="22" customHeight="1">
      <x:c r="A816" s="49" t="str">
        <x:v>2026-10-07</x:v>
      </x:c>
      <x:c r="B816" s="49" t="str">
        <x:v>2026-10-07 19:00:00</x:v>
      </x:c>
      <x:c r="C816" s="49" t="str">
        <x:v>CLUB_CUP</x:v>
      </x:c>
      <x:c r="D816" s="49"/>
      <x:c r="E816" s="49" t="str">
        <x:v>土杯</x:v>
      </x:c>
      <x:c r="F816" s="49" t="str">
        <x:v>祖古尔达克 vs 杜兹塞</x:v>
      </x:c>
      <x:c r="G816" s="60" t="n">
        <x:v>0.83</x:v>
      </x:c>
      <x:c r="H816" s="60" t="n">
        <x:v>0.25</x:v>
      </x:c>
      <x:c r="I816" s="60" t="n">
        <x:v>0.98</x:v>
      </x:c>
      <x:c r="J816" s="49" t="str">
        <x:v>0.83/0.25/0.98</x:v>
      </x:c>
      <x:c r="K816" s="49" t="str">
        <x:v>反向</x:v>
      </x:c>
      <x:c r="L816" s="49" t="str">
        <x:v>祖古尔达克（反向=上盘）</x:v>
      </x:c>
      <x:c r="M816" s="61" t="n">
        <x:v>0.57754539</x:v>
      </x:c>
      <x:c r="N816" s="49" t="str">
        <x:v>可投；通过：综合胜率57.6% &gt;= 阈值56.6%；风控状态A-正常态；杯赛分层收缩后57.8%仍通过</x:v>
      </x:c>
      <x:c r="O816" s="49" t="str">
        <x:v>0-1</x:v>
      </x:c>
      <x:c r="P816" s="49" t="str">
        <x:v>已结算</x:v>
      </x:c>
      <x:c r="Q816" s="49" t="str">
        <x:v>黑</x:v>
      </x:c>
      <x:c r="R816" s="50" t="n">
        <x:v>0.83</x:v>
      </x:c>
      <x:c r="S816" s="50" t="n">
        <x:v>-1</x:v>
      </x:c>
      <x:c r="T816" s="49" t="str">
        <x:v>D:\codex\v3_legacy\outputs\football_odds_trader\raw\titan007\20261007\20261007_083450_titan007_odds_snapshot.csv</x:v>
      </x:c>
      <x:c r="U816" s="49"/>
      <x:c r="V816" s="50"/>
      <x:c r="W816" s="50"/>
      <x:c r="X816" s="49" t="n">
        <x:v>0.25</x:v>
      </x:c>
      <x:c r="Y816" s="49" t="n">
        <x:v>0.83</x:v>
      </x:c>
      <x:c r="Z816" s="49" t="n">
        <x:v>2.0593</x:v>
      </x:c>
      <x:c r="AA816" s="49" t="n">
        <x:v>3.0997</x:v>
      </x:c>
      <x:c r="AB816" s="49" t="n">
        <x:v>3.3959</x:v>
      </x:c>
      <x:c r="AC816" s="49"/>
      <x:c r="AD816" s="49"/>
      <x:c r="AE816" s="49"/>
      <x:c r="AF816" s="49"/>
      <x:c r="AG816" s="49"/>
      <x:c r="AH816" s="49"/>
      <x:c r="AI816" s="49"/>
      <x:c r="AJ816" s="49"/>
      <x:c r="AK816" s="49"/>
      <x:c r="AL816" s="49"/>
      <x:c r="AM816" s="49"/>
      <x:c r="AN816" s="49"/>
      <x:c r="AO816" s="49"/>
      <x:c r="AP816" s="49"/>
      <x:c r="AQ816" s="49"/>
      <x:c r="AR816" s="49"/>
      <x:c r="AS816" s="49"/>
      <x:c r="AT816" s="49"/>
      <x:c r="AU816" s="49"/>
      <x:c r="AV816" s="49" t="str">
        <x:v>Titan007/V3</x:v>
      </x:c>
      <x:c r="AW816" s="49" t="str">
        <x:v>可投</x:v>
      </x:c>
      <x:c r="AX816" s="49"/>
      <x:c r="AY816" s="49"/>
    </x:row>
    <x:row r="817" ht="22" customHeight="1">
      <x:c r="A817" s="49" t="str">
        <x:v>2026-10-07</x:v>
      </x:c>
      <x:c r="B817" s="49" t="str">
        <x:v>2026-10-08 00:00:00</x:v>
      </x:c>
      <x:c r="C817" s="49" t="str">
        <x:v>CLUB_CUP</x:v>
      </x:c>
      <x:c r="D817" s="49"/>
      <x:c r="E817" s="49" t="str">
        <x:v>巴王杯</x:v>
      </x:c>
      <x:c r="F817" s="49" t="str">
        <x:v>布赛廷 vs 卡拉利</x:v>
      </x:c>
      <x:c r="G817" s="60" t="n">
        <x:v>0.8</x:v>
      </x:c>
      <x:c r="H817" s="60" t="n">
        <x:v>1.5</x:v>
      </x:c>
      <x:c r="I817" s="60" t="n">
        <x:v>1</x:v>
      </x:c>
      <x:c r="J817" s="49" t="str">
        <x:v>0.8/1.5/1.0</x:v>
      </x:c>
      <x:c r="K817" s="49" t="str">
        <x:v>反向</x:v>
      </x:c>
      <x:c r="L817" s="49" t="str">
        <x:v>布赛廷（反向=上盘）</x:v>
      </x:c>
      <x:c r="M817" s="61" t="n">
        <x:v>0.5909053900000001</x:v>
      </x:c>
      <x:c r="N817" s="49" t="str">
        <x:v>可投；通过：综合胜率59.2% &gt;= 阈值57.6%；风控状态A-正常态；杯赛分层收缩后59.1%仍通过</x:v>
      </x:c>
      <x:c r="O817" s="49" t="str">
        <x:v>1-1</x:v>
      </x:c>
      <x:c r="P817" s="49" t="str">
        <x:v>已结算</x:v>
      </x:c>
      <x:c r="Q817" s="49" t="str">
        <x:v>黑</x:v>
      </x:c>
      <x:c r="R817" s="50" t="n">
        <x:v>0.8</x:v>
      </x:c>
      <x:c r="S817" s="50" t="n">
        <x:v>-1</x:v>
      </x:c>
      <x:c r="T817" s="49" t="str">
        <x:v>D:\codex\v3_legacy\outputs\football_odds_trader\raw\titan007\20261007\20261007_083450_titan007_odds_snapshot.csv</x:v>
      </x:c>
      <x:c r="U817" s="49"/>
      <x:c r="V817" s="50"/>
      <x:c r="W817" s="50"/>
      <x:c r="X817" s="49" t="n">
        <x:v>1.5</x:v>
      </x:c>
      <x:c r="Y817" s="49" t="n">
        <x:v>0.8</x:v>
      </x:c>
      <x:c r="Z817" s="49" t="n">
        <x:v>1.2529</x:v>
      </x:c>
      <x:c r="AA817" s="49" t="n">
        <x:v>5.2477</x:v>
      </x:c>
      <x:c r="AB817" s="49" t="n">
        <x:v>8.5154</x:v>
      </x:c>
      <x:c r="AC817" s="49"/>
      <x:c r="AD817" s="49"/>
      <x:c r="AE817" s="49"/>
      <x:c r="AF817" s="49"/>
      <x:c r="AG817" s="49"/>
      <x:c r="AH817" s="49"/>
      <x:c r="AI817" s="49"/>
      <x:c r="AJ817" s="49"/>
      <x:c r="AK817" s="49"/>
      <x:c r="AL817" s="49"/>
      <x:c r="AM817" s="49"/>
      <x:c r="AN817" s="49"/>
      <x:c r="AO817" s="49"/>
      <x:c r="AP817" s="49"/>
      <x:c r="AQ817" s="49"/>
      <x:c r="AR817" s="49"/>
      <x:c r="AS817" s="49"/>
      <x:c r="AT817" s="49"/>
      <x:c r="AU817" s="49"/>
      <x:c r="AV817" s="49" t="str">
        <x:v>Titan007/V3</x:v>
      </x:c>
      <x:c r="AW817" s="49" t="str">
        <x:v>可投</x:v>
      </x:c>
      <x:c r="AX817" s="49"/>
      <x:c r="AY817" s="49"/>
    </x:row>
    <x:row r="818" ht="22" customHeight="1">
      <x:c r="A818" s="49" t="str">
        <x:v>2026-10-07</x:v>
      </x:c>
      <x:c r="B818" s="49" t="str">
        <x:v>2026-10-07 21:00:00</x:v>
      </x:c>
      <x:c r="C818" s="49" t="str">
        <x:v>CLUB_CUP</x:v>
      </x:c>
      <x:c r="D818" s="49"/>
      <x:c r="E818" s="49" t="str">
        <x:v>意丁杯</x:v>
      </x:c>
      <x:c r="F818" s="49" t="str">
        <x:v>华伦扎纳 vs ACSD萨鲁佐</x:v>
      </x:c>
      <x:c r="G818" s="60" t="n">
        <x:v>0.78</x:v>
      </x:c>
      <x:c r="H818" s="60" t="n">
        <x:v>0.25</x:v>
      </x:c>
      <x:c r="I818" s="60" t="n">
        <x:v>1.03</x:v>
      </x:c>
      <x:c r="J818" s="49" t="str">
        <x:v>0.78/0.25/1.03</x:v>
      </x:c>
      <x:c r="K818" s="49" t="str">
        <x:v>反向</x:v>
      </x:c>
      <x:c r="L818" s="49" t="str">
        <x:v>华伦扎纳（反向=上盘）</x:v>
      </x:c>
      <x:c r="M818" s="61" t="n">
        <x:v>0.5819257849999999</x:v>
      </x:c>
      <x:c r="N818" s="49" t="str">
        <x:v>可投；通过：综合胜率58.4% &gt;= 阈值58.2%；风控状态A-正常态；杯赛分层收缩后58.2%仍通过</x:v>
      </x:c>
      <x:c r="O818" s="49" t="str">
        <x:v>3-2</x:v>
      </x:c>
      <x:c r="P818" s="49" t="str">
        <x:v>已结算</x:v>
      </x:c>
      <x:c r="Q818" s="49" t="str">
        <x:v>红</x:v>
      </x:c>
      <x:c r="R818" s="50" t="n">
        <x:v>0.78</x:v>
      </x:c>
      <x:c r="S818" s="50" t="n">
        <x:v>0.78</x:v>
      </x:c>
      <x:c r="T818" s="49" t="str">
        <x:v>D:\codex\v3_legacy\outputs\football_odds_trader\raw\titan007\20261007\20261007_083450_titan007_odds_snapshot.csv</x:v>
      </x:c>
      <x:c r="U818" s="49"/>
      <x:c r="V818" s="50"/>
      <x:c r="W818" s="50"/>
      <x:c r="X818" s="49" t="n">
        <x:v>0.25</x:v>
      </x:c>
      <x:c r="Y818" s="49" t="n">
        <x:v>0.78</x:v>
      </x:c>
      <x:c r="Z818" s="49" t="n">
        <x:v>2.0017</x:v>
      </x:c>
      <x:c r="AA818" s="49" t="n">
        <x:v>3.2444</x:v>
      </x:c>
      <x:c r="AB818" s="49" t="n">
        <x:v>3.304</x:v>
      </x:c>
      <x:c r="AC818" s="49"/>
      <x:c r="AD818" s="49"/>
      <x:c r="AE818" s="49"/>
      <x:c r="AF818" s="49"/>
      <x:c r="AG818" s="49"/>
      <x:c r="AH818" s="49"/>
      <x:c r="AI818" s="49"/>
      <x:c r="AJ818" s="49"/>
      <x:c r="AK818" s="49"/>
      <x:c r="AL818" s="49"/>
      <x:c r="AM818" s="49"/>
      <x:c r="AN818" s="49"/>
      <x:c r="AO818" s="49"/>
      <x:c r="AP818" s="49"/>
      <x:c r="AQ818" s="49"/>
      <x:c r="AR818" s="49"/>
      <x:c r="AS818" s="49"/>
      <x:c r="AT818" s="49"/>
      <x:c r="AU818" s="49"/>
      <x:c r="AV818" s="49" t="str">
        <x:v>Titan007/V3</x:v>
      </x:c>
      <x:c r="AW818" s="49" t="str">
        <x:v>可投</x:v>
      </x:c>
      <x:c r="AX818" s="49"/>
      <x:c r="AY818" s="49"/>
    </x:row>
    <x:row r="819" ht="22" customHeight="1">
      <x:c r="A819" s="49" t="str">
        <x:v>2026-10-07</x:v>
      </x:c>
      <x:c r="B819" s="49" t="str">
        <x:v>2026-10-08 00:30:00</x:v>
      </x:c>
      <x:c r="C819" s="49" t="str">
        <x:v>CLUB_CUP</x:v>
      </x:c>
      <x:c r="D819" s="49"/>
      <x:c r="E819" s="49" t="str">
        <x:v>意丁杯</x:v>
      </x:c>
      <x:c r="F819" s="49" t="str">
        <x:v>ASD塞拉韦扎足球 vs 卢捷斯</x:v>
      </x:c>
      <x:c r="G819" s="60" t="n">
        <x:v>0.98</x:v>
      </x:c>
      <x:c r="H819" s="60" t="n">
        <x:v>0.25</x:v>
      </x:c>
      <x:c r="I819" s="60" t="n">
        <x:v>0.83</x:v>
      </x:c>
      <x:c r="J819" s="49" t="str">
        <x:v>0.98/0.25/0.83</x:v>
      </x:c>
      <x:c r="K819" s="49" t="str">
        <x:v>正向</x:v>
      </x:c>
      <x:c r="L819" s="49" t="str">
        <x:v>ASD塞拉韦扎足球（上盘）</x:v>
      </x:c>
      <x:c r="M819" s="61" t="n">
        <x:v>0.552215</x:v>
      </x:c>
      <x:c r="N819" s="49" t="str">
        <x:v>可投；通过：综合胜率55.9% &gt;= 阈值52.5%；风控状态A-正常态；杯赛分层收缩后55.2%仍通过</x:v>
      </x:c>
      <x:c r="O819" s="49" t="str">
        <x:v>1-1</x:v>
      </x:c>
      <x:c r="P819" s="49" t="str">
        <x:v>已结算</x:v>
      </x:c>
      <x:c r="Q819" s="49" t="str">
        <x:v>半黑</x:v>
      </x:c>
      <x:c r="R819" s="50" t="n">
        <x:v>0.98</x:v>
      </x:c>
      <x:c r="S819" s="50" t="n">
        <x:v>-0.5</x:v>
      </x:c>
      <x:c r="T819" s="49" t="str">
        <x:v>D:\codex\v3_legacy\outputs\football_odds_trader\raw\titan007\20261007\20261007_083450_titan007_odds_snapshot.csv</x:v>
      </x:c>
      <x:c r="U819" s="49"/>
      <x:c r="V819" s="50"/>
      <x:c r="W819" s="50"/>
      <x:c r="X819" s="49" t="n">
        <x:v>0.25</x:v>
      </x:c>
      <x:c r="Y819" s="49" t="n">
        <x:v>0.98</x:v>
      </x:c>
      <x:c r="Z819" s="49" t="n">
        <x:v>2.2486</x:v>
      </x:c>
      <x:c r="AA819" s="49" t="n">
        <x:v>3.0259</x:v>
      </x:c>
      <x:c r="AB819" s="49" t="n">
        <x:v>2.9797</x:v>
      </x:c>
      <x:c r="AC819" s="49"/>
      <x:c r="AD819" s="49"/>
      <x:c r="AE819" s="49"/>
      <x:c r="AF819" s="49"/>
      <x:c r="AG819" s="49"/>
      <x:c r="AH819" s="49"/>
      <x:c r="AI819" s="49"/>
      <x:c r="AJ819" s="49"/>
      <x:c r="AK819" s="49"/>
      <x:c r="AL819" s="49"/>
      <x:c r="AM819" s="49"/>
      <x:c r="AN819" s="49"/>
      <x:c r="AO819" s="49"/>
      <x:c r="AP819" s="49"/>
      <x:c r="AQ819" s="49"/>
      <x:c r="AR819" s="49"/>
      <x:c r="AS819" s="49"/>
      <x:c r="AT819" s="49"/>
      <x:c r="AU819" s="49"/>
      <x:c r="AV819" s="49" t="str">
        <x:v>Titan007/V3</x:v>
      </x:c>
      <x:c r="AW819" s="49" t="str">
        <x:v>可投</x:v>
      </x:c>
      <x:c r="AX819" s="49"/>
      <x:c r="AY819" s="49"/>
    </x:row>
    <x:row r="820" ht="22" customHeight="1">
      <x:c r="A820" s="49" t="str">
        <x:v>2026-10-07</x:v>
      </x:c>
      <x:c r="B820" s="49" t="str">
        <x:v>2026-10-07 21:00:00</x:v>
      </x:c>
      <x:c r="C820" s="49" t="str">
        <x:v>CLUB_CUP</x:v>
      </x:c>
      <x:c r="D820" s="49"/>
      <x:c r="E820" s="49" t="str">
        <x:v>意丁杯</x:v>
      </x:c>
      <x:c r="F820" s="49" t="str">
        <x:v>斯莱万特 vs 比斯托伊斯</x:v>
      </x:c>
      <x:c r="G820" s="60" t="n">
        <x:v>0.78</x:v>
      </x:c>
      <x:c r="H820" s="60" t="n">
        <x:v>-1</x:v>
      </x:c>
      <x:c r="I820" s="60" t="n">
        <x:v>1.03</x:v>
      </x:c>
      <x:c r="J820" s="49" t="str">
        <x:v>0.78/-1.0/1.03</x:v>
      </x:c>
      <x:c r="K820" s="49" t="str">
        <x:v>正向</x:v>
      </x:c>
      <x:c r="L820" s="49" t="str">
        <x:v>比斯托伊斯（上盘）</x:v>
      </x:c>
      <x:c r="M820" s="61" t="n">
        <x:v>0.529</x:v>
      </x:c>
      <x:c r="N820" s="49" t="str">
        <x:v>可投；通过：综合胜率52.9% &gt;= 阈值51.3%；风控状态A-正常态</x:v>
      </x:c>
      <x:c r="O820" s="49" t="str">
        <x:v>1-0</x:v>
      </x:c>
      <x:c r="P820" s="49" t="str">
        <x:v>已结算</x:v>
      </x:c>
      <x:c r="Q820" s="49" t="str">
        <x:v>黑</x:v>
      </x:c>
      <x:c r="R820" s="50" t="n">
        <x:v>1.03</x:v>
      </x:c>
      <x:c r="S820" s="50" t="n">
        <x:v>-1</x:v>
      </x:c>
      <x:c r="T820" s="49" t="str">
        <x:v>D:\codex\v3_legacy\outputs\football_odds_trader\raw\titan007\20261007\20261007_083450_titan007_odds_snapshot.csv</x:v>
      </x:c>
      <x:c r="U820" s="49"/>
      <x:c r="V820" s="50"/>
      <x:c r="W820" s="50"/>
      <x:c r="X820" s="49" t="n">
        <x:v>-1</x:v>
      </x:c>
      <x:c r="Y820" s="49" t="n">
        <x:v>1.03</x:v>
      </x:c>
      <x:c r="Z820" s="49" t="n">
        <x:v>4.9037</x:v>
      </x:c>
      <x:c r="AA820" s="49" t="n">
        <x:v>3.6457</x:v>
      </x:c>
      <x:c r="AB820" s="49" t="n">
        <x:v>1.5803</x:v>
      </x:c>
      <x:c r="AC820" s="49"/>
      <x:c r="AD820" s="49"/>
      <x:c r="AE820" s="49"/>
      <x:c r="AF820" s="49"/>
      <x:c r="AG820" s="49"/>
      <x:c r="AH820" s="49"/>
      <x:c r="AI820" s="49"/>
      <x:c r="AJ820" s="49"/>
      <x:c r="AK820" s="49"/>
      <x:c r="AL820" s="49"/>
      <x:c r="AM820" s="49"/>
      <x:c r="AN820" s="49"/>
      <x:c r="AO820" s="49"/>
      <x:c r="AP820" s="49"/>
      <x:c r="AQ820" s="49"/>
      <x:c r="AR820" s="49"/>
      <x:c r="AS820" s="49"/>
      <x:c r="AT820" s="49"/>
      <x:c r="AU820" s="49"/>
      <x:c r="AV820" s="49" t="str">
        <x:v>Titan007/V3</x:v>
      </x:c>
      <x:c r="AW820" s="49" t="str">
        <x:v>可投</x:v>
      </x:c>
      <x:c r="AX820" s="49"/>
      <x:c r="AY820" s="49"/>
    </x:row>
    <x:row r="821" ht="22" customHeight="1">
      <x:c r="A821" s="49" t="str">
        <x:v>2026-10-07</x:v>
      </x:c>
      <x:c r="B821" s="49" t="str">
        <x:v>2026-10-08 00:30:00</x:v>
      </x:c>
      <x:c r="C821" s="49" t="str">
        <x:v>CLUB_CUP</x:v>
      </x:c>
      <x:c r="D821" s="49"/>
      <x:c r="E821" s="49" t="str">
        <x:v>意丁杯</x:v>
      </x:c>
      <x:c r="F821" s="49" t="str">
        <x:v>巴维亚 vs ACD圣天使</x:v>
      </x:c>
      <x:c r="G821" s="60" t="n">
        <x:v>0.8</x:v>
      </x:c>
      <x:c r="H821" s="60" t="n">
        <x:v>0.25</x:v>
      </x:c>
      <x:c r="I821" s="60" t="n">
        <x:v>1</x:v>
      </x:c>
      <x:c r="J821" s="49" t="str">
        <x:v>0.8/0.25/1.0</x:v>
      </x:c>
      <x:c r="K821" s="49" t="str">
        <x:v>反向</x:v>
      </x:c>
      <x:c r="L821" s="49" t="str">
        <x:v>巴维亚（反向=上盘）</x:v>
      </x:c>
      <x:c r="M821" s="61" t="n">
        <x:v>0.5819257849999999</x:v>
      </x:c>
      <x:c r="N821" s="49" t="str">
        <x:v>可投；通过：综合胜率58.4% &gt;= 阈值57.6%；风控状态A-正常态；杯赛分层收缩后58.2%仍通过</x:v>
      </x:c>
      <x:c r="O821" s="49" t="str">
        <x:v>1-3</x:v>
      </x:c>
      <x:c r="P821" s="49" t="str">
        <x:v>已结算</x:v>
      </x:c>
      <x:c r="Q821" s="49" t="str">
        <x:v>黑</x:v>
      </x:c>
      <x:c r="R821" s="50" t="n">
        <x:v>0.8</x:v>
      </x:c>
      <x:c r="S821" s="50" t="n">
        <x:v>-1</x:v>
      </x:c>
      <x:c r="T821" s="49" t="str">
        <x:v>D:\codex\v3_legacy\outputs\football_odds_trader\raw\titan007\20261007\20261007_083450_titan007_odds_snapshot.csv</x:v>
      </x:c>
      <x:c r="U821" s="49"/>
      <x:c r="V821" s="50"/>
      <x:c r="W821" s="50"/>
      <x:c r="X821" s="49" t="n">
        <x:v>0.25</x:v>
      </x:c>
      <x:c r="Y821" s="49" t="n">
        <x:v>0.8</x:v>
      </x:c>
      <x:c r="Z821" s="49" t="n">
        <x:v>2.0481</x:v>
      </x:c>
      <x:c r="AA821" s="49" t="n">
        <x:v>3.0003</x:v>
      </x:c>
      <x:c r="AB821" s="49" t="n">
        <x:v>3.456</x:v>
      </x:c>
      <x:c r="AC821" s="49"/>
      <x:c r="AD821" s="49"/>
      <x:c r="AE821" s="49"/>
      <x:c r="AF821" s="49"/>
      <x:c r="AG821" s="49"/>
      <x:c r="AH821" s="49"/>
      <x:c r="AI821" s="49"/>
      <x:c r="AJ821" s="49"/>
      <x:c r="AK821" s="49"/>
      <x:c r="AL821" s="49"/>
      <x:c r="AM821" s="49"/>
      <x:c r="AN821" s="49"/>
      <x:c r="AO821" s="49"/>
      <x:c r="AP821" s="49"/>
      <x:c r="AQ821" s="49"/>
      <x:c r="AR821" s="49"/>
      <x:c r="AS821" s="49"/>
      <x:c r="AT821" s="49"/>
      <x:c r="AU821" s="49"/>
      <x:c r="AV821" s="49" t="str">
        <x:v>Titan007/V3</x:v>
      </x:c>
      <x:c r="AW821" s="49" t="str">
        <x:v>可投</x:v>
      </x:c>
      <x:c r="AX821" s="49"/>
      <x:c r="AY821" s="49"/>
    </x:row>
    <x:row r="822" ht="22" customHeight="1">
      <x:c r="A822" s="49" t="str">
        <x:v>2026-10-07</x:v>
      </x:c>
      <x:c r="B822" s="49" t="str">
        <x:v>2026-10-07 21:00:00</x:v>
      </x:c>
      <x:c r="C822" s="49" t="str">
        <x:v>CLUB_CUP</x:v>
      </x:c>
      <x:c r="D822" s="49"/>
      <x:c r="E822" s="49" t="str">
        <x:v>意丁杯</x:v>
      </x:c>
      <x:c r="F822" s="49" t="str">
        <x:v>奇维塔卡斯提亚 vs 锡耶纳</x:v>
      </x:c>
      <x:c r="G822" s="60" t="n">
        <x:v>0.8</x:v>
      </x:c>
      <x:c r="H822" s="60" t="n">
        <x:v>0</x:v>
      </x:c>
      <x:c r="I822" s="60" t="n">
        <x:v>1</x:v>
      </x:c>
      <x:c r="J822" s="49" t="str">
        <x:v>0.8/0.0/1.0</x:v>
      </x:c>
      <x:c r="K822" s="49" t="str">
        <x:v>反向</x:v>
      </x:c>
      <x:c r="L822" s="49" t="str">
        <x:v>奇维塔卡斯提亚（反向=上盘）</x:v>
      </x:c>
      <x:c r="M822" s="61" t="n">
        <x:v>0.5819257849999999</x:v>
      </x:c>
      <x:c r="N822" s="49" t="str">
        <x:v>可投；通过：综合胜率58.4% &gt;= 阈值57.6%；风控状态A-正常态；杯赛分层收缩后58.2%仍通过</x:v>
      </x:c>
      <x:c r="O822" s="49" t="str">
        <x:v>0-3</x:v>
      </x:c>
      <x:c r="P822" s="49" t="str">
        <x:v>已结算</x:v>
      </x:c>
      <x:c r="Q822" s="49" t="str">
        <x:v>黑</x:v>
      </x:c>
      <x:c r="R822" s="50" t="n">
        <x:v>0.8</x:v>
      </x:c>
      <x:c r="S822" s="50" t="n">
        <x:v>-1</x:v>
      </x:c>
      <x:c r="T822" s="49" t="str">
        <x:v>D:\codex\v3_legacy\outputs\football_odds_trader\raw\titan007\20261007\20261007_083450_titan007_odds_snapshot.csv</x:v>
      </x:c>
      <x:c r="U822" s="49"/>
      <x:c r="V822" s="50"/>
      <x:c r="W822" s="50"/>
      <x:c r="X822" s="49" t="n">
        <x:v>0</x:v>
      </x:c>
      <x:c r="Y822" s="49" t="n">
        <x:v>0.8</x:v>
      </x:c>
      <x:c r="Z822" s="49" t="n">
        <x:v>2.3978</x:v>
      </x:c>
      <x:c r="AA822" s="49" t="n">
        <x:v>3.2162</x:v>
      </x:c>
      <x:c r="AB822" s="49" t="n">
        <x:v>2.5968</x:v>
      </x:c>
      <x:c r="AC822" s="49"/>
      <x:c r="AD822" s="49"/>
      <x:c r="AE822" s="49"/>
      <x:c r="AF822" s="49"/>
      <x:c r="AG822" s="49"/>
      <x:c r="AH822" s="49"/>
      <x:c r="AI822" s="49"/>
      <x:c r="AJ822" s="49"/>
      <x:c r="AK822" s="49"/>
      <x:c r="AL822" s="49"/>
      <x:c r="AM822" s="49"/>
      <x:c r="AN822" s="49"/>
      <x:c r="AO822" s="49"/>
      <x:c r="AP822" s="49"/>
      <x:c r="AQ822" s="49"/>
      <x:c r="AR822" s="49"/>
      <x:c r="AS822" s="49"/>
      <x:c r="AT822" s="49"/>
      <x:c r="AU822" s="49"/>
      <x:c r="AV822" s="49" t="str">
        <x:v>Titan007/V3</x:v>
      </x:c>
      <x:c r="AW822" s="49" t="str">
        <x:v>可投</x:v>
      </x:c>
      <x:c r="AX822" s="49"/>
      <x:c r="AY822" s="49"/>
    </x:row>
    <x:row r="823" ht="22" customHeight="1">
      <x:c r="A823" s="49" t="str">
        <x:v>2026-10-07</x:v>
      </x:c>
      <x:c r="B823" s="49" t="str">
        <x:v>2026-10-08 02:30:00</x:v>
      </x:c>
      <x:c r="C823" s="49" t="str">
        <x:v>CLUB_CUP</x:v>
      </x:c>
      <x:c r="D823" s="49"/>
      <x:c r="E823" s="49" t="str">
        <x:v>意丁杯</x:v>
      </x:c>
      <x:c r="F823" s="49" t="str">
        <x:v>维鲁斯弗兰卡维拉 vs FBC格拉维纳</x:v>
      </x:c>
      <x:c r="G823" s="60" t="n">
        <x:v>0.83</x:v>
      </x:c>
      <x:c r="H823" s="60" t="n">
        <x:v>0.75</x:v>
      </x:c>
      <x:c r="I823" s="60" t="n">
        <x:v>0.98</x:v>
      </x:c>
      <x:c r="J823" s="49" t="str">
        <x:v>0.83/0.75/0.98</x:v>
      </x:c>
      <x:c r="K823" s="49" t="str">
        <x:v>反向</x:v>
      </x:c>
      <x:c r="L823" s="49" t="str">
        <x:v>维鲁斯弗兰卡维拉（反向=上盘）</x:v>
      </x:c>
      <x:c r="M823" s="61" t="n">
        <x:v>0.5819257849999999</x:v>
      </x:c>
      <x:c r="N823" s="49" t="str">
        <x:v>可投；通过：综合胜率58.4% &gt;= 阈值56.6%；风控状态A-正常态；杯赛分层收缩后58.2%仍通过</x:v>
      </x:c>
      <x:c r="O823" s="49" t="str">
        <x:v>3-0</x:v>
      </x:c>
      <x:c r="P823" s="49" t="str">
        <x:v>已结算</x:v>
      </x:c>
      <x:c r="Q823" s="49" t="str">
        <x:v>红</x:v>
      </x:c>
      <x:c r="R823" s="50" t="n">
        <x:v>0.83</x:v>
      </x:c>
      <x:c r="S823" s="50" t="n">
        <x:v>0.83</x:v>
      </x:c>
      <x:c r="T823" s="49" t="str">
        <x:v>D:\codex\v3_legacy\outputs\football_odds_trader\raw\titan007\20261007\20261007_083450_titan007_odds_snapshot.csv</x:v>
      </x:c>
      <x:c r="U823" s="49"/>
      <x:c r="V823" s="50"/>
      <x:c r="W823" s="50"/>
      <x:c r="X823" s="49" t="n">
        <x:v>0.75</x:v>
      </x:c>
      <x:c r="Y823" s="49" t="n">
        <x:v>0.83</x:v>
      </x:c>
      <x:c r="Z823" s="49" t="n">
        <x:v>1.6391</x:v>
      </x:c>
      <x:c r="AA823" s="49" t="n">
        <x:v>3.5847</x:v>
      </x:c>
      <x:c r="AB823" s="49" t="n">
        <x:v>4.5558</x:v>
      </x:c>
      <x:c r="AC823" s="49"/>
      <x:c r="AD823" s="49"/>
      <x:c r="AE823" s="49"/>
      <x:c r="AF823" s="49"/>
      <x:c r="AG823" s="49"/>
      <x:c r="AH823" s="49"/>
      <x:c r="AI823" s="49"/>
      <x:c r="AJ823" s="49"/>
      <x:c r="AK823" s="49"/>
      <x:c r="AL823" s="49"/>
      <x:c r="AM823" s="49"/>
      <x:c r="AN823" s="49"/>
      <x:c r="AO823" s="49"/>
      <x:c r="AP823" s="49"/>
      <x:c r="AQ823" s="49"/>
      <x:c r="AR823" s="49"/>
      <x:c r="AS823" s="49"/>
      <x:c r="AT823" s="49"/>
      <x:c r="AU823" s="49"/>
      <x:c r="AV823" s="49" t="str">
        <x:v>Titan007/V3</x:v>
      </x:c>
      <x:c r="AW823" s="49" t="str">
        <x:v>可投</x:v>
      </x:c>
      <x:c r="AX823" s="49"/>
      <x:c r="AY823" s="49"/>
    </x:row>
    <x:row r="824" ht="22" customHeight="1">
      <x:c r="A824" s="49" t="str">
        <x:v>2026-10-07</x:v>
      </x:c>
      <x:c r="B824" s="49" t="str">
        <x:v>2026-10-07 21:00:00</x:v>
      </x:c>
      <x:c r="C824" s="49" t="str">
        <x:v>CLUB_CUP</x:v>
      </x:c>
      <x:c r="D824" s="49"/>
      <x:c r="E824" s="49" t="str">
        <x:v>希业余杯</x:v>
      </x:c>
      <x:c r="F824" s="49" t="str">
        <x:v>阿特罗米次生 vs 佐格拉福</x:v>
      </x:c>
      <x:c r="G824" s="60" t="n">
        <x:v>0.8</x:v>
      </x:c>
      <x:c r="H824" s="60" t="n">
        <x:v>0.5</x:v>
      </x:c>
      <x:c r="I824" s="60" t="n">
        <x:v>1</x:v>
      </x:c>
      <x:c r="J824" s="49" t="str">
        <x:v>0.8/0.5/1.0</x:v>
      </x:c>
      <x:c r="K824" s="49" t="str">
        <x:v>反向</x:v>
      </x:c>
      <x:c r="L824" s="49" t="str">
        <x:v>阿特罗米次生（反向=上盘）</x:v>
      </x:c>
      <x:c r="M824" s="61" t="n">
        <x:v>0.5909053900000001</x:v>
      </x:c>
      <x:c r="N824" s="49" t="str">
        <x:v>可投；通过：综合胜率59.2% &gt;= 阈值57.6%；风控状态A-正常态；杯赛分层收缩后59.1%仍通过</x:v>
      </x:c>
      <x:c r="O824" s="49" t="str">
        <x:v>1-5</x:v>
      </x:c>
      <x:c r="P824" s="49" t="str">
        <x:v>已结算</x:v>
      </x:c>
      <x:c r="Q824" s="49" t="str">
        <x:v>黑</x:v>
      </x:c>
      <x:c r="R824" s="50" t="n">
        <x:v>0.8</x:v>
      </x:c>
      <x:c r="S824" s="50" t="n">
        <x:v>-1</x:v>
      </x:c>
      <x:c r="T824" s="49" t="str">
        <x:v>D:\codex\v3_legacy\outputs\football_odds_trader\raw\titan007\20261007\20261007_083450_titan007_odds_snapshot.csv</x:v>
      </x:c>
      <x:c r="U824" s="49"/>
      <x:c r="V824" s="50"/>
      <x:c r="W824" s="50"/>
      <x:c r="X824" s="49" t="n">
        <x:v>0.5</x:v>
      </x:c>
      <x:c r="Y824" s="49" t="n">
        <x:v>0.8</x:v>
      </x:c>
      <x:c r="Z824" s="49" t="n">
        <x:v>1.785</x:v>
      </x:c>
      <x:c r="AA824" s="49" t="n">
        <x:v>3.45</x:v>
      </x:c>
      <x:c r="AB824" s="49" t="n">
        <x:v>3.87</x:v>
      </x:c>
      <x:c r="AC824" s="49"/>
      <x:c r="AD824" s="49"/>
      <x:c r="AE824" s="49"/>
      <x:c r="AF824" s="49"/>
      <x:c r="AG824" s="49"/>
      <x:c r="AH824" s="49"/>
      <x:c r="AI824" s="49"/>
      <x:c r="AJ824" s="49"/>
      <x:c r="AK824" s="49"/>
      <x:c r="AL824" s="49"/>
      <x:c r="AM824" s="49"/>
      <x:c r="AN824" s="49"/>
      <x:c r="AO824" s="49"/>
      <x:c r="AP824" s="49"/>
      <x:c r="AQ824" s="49"/>
      <x:c r="AR824" s="49"/>
      <x:c r="AS824" s="49"/>
      <x:c r="AT824" s="49"/>
      <x:c r="AU824" s="49"/>
      <x:c r="AV824" s="49" t="str">
        <x:v>Titan007/V3</x:v>
      </x:c>
      <x:c r="AW824" s="49" t="str">
        <x:v>可投</x:v>
      </x:c>
      <x:c r="AX824" s="49"/>
      <x:c r="AY824" s="49"/>
    </x:row>
    <x:row r="825" ht="22" customHeight="1">
      <x:c r="A825" s="49" t="str">
        <x:v>2026-10-08</x:v>
      </x:c>
      <x:c r="B825" s="49" t="str">
        <x:v>2026-10-09 01:30:00</x:v>
      </x:c>
      <x:c r="C825" s="49" t="str">
        <x:v>UNKNOWN</x:v>
      </x:c>
      <x:c r="D825" s="49"/>
      <x:c r="E825" s="49" t="str">
        <x:v>伊拉联</x:v>
      </x:c>
      <x:c r="F825" s="49" t="str">
        <x:v>塔拉巴 vs 巴格达警察</x:v>
      </x:c>
      <x:c r="G825" s="60" t="n">
        <x:v>1.03</x:v>
      </x:c>
      <x:c r="H825" s="60" t="n">
        <x:v>-0.25</x:v>
      </x:c>
      <x:c r="I825" s="60" t="n">
        <x:v>0.78</x:v>
      </x:c>
      <x:c r="J825" s="49" t="str">
        <x:v>1.03/-0.25/0.78</x:v>
      </x:c>
      <x:c r="K825" s="49" t="str">
        <x:v>反向</x:v>
      </x:c>
      <x:c r="L825" s="49" t="str">
        <x:v>巴格达警察（反向=上盘）</x:v>
      </x:c>
      <x:c r="M825" s="61" t="n">
        <x:v>0.5920000000000001</x:v>
      </x:c>
      <x:c r="N825" s="49" t="str">
        <x:v>可投；通过：综合胜率59.2% &gt;= 阈值58.2%；风控状态A-正常态</x:v>
      </x:c>
      <x:c r="O825" s="49" t="str">
        <x:v>0-0</x:v>
      </x:c>
      <x:c r="P825" s="49" t="str">
        <x:v>未开赛</x:v>
      </x:c>
      <x:c r="Q825" s="49"/>
      <x:c r="R825" s="50" t="n">
        <x:v>0.78</x:v>
      </x:c>
      <x:c r="S825" s="50"/>
      <x:c r="T825" s="49" t="str">
        <x:v>D:\codex\outputs\football_odds_trader\decision_versions\2026-10-08\RUN_20261008_074649\slate_raw.csv</x:v>
      </x:c>
      <x:c r="U825" s="49"/>
      <x:c r="V825" s="50"/>
      <x:c r="W825" s="50"/>
      <x:c r="X825" s="49" t="n">
        <x:v>-0.25</x:v>
      </x:c>
      <x:c r="Y825" s="49" t="n">
        <x:v>0.78</x:v>
      </x:c>
      <x:c r="Z825" s="49" t="n">
        <x:v>3.3161</x:v>
      </x:c>
      <x:c r="AA825" s="49" t="n">
        <x:v>3.0896</x:v>
      </x:c>
      <x:c r="AB825" s="49" t="n">
        <x:v>2.0561</x:v>
      </x:c>
      <x:c r="AC825" s="49"/>
      <x:c r="AD825" s="49"/>
      <x:c r="AE825" s="49"/>
      <x:c r="AF825" s="49"/>
      <x:c r="AG825" s="49"/>
      <x:c r="AH825" s="49"/>
      <x:c r="AI825" s="49"/>
      <x:c r="AJ825" s="49"/>
      <x:c r="AK825" s="49"/>
      <x:c r="AL825" s="49"/>
      <x:c r="AM825" s="49"/>
      <x:c r="AN825" s="49"/>
      <x:c r="AO825" s="49"/>
      <x:c r="AP825" s="49"/>
      <x:c r="AQ825" s="49"/>
      <x:c r="AR825" s="49"/>
      <x:c r="AS825" s="49"/>
      <x:c r="AT825" s="49"/>
      <x:c r="AU825" s="49"/>
      <x:c r="AV825" s="49" t="str">
        <x:v>Titan007/V3</x:v>
      </x:c>
      <x:c r="AW825" s="49" t="str">
        <x:v>可投</x:v>
      </x:c>
      <x:c r="AX825" s="49"/>
      <x:c r="AY825" s="49"/>
    </x:row>
    <x:row r="826" ht="22" customHeight="1">
      <x:c r="A826" s="49" t="str">
        <x:v>2026-10-08</x:v>
      </x:c>
      <x:c r="B826" s="49" t="str">
        <x:v>2026-10-08 23:00:00</x:v>
      </x:c>
      <x:c r="C826" s="49" t="str">
        <x:v>UNKNOWN</x:v>
      </x:c>
      <x:c r="D826" s="49"/>
      <x:c r="E826" s="49" t="str">
        <x:v>伊拉联</x:v>
      </x:c>
      <x:c r="F826" s="49" t="str">
        <x:v>杜赫克 vs 扎瓦拉</x:v>
      </x:c>
      <x:c r="G826" s="60" t="n">
        <x:v>0.98</x:v>
      </x:c>
      <x:c r="H826" s="60" t="n">
        <x:v>-0.25</x:v>
      </x:c>
      <x:c r="I826" s="60" t="n">
        <x:v>0.83</x:v>
      </x:c>
      <x:c r="J826" s="49" t="str">
        <x:v>0.98/-0.25/0.83</x:v>
      </x:c>
      <x:c r="K826" s="49" t="str">
        <x:v>反向</x:v>
      </x:c>
      <x:c r="L826" s="49" t="str">
        <x:v>扎瓦拉（反向=上盘）</x:v>
      </x:c>
      <x:c r="M826" s="61" t="n">
        <x:v>0.5920000000000001</x:v>
      </x:c>
      <x:c r="N826" s="49" t="str">
        <x:v>可投；通过：综合胜率59.2% &gt;= 阈值56.6%；风控状态A-正常态</x:v>
      </x:c>
      <x:c r="O826" s="49" t="str">
        <x:v>0-0</x:v>
      </x:c>
      <x:c r="P826" s="49" t="str">
        <x:v>未开赛</x:v>
      </x:c>
      <x:c r="Q826" s="49"/>
      <x:c r="R826" s="50" t="n">
        <x:v>0.83</x:v>
      </x:c>
      <x:c r="S826" s="50"/>
      <x:c r="T826" s="49" t="str">
        <x:v>D:\codex\outputs\football_odds_trader\decision_versions\2026-10-08\RUN_20261008_074649\slate_raw.csv</x:v>
      </x:c>
      <x:c r="U826" s="49"/>
      <x:c r="V826" s="50"/>
      <x:c r="W826" s="50"/>
      <x:c r="X826" s="49" t="n">
        <x:v>-0.25</x:v>
      </x:c>
      <x:c r="Y826" s="49" t="n">
        <x:v>0.83</x:v>
      </x:c>
      <x:c r="Z826" s="49" t="n">
        <x:v>3.0586</x:v>
      </x:c>
      <x:c r="AA826" s="49" t="n">
        <x:v>3.0625</x:v>
      </x:c>
      <x:c r="AB826" s="49" t="n">
        <x:v>2.1873</x:v>
      </x:c>
      <x:c r="AC826" s="49"/>
      <x:c r="AD826" s="49"/>
      <x:c r="AE826" s="49"/>
      <x:c r="AF826" s="49"/>
      <x:c r="AG826" s="49"/>
      <x:c r="AH826" s="49"/>
      <x:c r="AI826" s="49"/>
      <x:c r="AJ826" s="49"/>
      <x:c r="AK826" s="49"/>
      <x:c r="AL826" s="49"/>
      <x:c r="AM826" s="49"/>
      <x:c r="AN826" s="49"/>
      <x:c r="AO826" s="49"/>
      <x:c r="AP826" s="49"/>
      <x:c r="AQ826" s="49"/>
      <x:c r="AR826" s="49"/>
      <x:c r="AS826" s="49"/>
      <x:c r="AT826" s="49"/>
      <x:c r="AU826" s="49"/>
      <x:c r="AV826" s="49" t="str">
        <x:v>Titan007/V3</x:v>
      </x:c>
      <x:c r="AW826" s="49" t="str">
        <x:v>可投</x:v>
      </x:c>
      <x:c r="AX826" s="49"/>
      <x:c r="AY826" s="49"/>
    </x:row>
    <x:row r="827" ht="22" customHeight="1">
      <x:c r="A827" s="49" t="str">
        <x:v>2026-10-08</x:v>
      </x:c>
      <x:c r="B827" s="49" t="str">
        <x:v>2026-10-08 22:00:00</x:v>
      </x:c>
      <x:c r="C827" s="49" t="str">
        <x:v>CLUB_CUP</x:v>
      </x:c>
      <x:c r="D827" s="49"/>
      <x:c r="E827" s="49" t="str">
        <x:v>埃及联杯</x:v>
      </x:c>
      <x:c r="F827" s="49" t="str">
        <x:v>艾德瀚德 vs 瓦迪格拉</x:v>
      </x:c>
      <x:c r="G827" s="60" t="n">
        <x:v>0.78</x:v>
      </x:c>
      <x:c r="H827" s="60" t="n">
        <x:v>0</x:v>
      </x:c>
      <x:c r="I827" s="60" t="n">
        <x:v>1.04</x:v>
      </x:c>
      <x:c r="J827" s="49" t="str">
        <x:v>0.78/0.0/1.04</x:v>
      </x:c>
      <x:c r="K827" s="49" t="str">
        <x:v>反向</x:v>
      </x:c>
      <x:c r="L827" s="49" t="str">
        <x:v>艾德瀚德（反向=上盘）</x:v>
      </x:c>
      <x:c r="M827" s="61" t="n">
        <x:v>0.5909053900000001</x:v>
      </x:c>
      <x:c r="N827" s="49" t="str">
        <x:v>可投；通过：综合胜率59.2% &gt;= 阈值58.2%；风控状态A-正常态；杯赛分层收缩后59.1%仍通过</x:v>
      </x:c>
      <x:c r="O827" s="49" t="str">
        <x:v>0-0</x:v>
      </x:c>
      <x:c r="P827" s="49" t="str">
        <x:v>未开赛</x:v>
      </x:c>
      <x:c r="Q827" s="49"/>
      <x:c r="R827" s="50" t="n">
        <x:v>0.78</x:v>
      </x:c>
      <x:c r="S827" s="50"/>
      <x:c r="T827" s="49" t="str">
        <x:v>D:\codex\outputs\football_odds_trader\decision_versions\2026-10-08\RUN_20261008_074649\slate_raw.csv</x:v>
      </x:c>
      <x:c r="U827" s="49"/>
      <x:c r="V827" s="50"/>
      <x:c r="W827" s="50"/>
      <x:c r="X827" s="49" t="n">
        <x:v>0</x:v>
      </x:c>
      <x:c r="Y827" s="49" t="n">
        <x:v>0.78</x:v>
      </x:c>
      <x:c r="Z827" s="49" t="n">
        <x:v>2.3658</x:v>
      </x:c>
      <x:c r="AA827" s="49" t="n">
        <x:v>2.9387</x:v>
      </x:c>
      <x:c r="AB827" s="49" t="n">
        <x:v>2.9075</x:v>
      </x:c>
      <x:c r="AC827" s="49"/>
      <x:c r="AD827" s="49"/>
      <x:c r="AE827" s="49"/>
      <x:c r="AF827" s="49"/>
      <x:c r="AG827" s="49"/>
      <x:c r="AH827" s="49"/>
      <x:c r="AI827" s="49"/>
      <x:c r="AJ827" s="49"/>
      <x:c r="AK827" s="49"/>
      <x:c r="AL827" s="49"/>
      <x:c r="AM827" s="49"/>
      <x:c r="AN827" s="49"/>
      <x:c r="AO827" s="49"/>
      <x:c r="AP827" s="49"/>
      <x:c r="AQ827" s="49"/>
      <x:c r="AR827" s="49"/>
      <x:c r="AS827" s="49"/>
      <x:c r="AT827" s="49"/>
      <x:c r="AU827" s="49"/>
      <x:c r="AV827" s="49" t="str">
        <x:v>Titan007/V3</x:v>
      </x:c>
      <x:c r="AW827" s="49" t="str">
        <x:v>可投</x:v>
      </x:c>
      <x:c r="AX827" s="49"/>
      <x:c r="AY827" s="49"/>
    </x:row>
    <x:row r="828" ht="22" customHeight="1">
      <x:c r="A828" s="49" t="str">
        <x:v>2026-10-08</x:v>
      </x:c>
      <x:c r="B828" s="49" t="str">
        <x:v>2026-10-08 22:00:00</x:v>
      </x:c>
      <x:c r="C828" s="49" t="str">
        <x:v>CLUB_CUP</x:v>
      </x:c>
      <x:c r="D828" s="49"/>
      <x:c r="E828" s="49" t="str">
        <x:v>埃及联杯</x:v>
      </x:c>
      <x:c r="F828" s="49" t="str">
        <x:v>阿拉伯建筑 vs 艾尔格纳</x:v>
      </x:c>
      <x:c r="G828" s="60" t="n">
        <x:v>0.82</x:v>
      </x:c>
      <x:c r="H828" s="60" t="n">
        <x:v>0.5</x:v>
      </x:c>
      <x:c r="I828" s="60" t="n">
        <x:v>1</x:v>
      </x:c>
      <x:c r="J828" s="49" t="str">
        <x:v>0.82/0.5/1.0</x:v>
      </x:c>
      <x:c r="K828" s="49" t="str">
        <x:v>反向</x:v>
      </x:c>
      <x:c r="L828" s="49" t="str">
        <x:v>阿拉伯建筑（反向=上盘）</x:v>
      </x:c>
      <x:c r="M828" s="61" t="n">
        <x:v>0.5909053900000001</x:v>
      </x:c>
      <x:c r="N828" s="49" t="str">
        <x:v>可投；通过：综合胜率59.2% &gt;= 阈值56.9%；风控状态A-正常态；杯赛分层收缩后59.1%仍通过</x:v>
      </x:c>
      <x:c r="O828" s="49" t="str">
        <x:v>0-0</x:v>
      </x:c>
      <x:c r="P828" s="49" t="str">
        <x:v>未开赛</x:v>
      </x:c>
      <x:c r="Q828" s="49"/>
      <x:c r="R828" s="50" t="n">
        <x:v>0.82</x:v>
      </x:c>
      <x:c r="S828" s="50"/>
      <x:c r="T828" s="49" t="str">
        <x:v>D:\codex\outputs\football_odds_trader\decision_versions\2026-10-08\RUN_20261008_074649\slate_raw.csv</x:v>
      </x:c>
      <x:c r="U828" s="49"/>
      <x:c r="V828" s="50"/>
      <x:c r="W828" s="50"/>
      <x:c r="X828" s="49" t="n">
        <x:v>0.5</x:v>
      </x:c>
      <x:c r="Y828" s="49" t="n">
        <x:v>0.82</x:v>
      </x:c>
      <x:c r="Z828" s="49" t="n">
        <x:v>1.737</x:v>
      </x:c>
      <x:c r="AA828" s="49" t="n">
        <x:v>3.144</x:v>
      </x:c>
      <x:c r="AB828" s="49" t="n">
        <x:v>4.6863</x:v>
      </x:c>
      <x:c r="AC828" s="49"/>
      <x:c r="AD828" s="49"/>
      <x:c r="AE828" s="49"/>
      <x:c r="AF828" s="49"/>
      <x:c r="AG828" s="49"/>
      <x:c r="AH828" s="49"/>
      <x:c r="AI828" s="49"/>
      <x:c r="AJ828" s="49"/>
      <x:c r="AK828" s="49"/>
      <x:c r="AL828" s="49"/>
      <x:c r="AM828" s="49"/>
      <x:c r="AN828" s="49"/>
      <x:c r="AO828" s="49"/>
      <x:c r="AP828" s="49"/>
      <x:c r="AQ828" s="49"/>
      <x:c r="AR828" s="49"/>
      <x:c r="AS828" s="49"/>
      <x:c r="AT828" s="49"/>
      <x:c r="AU828" s="49"/>
      <x:c r="AV828" s="49" t="str">
        <x:v>Titan007/V3</x:v>
      </x:c>
      <x:c r="AW828" s="49" t="str">
        <x:v>可投</x:v>
      </x:c>
      <x:c r="AX828" s="49"/>
      <x:c r="AY828" s="49"/>
    </x:row>
    <x:row r="829" ht="22" customHeight="1">
      <x:c r="A829" s="49" t="str">
        <x:v>2026-10-08</x:v>
      </x:c>
      <x:c r="B829" s="49" t="str">
        <x:v>2026-10-09 00:00:00</x:v>
      </x:c>
      <x:c r="C829" s="49" t="str">
        <x:v>CLUB_CUP</x:v>
      </x:c>
      <x:c r="D829" s="49"/>
      <x:c r="E829" s="49" t="str">
        <x:v>巴王杯</x:v>
      </x:c>
      <x:c r="F829" s="49" t="str">
        <x:v>哈萨姆 vs 艾沙镇</x:v>
      </x:c>
      <x:c r="G829" s="60" t="n">
        <x:v>0.83</x:v>
      </x:c>
      <x:c r="H829" s="60" t="n">
        <x:v>0.25</x:v>
      </x:c>
      <x:c r="I829" s="60" t="n">
        <x:v>0.98</x:v>
      </x:c>
      <x:c r="J829" s="49" t="str">
        <x:v>0.83/0.25/0.98</x:v>
      </x:c>
      <x:c r="K829" s="49" t="str">
        <x:v>反向</x:v>
      </x:c>
      <x:c r="L829" s="49" t="str">
        <x:v>哈萨姆（反向=上盘）</x:v>
      </x:c>
      <x:c r="M829" s="61" t="n">
        <x:v>0.5909053900000001</x:v>
      </x:c>
      <x:c r="N829" s="49" t="str">
        <x:v>可投；通过：综合胜率59.2% &gt;= 阈值56.6%；风控状态A-正常态；杯赛分层收缩后59.1%仍通过</x:v>
      </x:c>
      <x:c r="O829" s="49" t="str">
        <x:v>0-0</x:v>
      </x:c>
      <x:c r="P829" s="49" t="str">
        <x:v>未开赛</x:v>
      </x:c>
      <x:c r="Q829" s="49"/>
      <x:c r="R829" s="50" t="n">
        <x:v>0.83</x:v>
      </x:c>
      <x:c r="S829" s="50"/>
      <x:c r="T829" s="49" t="str">
        <x:v>D:\codex\outputs\football_odds_trader\decision_versions\2026-10-08\RUN_20261008_074649\slate_raw.csv</x:v>
      </x:c>
      <x:c r="U829" s="49"/>
      <x:c r="V829" s="50"/>
      <x:c r="W829" s="50"/>
      <x:c r="X829" s="49" t="n">
        <x:v>0.25</x:v>
      </x:c>
      <x:c r="Y829" s="49" t="n">
        <x:v>0.83</x:v>
      </x:c>
      <x:c r="Z829" s="49" t="n">
        <x:v>2.07</x:v>
      </x:c>
      <x:c r="AA829" s="49" t="n">
        <x:v>2.9275</x:v>
      </x:c>
      <x:c r="AB829" s="49" t="n">
        <x:v>3.4962</x:v>
      </x:c>
      <x:c r="AC829" s="49"/>
      <x:c r="AD829" s="49"/>
      <x:c r="AE829" s="49"/>
      <x:c r="AF829" s="49"/>
      <x:c r="AG829" s="49"/>
      <x:c r="AH829" s="49"/>
      <x:c r="AI829" s="49"/>
      <x:c r="AJ829" s="49"/>
      <x:c r="AK829" s="49"/>
      <x:c r="AL829" s="49"/>
      <x:c r="AM829" s="49"/>
      <x:c r="AN829" s="49"/>
      <x:c r="AO829" s="49"/>
      <x:c r="AP829" s="49"/>
      <x:c r="AQ829" s="49"/>
      <x:c r="AR829" s="49"/>
      <x:c r="AS829" s="49"/>
      <x:c r="AT829" s="49"/>
      <x:c r="AU829" s="49"/>
      <x:c r="AV829" s="49" t="str">
        <x:v>Titan007/V3</x:v>
      </x:c>
      <x:c r="AW829" s="49" t="str">
        <x:v>可投</x:v>
      </x:c>
      <x:c r="AX829" s="49"/>
      <x:c r="AY829" s="49"/>
    </x:row>
    <x:row r="830">
      <x:c r="A830" s="29"/>
      <x:c r="B830" s="29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  <x:c r="P830" s="29"/>
      <x:c r="Q830" s="29"/>
      <x:c r="R830" s="29"/>
      <x:c r="S830" s="29"/>
      <x:c r="T830" s="29"/>
      <x:c r="U830" s="29"/>
      <x:c r="V830" s="29"/>
      <x:c r="W830" s="29"/>
    </x:row>
    <x:row r="831">
      <x:c r="A831" s="29"/>
      <x:c r="B831" s="29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  <x:c r="P831" s="29"/>
      <x:c r="Q831" s="29"/>
      <x:c r="R831" s="29"/>
      <x:c r="S831" s="29"/>
      <x:c r="T831" s="29"/>
      <x:c r="U831" s="29"/>
      <x:c r="V831" s="29"/>
      <x:c r="W831" s="29"/>
    </x:row>
    <x:row r="832">
      <x:c r="A832" s="29"/>
      <x:c r="B832" s="29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  <x:c r="P832" s="29"/>
      <x:c r="Q832" s="29"/>
      <x:c r="R832" s="29"/>
      <x:c r="S832" s="29"/>
      <x:c r="T832" s="29"/>
      <x:c r="U832" s="29"/>
      <x:c r="V832" s="29"/>
      <x:c r="W832" s="29"/>
    </x:row>
    <x:row r="833">
      <x:c r="A833" s="29"/>
      <x:c r="B833" s="29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  <x:c r="P833" s="29"/>
      <x:c r="Q833" s="29"/>
      <x:c r="R833" s="29"/>
      <x:c r="S833" s="29"/>
      <x:c r="T833" s="29"/>
      <x:c r="U833" s="29"/>
      <x:c r="V833" s="29"/>
      <x:c r="W833" s="29"/>
    </x:row>
    <x:row r="834">
      <x:c r="A834" s="29"/>
      <x:c r="B834" s="29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  <x:c r="P834" s="29"/>
      <x:c r="Q834" s="29"/>
      <x:c r="R834" s="29"/>
      <x:c r="S834" s="29"/>
      <x:c r="T834" s="29"/>
      <x:c r="U834" s="29"/>
      <x:c r="V834" s="29"/>
      <x:c r="W834" s="29"/>
    </x:row>
    <x:row r="835">
      <x:c r="A835" s="29"/>
      <x:c r="B835" s="29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  <x:c r="P835" s="29"/>
      <x:c r="Q835" s="29"/>
      <x:c r="R835" s="29"/>
      <x:c r="S835" s="29"/>
      <x:c r="T835" s="29"/>
      <x:c r="U835" s="29"/>
      <x:c r="V835" s="29"/>
      <x:c r="W835" s="29"/>
    </x:row>
    <x:row r="836">
      <x:c r="A836" s="29"/>
      <x:c r="B836" s="29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  <x:c r="P836" s="29"/>
      <x:c r="Q836" s="29"/>
      <x:c r="R836" s="29"/>
      <x:c r="S836" s="29"/>
      <x:c r="T836" s="29"/>
      <x:c r="U836" s="29"/>
      <x:c r="V836" s="29"/>
      <x:c r="W836" s="29"/>
    </x:row>
    <x:row r="837">
      <x:c r="A837" s="29"/>
      <x:c r="B837" s="29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  <x:c r="P837" s="29"/>
      <x:c r="Q837" s="29"/>
      <x:c r="R837" s="29"/>
      <x:c r="S837" s="29"/>
      <x:c r="T837" s="29"/>
      <x:c r="U837" s="29"/>
      <x:c r="V837" s="29"/>
      <x:c r="W837" s="29"/>
    </x:row>
    <x:row r="838">
      <x:c r="A838" s="29"/>
      <x:c r="B838" s="29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  <x:c r="P838" s="29"/>
      <x:c r="Q838" s="29"/>
      <x:c r="R838" s="29"/>
      <x:c r="S838" s="29"/>
      <x:c r="T838" s="29"/>
      <x:c r="U838" s="29"/>
      <x:c r="V838" s="29"/>
      <x:c r="W838" s="29"/>
    </x:row>
    <x:row r="839">
      <x:c r="A839" s="29"/>
      <x:c r="B839" s="29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  <x:c r="P839" s="29"/>
      <x:c r="Q839" s="29"/>
      <x:c r="R839" s="29"/>
      <x:c r="S839" s="29"/>
      <x:c r="T839" s="29"/>
      <x:c r="U839" s="29"/>
      <x:c r="V839" s="29"/>
      <x:c r="W839" s="29"/>
    </x:row>
    <x:row r="840">
      <x:c r="A840" s="29"/>
      <x:c r="B840" s="29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  <x:c r="P840" s="29"/>
      <x:c r="Q840" s="29"/>
      <x:c r="R840" s="29"/>
      <x:c r="S840" s="29"/>
      <x:c r="T840" s="29"/>
      <x:c r="U840" s="29"/>
      <x:c r="V840" s="29"/>
      <x:c r="W840" s="29"/>
    </x:row>
    <x:row r="841">
      <x:c r="A841" s="29"/>
      <x:c r="B841" s="29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  <x:c r="P841" s="29"/>
      <x:c r="Q841" s="29"/>
      <x:c r="R841" s="29"/>
      <x:c r="S841" s="29"/>
      <x:c r="T841" s="29"/>
      <x:c r="U841" s="29"/>
      <x:c r="V841" s="29"/>
      <x:c r="W841" s="29"/>
    </x:row>
    <x:row r="842">
      <x:c r="A842" s="29"/>
      <x:c r="B842" s="29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  <x:c r="P842" s="29"/>
      <x:c r="Q842" s="29"/>
      <x:c r="R842" s="29"/>
      <x:c r="S842" s="29"/>
      <x:c r="T842" s="29"/>
      <x:c r="U842" s="29"/>
      <x:c r="V842" s="29"/>
      <x:c r="W842" s="29"/>
    </x:row>
    <x:row r="843">
      <x:c r="A843" s="29"/>
      <x:c r="B843" s="29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  <x:c r="P843" s="29"/>
      <x:c r="Q843" s="29"/>
      <x:c r="R843" s="29"/>
      <x:c r="S843" s="29"/>
      <x:c r="T843" s="29"/>
      <x:c r="U843" s="29"/>
      <x:c r="V843" s="29"/>
      <x:c r="W843" s="29"/>
    </x:row>
    <x:row r="844">
      <x:c r="A844" s="29"/>
      <x:c r="B844" s="29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  <x:c r="P844" s="29"/>
      <x:c r="Q844" s="29"/>
      <x:c r="R844" s="29"/>
      <x:c r="S844" s="29"/>
      <x:c r="T844" s="29"/>
      <x:c r="U844" s="29"/>
      <x:c r="V844" s="29"/>
      <x:c r="W844" s="29"/>
    </x:row>
    <x:row r="845">
      <x:c r="A845" s="29"/>
      <x:c r="B845" s="29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  <x:c r="P845" s="29"/>
      <x:c r="Q845" s="29"/>
      <x:c r="R845" s="29"/>
      <x:c r="S845" s="29"/>
      <x:c r="T845" s="29"/>
      <x:c r="U845" s="29"/>
      <x:c r="V845" s="29"/>
      <x:c r="W845" s="29"/>
    </x:row>
    <x:row r="846">
      <x:c r="A846" s="29"/>
      <x:c r="B846" s="29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  <x:c r="P846" s="29"/>
      <x:c r="Q846" s="29"/>
      <x:c r="R846" s="29"/>
      <x:c r="S846" s="29"/>
      <x:c r="T846" s="29"/>
      <x:c r="U846" s="29"/>
      <x:c r="V846" s="29"/>
      <x:c r="W846" s="29"/>
    </x:row>
    <x:row r="847">
      <x:c r="A847" s="29"/>
      <x:c r="B847" s="29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  <x:c r="P847" s="29"/>
      <x:c r="Q847" s="29"/>
      <x:c r="R847" s="29"/>
      <x:c r="S847" s="29"/>
      <x:c r="T847" s="29"/>
      <x:c r="U847" s="29"/>
      <x:c r="V847" s="29"/>
      <x:c r="W847" s="29"/>
    </x:row>
    <x:row r="848">
      <x:c r="A848" s="29"/>
      <x:c r="B848" s="29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  <x:c r="P848" s="29"/>
      <x:c r="Q848" s="29"/>
      <x:c r="R848" s="29"/>
      <x:c r="S848" s="29"/>
      <x:c r="T848" s="29"/>
      <x:c r="U848" s="29"/>
      <x:c r="V848" s="29"/>
      <x:c r="W848" s="29"/>
    </x:row>
    <x:row r="849">
      <x:c r="A849" s="29"/>
      <x:c r="B849" s="29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  <x:c r="P849" s="29"/>
      <x:c r="Q849" s="29"/>
      <x:c r="R849" s="29"/>
      <x:c r="S849" s="29"/>
      <x:c r="T849" s="29"/>
      <x:c r="U849" s="29"/>
      <x:c r="V849" s="29"/>
      <x:c r="W849" s="29"/>
    </x:row>
    <x:row r="850">
      <x:c r="A850" s="29"/>
      <x:c r="B850" s="29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  <x:c r="P850" s="29"/>
      <x:c r="Q850" s="29"/>
      <x:c r="R850" s="29"/>
      <x:c r="S850" s="29"/>
      <x:c r="T850" s="29"/>
      <x:c r="U850" s="29"/>
      <x:c r="V850" s="29"/>
      <x:c r="W850" s="29"/>
    </x:row>
    <x:row r="851">
      <x:c r="A851" s="29"/>
      <x:c r="B851" s="29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  <x:c r="P851" s="29"/>
      <x:c r="Q851" s="29"/>
      <x:c r="R851" s="29"/>
      <x:c r="S851" s="29"/>
      <x:c r="T851" s="29"/>
      <x:c r="U851" s="29"/>
      <x:c r="V851" s="29"/>
      <x:c r="W851" s="29"/>
    </x:row>
    <x:row r="852">
      <x:c r="A852" s="29"/>
      <x:c r="B852" s="29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  <x:c r="P852" s="29"/>
      <x:c r="Q852" s="29"/>
      <x:c r="R852" s="29"/>
      <x:c r="S852" s="29"/>
      <x:c r="T852" s="29"/>
      <x:c r="U852" s="29"/>
      <x:c r="V852" s="29"/>
      <x:c r="W852" s="29"/>
    </x:row>
    <x:row r="853">
      <x:c r="A853" s="29"/>
      <x:c r="B853" s="29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  <x:c r="P853" s="29"/>
      <x:c r="Q853" s="29"/>
      <x:c r="R853" s="29"/>
      <x:c r="S853" s="29"/>
      <x:c r="T853" s="29"/>
      <x:c r="U853" s="29"/>
      <x:c r="V853" s="29"/>
      <x:c r="W853" s="29"/>
    </x:row>
    <x:row r="854">
      <x:c r="A854" s="29"/>
      <x:c r="B854" s="29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  <x:c r="P854" s="29"/>
      <x:c r="Q854" s="29"/>
      <x:c r="R854" s="29"/>
      <x:c r="S854" s="29"/>
      <x:c r="T854" s="29"/>
      <x:c r="U854" s="29"/>
      <x:c r="V854" s="29"/>
      <x:c r="W854" s="29"/>
    </x:row>
    <x:row r="855">
      <x:c r="A855" s="29"/>
      <x:c r="B855" s="29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  <x:c r="P855" s="29"/>
      <x:c r="Q855" s="29"/>
      <x:c r="R855" s="29"/>
      <x:c r="S855" s="29"/>
      <x:c r="T855" s="29"/>
      <x:c r="U855" s="29"/>
      <x:c r="V855" s="29"/>
      <x:c r="W855" s="29"/>
    </x:row>
    <x:row r="856">
      <x:c r="A856" s="29"/>
      <x:c r="B856" s="29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  <x:c r="P856" s="29"/>
      <x:c r="Q856" s="29"/>
      <x:c r="R856" s="29"/>
      <x:c r="S856" s="29"/>
      <x:c r="T856" s="29"/>
      <x:c r="U856" s="29"/>
      <x:c r="V856" s="29"/>
      <x:c r="W856" s="29"/>
    </x:row>
    <x:row r="857">
      <x:c r="A857" s="29"/>
      <x:c r="B857" s="29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  <x:c r="P857" s="29"/>
      <x:c r="Q857" s="29"/>
      <x:c r="R857" s="29"/>
      <x:c r="S857" s="29"/>
      <x:c r="T857" s="29"/>
      <x:c r="U857" s="29"/>
      <x:c r="V857" s="29"/>
      <x:c r="W857" s="29"/>
    </x:row>
    <x:row r="858">
      <x:c r="A858" s="29"/>
      <x:c r="B858" s="29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  <x:c r="P858" s="29"/>
      <x:c r="Q858" s="29"/>
      <x:c r="R858" s="29"/>
      <x:c r="S858" s="29"/>
      <x:c r="T858" s="29"/>
      <x:c r="U858" s="29"/>
      <x:c r="V858" s="29"/>
      <x:c r="W858" s="29"/>
    </x:row>
    <x:row r="859">
      <x:c r="A859" s="29"/>
      <x:c r="B859" s="29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  <x:c r="P859" s="29"/>
      <x:c r="Q859" s="29"/>
      <x:c r="R859" s="29"/>
      <x:c r="S859" s="29"/>
      <x:c r="T859" s="29"/>
      <x:c r="U859" s="29"/>
      <x:c r="V859" s="29"/>
      <x:c r="W859" s="29"/>
    </x:row>
    <x:row r="860">
      <x:c r="A860" s="29"/>
      <x:c r="B860" s="29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  <x:c r="P860" s="29"/>
      <x:c r="Q860" s="29"/>
      <x:c r="R860" s="29"/>
      <x:c r="S860" s="29"/>
      <x:c r="T860" s="29"/>
      <x:c r="U860" s="29"/>
      <x:c r="V860" s="29"/>
      <x:c r="W860" s="29"/>
    </x:row>
    <x:row r="861">
      <x:c r="A861" s="29"/>
      <x:c r="B861" s="29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  <x:c r="P861" s="29"/>
      <x:c r="Q861" s="29"/>
      <x:c r="R861" s="29"/>
      <x:c r="S861" s="29"/>
      <x:c r="T861" s="29"/>
      <x:c r="U861" s="29"/>
      <x:c r="V861" s="29"/>
      <x:c r="W861" s="29"/>
    </x:row>
    <x:row r="862">
      <x:c r="A862" s="29"/>
      <x:c r="B862" s="29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  <x:c r="P862" s="29"/>
      <x:c r="Q862" s="29"/>
      <x:c r="R862" s="29"/>
      <x:c r="S862" s="29"/>
      <x:c r="T862" s="29"/>
      <x:c r="U862" s="29"/>
      <x:c r="V862" s="29"/>
      <x:c r="W862" s="29"/>
    </x:row>
    <x:row r="863">
      <x:c r="A863" s="29"/>
      <x:c r="B863" s="29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  <x:c r="P863" s="29"/>
      <x:c r="Q863" s="29"/>
      <x:c r="R863" s="29"/>
      <x:c r="S863" s="29"/>
      <x:c r="T863" s="29"/>
      <x:c r="U863" s="29"/>
      <x:c r="V863" s="29"/>
      <x:c r="W863" s="29"/>
    </x:row>
    <x:row r="864">
      <x:c r="A864" s="29"/>
      <x:c r="B864" s="29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  <x:c r="P864" s="29"/>
      <x:c r="Q864" s="29"/>
      <x:c r="R864" s="29"/>
      <x:c r="S864" s="29"/>
      <x:c r="T864" s="29"/>
      <x:c r="U864" s="29"/>
      <x:c r="V864" s="29"/>
      <x:c r="W864" s="29"/>
    </x:row>
    <x:row r="865">
      <x:c r="A865" s="29"/>
      <x:c r="B865" s="29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  <x:c r="P865" s="29"/>
      <x:c r="Q865" s="29"/>
      <x:c r="R865" s="29"/>
      <x:c r="S865" s="29"/>
      <x:c r="T865" s="29"/>
      <x:c r="U865" s="29"/>
      <x:c r="V865" s="29"/>
      <x:c r="W865" s="29"/>
    </x:row>
    <x:row r="866">
      <x:c r="A866" s="29"/>
      <x:c r="B866" s="29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  <x:c r="P866" s="29"/>
      <x:c r="Q866" s="29"/>
      <x:c r="R866" s="29"/>
      <x:c r="S866" s="29"/>
      <x:c r="T866" s="29"/>
      <x:c r="U866" s="29"/>
      <x:c r="V866" s="29"/>
      <x:c r="W866" s="29"/>
    </x:row>
    <x:row r="867">
      <x:c r="A867" s="29"/>
      <x:c r="B867" s="29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  <x:c r="P867" s="29"/>
      <x:c r="Q867" s="29"/>
      <x:c r="R867" s="29"/>
      <x:c r="S867" s="29"/>
      <x:c r="T867" s="29"/>
      <x:c r="U867" s="29"/>
      <x:c r="V867" s="29"/>
      <x:c r="W867" s="29"/>
    </x:row>
    <x:row r="868">
      <x:c r="A868" s="29"/>
      <x:c r="B868" s="29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  <x:c r="P868" s="29"/>
      <x:c r="Q868" s="29"/>
      <x:c r="R868" s="29"/>
      <x:c r="S868" s="29"/>
      <x:c r="T868" s="29"/>
      <x:c r="U868" s="29"/>
      <x:c r="V868" s="29"/>
      <x:c r="W868" s="29"/>
    </x:row>
    <x:row r="869">
      <x:c r="A869" s="29"/>
      <x:c r="B869" s="29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  <x:c r="P869" s="29"/>
      <x:c r="Q869" s="29"/>
      <x:c r="R869" s="29"/>
      <x:c r="S869" s="29"/>
      <x:c r="T869" s="29"/>
      <x:c r="U869" s="29"/>
      <x:c r="V869" s="29"/>
      <x:c r="W869" s="29"/>
    </x:row>
    <x:row r="870">
      <x:c r="A870" s="29"/>
      <x:c r="B870" s="29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  <x:c r="P870" s="29"/>
      <x:c r="Q870" s="29"/>
      <x:c r="R870" s="29"/>
      <x:c r="S870" s="29"/>
      <x:c r="T870" s="29"/>
      <x:c r="U870" s="29"/>
      <x:c r="V870" s="29"/>
      <x:c r="W870" s="29"/>
    </x:row>
    <x:row r="871">
      <x:c r="A871" s="29"/>
      <x:c r="B871" s="29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  <x:c r="P871" s="29"/>
      <x:c r="Q871" s="29"/>
      <x:c r="R871" s="29"/>
      <x:c r="S871" s="29"/>
      <x:c r="T871" s="29"/>
      <x:c r="U871" s="29"/>
      <x:c r="V871" s="29"/>
      <x:c r="W871" s="29"/>
    </x:row>
    <x:row r="872">
      <x:c r="A872" s="29"/>
      <x:c r="B872" s="29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  <x:c r="P872" s="29"/>
      <x:c r="Q872" s="29"/>
      <x:c r="R872" s="29"/>
      <x:c r="S872" s="29"/>
      <x:c r="T872" s="29"/>
      <x:c r="U872" s="29"/>
      <x:c r="V872" s="29"/>
      <x:c r="W872" s="29"/>
    </x:row>
    <x:row r="873">
      <x:c r="A873" s="29"/>
      <x:c r="B873" s="29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  <x:c r="P873" s="29"/>
      <x:c r="Q873" s="29"/>
      <x:c r="R873" s="29"/>
      <x:c r="S873" s="29"/>
      <x:c r="T873" s="29"/>
      <x:c r="U873" s="29"/>
      <x:c r="V873" s="29"/>
      <x:c r="W873" s="29"/>
    </x:row>
    <x:row r="874">
      <x:c r="A874" s="29"/>
      <x:c r="B874" s="29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  <x:c r="P874" s="29"/>
      <x:c r="Q874" s="29"/>
      <x:c r="R874" s="29"/>
      <x:c r="S874" s="29"/>
      <x:c r="T874" s="29"/>
      <x:c r="U874" s="29"/>
      <x:c r="V874" s="29"/>
      <x:c r="W874" s="29"/>
    </x:row>
    <x:row r="875">
      <x:c r="A875" s="29"/>
      <x:c r="B875" s="29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  <x:c r="P875" s="29"/>
      <x:c r="Q875" s="29"/>
      <x:c r="R875" s="29"/>
      <x:c r="S875" s="29"/>
      <x:c r="T875" s="29"/>
      <x:c r="U875" s="29"/>
      <x:c r="V875" s="29"/>
      <x:c r="W875" s="29"/>
    </x:row>
    <x:row r="876">
      <x:c r="A876" s="29"/>
      <x:c r="B876" s="29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  <x:c r="P876" s="29"/>
      <x:c r="Q876" s="29"/>
      <x:c r="R876" s="29"/>
      <x:c r="S876" s="29"/>
      <x:c r="T876" s="29"/>
      <x:c r="U876" s="29"/>
      <x:c r="V876" s="29"/>
      <x:c r="W876" s="29"/>
    </x:row>
    <x:row r="877">
      <x:c r="A877" s="29"/>
      <x:c r="B877" s="29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  <x:c r="P877" s="29"/>
      <x:c r="Q877" s="29"/>
      <x:c r="R877" s="29"/>
      <x:c r="S877" s="29"/>
      <x:c r="T877" s="29"/>
      <x:c r="U877" s="29"/>
      <x:c r="V877" s="29"/>
      <x:c r="W877" s="29"/>
    </x:row>
    <x:row r="878">
      <x:c r="A878" s="29"/>
      <x:c r="B878" s="29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  <x:c r="P878" s="29"/>
      <x:c r="Q878" s="29"/>
      <x:c r="R878" s="29"/>
      <x:c r="S878" s="29"/>
      <x:c r="T878" s="29"/>
      <x:c r="U878" s="29"/>
      <x:c r="V878" s="29"/>
      <x:c r="W878" s="29"/>
    </x:row>
    <x:row r="879">
      <x:c r="A879" s="29"/>
      <x:c r="B879" s="29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  <x:c r="P879" s="29"/>
      <x:c r="Q879" s="29"/>
      <x:c r="R879" s="29"/>
      <x:c r="S879" s="29"/>
      <x:c r="T879" s="29"/>
      <x:c r="U879" s="29"/>
      <x:c r="V879" s="29"/>
      <x:c r="W879" s="29"/>
    </x:row>
    <x:row r="880">
      <x:c r="A880" s="29"/>
      <x:c r="B880" s="29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  <x:c r="P880" s="29"/>
      <x:c r="Q880" s="29"/>
      <x:c r="R880" s="29"/>
      <x:c r="S880" s="29"/>
      <x:c r="T880" s="29"/>
      <x:c r="U880" s="29"/>
      <x:c r="V880" s="29"/>
      <x:c r="W880" s="29"/>
    </x:row>
    <x:row r="881">
      <x:c r="A881" s="29"/>
      <x:c r="B881" s="29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  <x:c r="P881" s="29"/>
      <x:c r="Q881" s="29"/>
      <x:c r="R881" s="29"/>
      <x:c r="S881" s="29"/>
      <x:c r="T881" s="29"/>
      <x:c r="U881" s="29"/>
      <x:c r="V881" s="29"/>
      <x:c r="W881" s="29"/>
    </x:row>
    <x:row r="882">
      <x:c r="A882" s="29"/>
      <x:c r="B882" s="29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  <x:c r="P882" s="29"/>
      <x:c r="Q882" s="29"/>
      <x:c r="R882" s="29"/>
      <x:c r="S882" s="29"/>
      <x:c r="T882" s="29"/>
      <x:c r="U882" s="29"/>
      <x:c r="V882" s="29"/>
      <x:c r="W882" s="29"/>
    </x:row>
    <x:row r="883">
      <x:c r="A883" s="29"/>
      <x:c r="B883" s="29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  <x:c r="P883" s="29"/>
      <x:c r="Q883" s="29"/>
      <x:c r="R883" s="29"/>
      <x:c r="S883" s="29"/>
      <x:c r="T883" s="29"/>
      <x:c r="U883" s="29"/>
      <x:c r="V883" s="29"/>
      <x:c r="W883" s="29"/>
    </x:row>
    <x:row r="884">
      <x:c r="A884" s="29"/>
      <x:c r="B884" s="29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  <x:c r="P884" s="29"/>
      <x:c r="Q884" s="29"/>
      <x:c r="R884" s="29"/>
      <x:c r="S884" s="29"/>
      <x:c r="T884" s="29"/>
      <x:c r="U884" s="29"/>
      <x:c r="V884" s="29"/>
      <x:c r="W884" s="29"/>
    </x:row>
    <x:row r="885">
      <x:c r="A885" s="29"/>
      <x:c r="B885" s="29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  <x:c r="P885" s="29"/>
      <x:c r="Q885" s="29"/>
      <x:c r="R885" s="29"/>
      <x:c r="S885" s="29"/>
      <x:c r="T885" s="29"/>
      <x:c r="U885" s="29"/>
      <x:c r="V885" s="29"/>
      <x:c r="W885" s="29"/>
    </x:row>
    <x:row r="886">
      <x:c r="A886" s="29"/>
      <x:c r="B886" s="29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  <x:c r="P886" s="29"/>
      <x:c r="Q886" s="29"/>
      <x:c r="R886" s="29"/>
      <x:c r="S886" s="29"/>
      <x:c r="T886" s="29"/>
      <x:c r="U886" s="29"/>
      <x:c r="V886" s="29"/>
      <x:c r="W886" s="29"/>
    </x:row>
    <x:row r="887">
      <x:c r="A887" s="29"/>
      <x:c r="B887" s="29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  <x:c r="P887" s="29"/>
      <x:c r="Q887" s="29"/>
      <x:c r="R887" s="29"/>
      <x:c r="S887" s="29"/>
      <x:c r="T887" s="29"/>
      <x:c r="U887" s="29"/>
      <x:c r="V887" s="29"/>
      <x:c r="W887" s="29"/>
    </x:row>
    <x:row r="888">
      <x:c r="A888" s="29"/>
      <x:c r="B888" s="29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  <x:c r="P888" s="29"/>
      <x:c r="Q888" s="29"/>
      <x:c r="R888" s="29"/>
      <x:c r="S888" s="29"/>
      <x:c r="T888" s="29"/>
      <x:c r="U888" s="29"/>
      <x:c r="V888" s="29"/>
      <x:c r="W888" s="29"/>
    </x:row>
    <x:row r="889">
      <x:c r="A889" s="29"/>
      <x:c r="B889" s="29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  <x:c r="P889" s="29"/>
      <x:c r="Q889" s="29"/>
      <x:c r="R889" s="29"/>
      <x:c r="S889" s="29"/>
      <x:c r="T889" s="29"/>
      <x:c r="U889" s="29"/>
      <x:c r="V889" s="29"/>
      <x:c r="W889" s="29"/>
    </x:row>
    <x:row r="890">
      <x:c r="A890" s="29"/>
      <x:c r="B890" s="29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  <x:c r="P890" s="29"/>
      <x:c r="Q890" s="29"/>
      <x:c r="R890" s="29"/>
      <x:c r="S890" s="29"/>
      <x:c r="T890" s="29"/>
      <x:c r="U890" s="29"/>
      <x:c r="V890" s="29"/>
      <x:c r="W890" s="29"/>
    </x:row>
    <x:row r="891">
      <x:c r="A891" s="29"/>
      <x:c r="B891" s="29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  <x:c r="P891" s="29"/>
      <x:c r="Q891" s="29"/>
      <x:c r="R891" s="29"/>
      <x:c r="S891" s="29"/>
      <x:c r="T891" s="29"/>
      <x:c r="U891" s="29"/>
      <x:c r="V891" s="29"/>
      <x:c r="W891" s="29"/>
    </x:row>
    <x:row r="892">
      <x:c r="A892" s="29"/>
      <x:c r="B892" s="29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  <x:c r="P892" s="29"/>
      <x:c r="Q892" s="29"/>
      <x:c r="R892" s="29"/>
      <x:c r="S892" s="29"/>
      <x:c r="T892" s="29"/>
      <x:c r="U892" s="29"/>
      <x:c r="V892" s="29"/>
      <x:c r="W892" s="29"/>
    </x:row>
    <x:row r="893">
      <x:c r="A893" s="29"/>
      <x:c r="B893" s="29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  <x:c r="P893" s="29"/>
      <x:c r="Q893" s="29"/>
      <x:c r="R893" s="29"/>
      <x:c r="S893" s="29"/>
      <x:c r="T893" s="29"/>
      <x:c r="U893" s="29"/>
      <x:c r="V893" s="29"/>
      <x:c r="W893" s="29"/>
    </x:row>
    <x:row r="894">
      <x:c r="A894" s="29"/>
      <x:c r="B894" s="29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  <x:c r="P894" s="29"/>
      <x:c r="Q894" s="29"/>
      <x:c r="R894" s="29"/>
      <x:c r="S894" s="29"/>
      <x:c r="T894" s="29"/>
      <x:c r="U894" s="29"/>
      <x:c r="V894" s="29"/>
      <x:c r="W894" s="29"/>
    </x:row>
    <x:row r="895">
      <x:c r="A895" s="29"/>
      <x:c r="B895" s="29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  <x:c r="P895" s="29"/>
      <x:c r="Q895" s="29"/>
      <x:c r="R895" s="29"/>
      <x:c r="S895" s="29"/>
      <x:c r="T895" s="29"/>
      <x:c r="U895" s="29"/>
      <x:c r="V895" s="29"/>
      <x:c r="W895" s="29"/>
    </x:row>
    <x:row r="896">
      <x:c r="A896" s="29"/>
      <x:c r="B896" s="29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  <x:c r="P896" s="29"/>
      <x:c r="Q896" s="29"/>
      <x:c r="R896" s="29"/>
      <x:c r="S896" s="29"/>
      <x:c r="T896" s="29"/>
      <x:c r="U896" s="29"/>
      <x:c r="V896" s="29"/>
      <x:c r="W896" s="29"/>
    </x:row>
    <x:row r="897">
      <x:c r="A897" s="29"/>
      <x:c r="B897" s="29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  <x:c r="P897" s="29"/>
      <x:c r="Q897" s="29"/>
      <x:c r="R897" s="29"/>
      <x:c r="S897" s="29"/>
      <x:c r="T897" s="29"/>
      <x:c r="U897" s="29"/>
      <x:c r="V897" s="29"/>
      <x:c r="W897" s="29"/>
    </x:row>
    <x:row r="898">
      <x:c r="A898" s="29"/>
      <x:c r="B898" s="29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  <x:c r="P898" s="29"/>
      <x:c r="Q898" s="29"/>
      <x:c r="R898" s="29"/>
      <x:c r="S898" s="29"/>
      <x:c r="T898" s="29"/>
      <x:c r="U898" s="29"/>
      <x:c r="V898" s="29"/>
      <x:c r="W898" s="29"/>
    </x:row>
    <x:row r="899">
      <x:c r="A899" s="29"/>
      <x:c r="B899" s="29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  <x:c r="P899" s="29"/>
      <x:c r="Q899" s="29"/>
      <x:c r="R899" s="29"/>
      <x:c r="S899" s="29"/>
      <x:c r="T899" s="29"/>
      <x:c r="U899" s="29"/>
      <x:c r="V899" s="29"/>
      <x:c r="W899" s="29"/>
    </x:row>
    <x:row r="900">
      <x:c r="A900" s="29"/>
      <x:c r="B900" s="29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  <x:c r="P900" s="29"/>
      <x:c r="Q900" s="29"/>
      <x:c r="R900" s="29"/>
      <x:c r="S900" s="29"/>
      <x:c r="T900" s="29"/>
      <x:c r="U900" s="29"/>
      <x:c r="V900" s="29"/>
      <x:c r="W900" s="29"/>
    </x:row>
    <x:row r="901">
      <x:c r="A901" s="29"/>
      <x:c r="B901" s="29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  <x:c r="P901" s="29"/>
      <x:c r="Q901" s="29"/>
      <x:c r="R901" s="29"/>
      <x:c r="S901" s="29"/>
      <x:c r="T901" s="29"/>
      <x:c r="U901" s="29"/>
      <x:c r="V901" s="29"/>
      <x:c r="W901" s="29"/>
    </x:row>
    <x:row r="902">
      <x:c r="A902" s="29"/>
      <x:c r="B902" s="29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  <x:c r="P902" s="29"/>
      <x:c r="Q902" s="29"/>
      <x:c r="R902" s="29"/>
      <x:c r="S902" s="29"/>
      <x:c r="T902" s="29"/>
      <x:c r="U902" s="29"/>
      <x:c r="V902" s="29"/>
      <x:c r="W902" s="29"/>
    </x:row>
    <x:row r="903">
      <x:c r="A903" s="29"/>
      <x:c r="B903" s="29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  <x:c r="P903" s="29"/>
      <x:c r="Q903" s="29"/>
      <x:c r="R903" s="29"/>
      <x:c r="S903" s="29"/>
      <x:c r="T903" s="29"/>
      <x:c r="U903" s="29"/>
      <x:c r="V903" s="29"/>
      <x:c r="W903" s="29"/>
    </x:row>
    <x:row r="904">
      <x:c r="A904" s="29"/>
      <x:c r="B904" s="29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  <x:c r="P904" s="29"/>
      <x:c r="Q904" s="29"/>
      <x:c r="R904" s="29"/>
      <x:c r="S904" s="29"/>
      <x:c r="T904" s="29"/>
      <x:c r="U904" s="29"/>
      <x:c r="V904" s="29"/>
      <x:c r="W904" s="29"/>
    </x:row>
    <x:row r="905">
      <x:c r="A905" s="29"/>
      <x:c r="B905" s="29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  <x:c r="P905" s="29"/>
      <x:c r="Q905" s="29"/>
      <x:c r="R905" s="29"/>
      <x:c r="S905" s="29"/>
      <x:c r="T905" s="29"/>
      <x:c r="U905" s="29"/>
      <x:c r="V905" s="29"/>
      <x:c r="W905" s="29"/>
    </x:row>
    <x:row r="906">
      <x:c r="A906" s="29"/>
      <x:c r="B906" s="29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  <x:c r="P906" s="29"/>
      <x:c r="Q906" s="29"/>
      <x:c r="R906" s="29"/>
      <x:c r="S906" s="29"/>
      <x:c r="T906" s="29"/>
      <x:c r="U906" s="29"/>
      <x:c r="V906" s="29"/>
      <x:c r="W906" s="29"/>
    </x:row>
    <x:row r="907">
      <x:c r="A907" s="29"/>
      <x:c r="B907" s="29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  <x:c r="P907" s="29"/>
      <x:c r="Q907" s="29"/>
      <x:c r="R907" s="29"/>
      <x:c r="S907" s="29"/>
      <x:c r="T907" s="29"/>
      <x:c r="U907" s="29"/>
      <x:c r="V907" s="29"/>
      <x:c r="W907" s="29"/>
    </x:row>
    <x:row r="908">
      <x:c r="A908" s="29"/>
      <x:c r="B908" s="29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  <x:c r="P908" s="29"/>
      <x:c r="Q908" s="29"/>
      <x:c r="R908" s="29"/>
      <x:c r="S908" s="29"/>
      <x:c r="T908" s="29"/>
      <x:c r="U908" s="29"/>
      <x:c r="V908" s="29"/>
      <x:c r="W908" s="29"/>
    </x:row>
    <x:row r="909">
      <x:c r="A909" s="29"/>
      <x:c r="B909" s="29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  <x:c r="P909" s="29"/>
      <x:c r="Q909" s="29"/>
      <x:c r="R909" s="29"/>
      <x:c r="S909" s="29"/>
      <x:c r="T909" s="29"/>
      <x:c r="U909" s="29"/>
      <x:c r="V909" s="29"/>
      <x:c r="W909" s="29"/>
    </x:row>
    <x:row r="910">
      <x:c r="A910" s="29"/>
      <x:c r="B910" s="29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  <x:c r="P910" s="29"/>
      <x:c r="Q910" s="29"/>
      <x:c r="R910" s="29"/>
      <x:c r="S910" s="29"/>
      <x:c r="T910" s="29"/>
      <x:c r="U910" s="29"/>
      <x:c r="V910" s="29"/>
      <x:c r="W910" s="29"/>
    </x:row>
    <x:row r="911">
      <x:c r="A911" s="29"/>
      <x:c r="B911" s="29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  <x:c r="P911" s="29"/>
      <x:c r="Q911" s="29"/>
      <x:c r="R911" s="29"/>
      <x:c r="S911" s="29"/>
      <x:c r="T911" s="29"/>
      <x:c r="U911" s="29"/>
      <x:c r="V911" s="29"/>
      <x:c r="W911" s="29"/>
    </x:row>
    <x:row r="912">
      <x:c r="A912" s="29"/>
      <x:c r="B912" s="29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  <x:c r="P912" s="29"/>
      <x:c r="Q912" s="29"/>
      <x:c r="R912" s="29"/>
      <x:c r="S912" s="29"/>
      <x:c r="T912" s="29"/>
      <x:c r="U912" s="29"/>
      <x:c r="V912" s="29"/>
      <x:c r="W912" s="29"/>
    </x:row>
    <x:row r="913">
      <x:c r="A913" s="29"/>
      <x:c r="B913" s="29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  <x:c r="P913" s="29"/>
      <x:c r="Q913" s="29"/>
      <x:c r="R913" s="29"/>
      <x:c r="S913" s="29"/>
      <x:c r="T913" s="29"/>
      <x:c r="U913" s="29"/>
      <x:c r="V913" s="29"/>
      <x:c r="W913" s="29"/>
    </x:row>
    <x:row r="914">
      <x:c r="A914" s="29"/>
      <x:c r="B914" s="29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  <x:c r="P914" s="29"/>
      <x:c r="Q914" s="29"/>
      <x:c r="R914" s="29"/>
      <x:c r="S914" s="29"/>
      <x:c r="T914" s="29"/>
      <x:c r="U914" s="29"/>
      <x:c r="V914" s="29"/>
      <x:c r="W914" s="29"/>
    </x:row>
    <x:row r="915">
      <x:c r="A915" s="29"/>
      <x:c r="B915" s="29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  <x:c r="P915" s="29"/>
      <x:c r="Q915" s="29"/>
      <x:c r="R915" s="29"/>
      <x:c r="S915" s="29"/>
      <x:c r="T915" s="29"/>
      <x:c r="U915" s="29"/>
      <x:c r="V915" s="29"/>
      <x:c r="W915" s="29"/>
    </x:row>
    <x:row r="916">
      <x:c r="A916" s="29"/>
      <x:c r="B916" s="29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  <x:c r="P916" s="29"/>
      <x:c r="Q916" s="29"/>
      <x:c r="R916" s="29"/>
      <x:c r="S916" s="29"/>
      <x:c r="T916" s="29"/>
      <x:c r="U916" s="29"/>
      <x:c r="V916" s="29"/>
      <x:c r="W916" s="29"/>
    </x:row>
    <x:row r="917">
      <x:c r="A917" s="29"/>
      <x:c r="B917" s="29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  <x:c r="P917" s="29"/>
      <x:c r="Q917" s="29"/>
      <x:c r="R917" s="29"/>
      <x:c r="S917" s="29"/>
      <x:c r="T917" s="29"/>
      <x:c r="U917" s="29"/>
      <x:c r="V917" s="29"/>
      <x:c r="W917" s="29"/>
    </x:row>
    <x:row r="918">
      <x:c r="A918" s="29"/>
      <x:c r="B918" s="29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  <x:c r="P918" s="29"/>
      <x:c r="Q918" s="29"/>
      <x:c r="R918" s="29"/>
      <x:c r="S918" s="29"/>
      <x:c r="T918" s="29"/>
      <x:c r="U918" s="29"/>
      <x:c r="V918" s="29"/>
      <x:c r="W918" s="29"/>
    </x:row>
    <x:row r="919">
      <x:c r="A919" s="29"/>
      <x:c r="B919" s="29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  <x:c r="P919" s="29"/>
      <x:c r="Q919" s="29"/>
      <x:c r="R919" s="29"/>
      <x:c r="S919" s="29"/>
      <x:c r="T919" s="29"/>
      <x:c r="U919" s="29"/>
      <x:c r="V919" s="29"/>
      <x:c r="W919" s="29"/>
    </x:row>
    <x:row r="920">
      <x:c r="A920" s="29"/>
      <x:c r="B920" s="29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  <x:c r="P920" s="29"/>
      <x:c r="Q920" s="29"/>
      <x:c r="R920" s="29"/>
      <x:c r="S920" s="29"/>
      <x:c r="T920" s="29"/>
      <x:c r="U920" s="29"/>
      <x:c r="V920" s="29"/>
      <x:c r="W920" s="29"/>
    </x:row>
    <x:row r="921">
      <x:c r="A921" s="29"/>
      <x:c r="B921" s="29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  <x:c r="P921" s="29"/>
      <x:c r="Q921" s="29"/>
      <x:c r="R921" s="29"/>
      <x:c r="S921" s="29"/>
      <x:c r="T921" s="29"/>
      <x:c r="U921" s="29"/>
      <x:c r="V921" s="29"/>
      <x:c r="W921" s="29"/>
    </x:row>
    <x:row r="922">
      <x:c r="A922" s="29"/>
      <x:c r="B922" s="29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  <x:c r="P922" s="29"/>
      <x:c r="Q922" s="29"/>
      <x:c r="R922" s="29"/>
      <x:c r="S922" s="29"/>
      <x:c r="T922" s="29"/>
      <x:c r="U922" s="29"/>
      <x:c r="V922" s="29"/>
      <x:c r="W922" s="29"/>
    </x:row>
    <x:row r="923">
      <x:c r="A923" s="29"/>
      <x:c r="B923" s="29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  <x:c r="P923" s="29"/>
      <x:c r="Q923" s="29"/>
      <x:c r="R923" s="29"/>
      <x:c r="S923" s="29"/>
      <x:c r="T923" s="29"/>
      <x:c r="U923" s="29"/>
      <x:c r="V923" s="29"/>
      <x:c r="W923" s="29"/>
    </x:row>
    <x:row r="924">
      <x:c r="A924" s="29"/>
      <x:c r="B924" s="29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  <x:c r="P924" s="29"/>
      <x:c r="Q924" s="29"/>
      <x:c r="R924" s="29"/>
      <x:c r="S924" s="29"/>
      <x:c r="T924" s="29"/>
      <x:c r="U924" s="29"/>
      <x:c r="V924" s="29"/>
      <x:c r="W924" s="29"/>
    </x:row>
    <x:row r="925">
      <x:c r="A925" s="29"/>
      <x:c r="B925" s="29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  <x:c r="P925" s="29"/>
      <x:c r="Q925" s="29"/>
      <x:c r="R925" s="29"/>
      <x:c r="S925" s="29"/>
      <x:c r="T925" s="29"/>
      <x:c r="U925" s="29"/>
      <x:c r="V925" s="29"/>
      <x:c r="W925" s="29"/>
    </x:row>
    <x:row r="926">
      <x:c r="A926" s="29"/>
      <x:c r="B926" s="29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  <x:c r="P926" s="29"/>
      <x:c r="Q926" s="29"/>
      <x:c r="R926" s="29"/>
      <x:c r="S926" s="29"/>
      <x:c r="T926" s="29"/>
      <x:c r="U926" s="29"/>
      <x:c r="V926" s="29"/>
      <x:c r="W926" s="29"/>
    </x:row>
    <x:row r="927">
      <x:c r="A927" s="29"/>
      <x:c r="B927" s="29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  <x:c r="P927" s="29"/>
      <x:c r="Q927" s="29"/>
      <x:c r="R927" s="29"/>
      <x:c r="S927" s="29"/>
      <x:c r="T927" s="29"/>
      <x:c r="U927" s="29"/>
      <x:c r="V927" s="29"/>
      <x:c r="W927" s="29"/>
    </x:row>
    <x:row r="928">
      <x:c r="A928" s="29"/>
      <x:c r="B928" s="29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  <x:c r="P928" s="29"/>
      <x:c r="Q928" s="29"/>
      <x:c r="R928" s="29"/>
      <x:c r="S928" s="29"/>
      <x:c r="T928" s="29"/>
      <x:c r="U928" s="29"/>
      <x:c r="V928" s="29"/>
      <x:c r="W928" s="29"/>
    </x:row>
    <x:row r="929">
      <x:c r="A929" s="29"/>
      <x:c r="B929" s="29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  <x:c r="P929" s="29"/>
      <x:c r="Q929" s="29"/>
      <x:c r="R929" s="29"/>
      <x:c r="S929" s="29"/>
      <x:c r="T929" s="29"/>
      <x:c r="U929" s="29"/>
      <x:c r="V929" s="29"/>
      <x:c r="W929" s="29"/>
    </x:row>
    <x:row r="930">
      <x:c r="A930" s="29"/>
      <x:c r="B930" s="29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  <x:c r="P930" s="29"/>
      <x:c r="Q930" s="29"/>
      <x:c r="R930" s="29"/>
      <x:c r="S930" s="29"/>
      <x:c r="T930" s="29"/>
      <x:c r="U930" s="29"/>
      <x:c r="V930" s="29"/>
      <x:c r="W930" s="29"/>
    </x:row>
    <x:row r="931">
      <x:c r="A931" s="29"/>
      <x:c r="B931" s="29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  <x:c r="P931" s="29"/>
      <x:c r="Q931" s="29"/>
      <x:c r="R931" s="29"/>
      <x:c r="S931" s="29"/>
      <x:c r="T931" s="29"/>
      <x:c r="U931" s="29"/>
      <x:c r="V931" s="29"/>
      <x:c r="W931" s="29"/>
    </x:row>
    <x:row r="932">
      <x:c r="A932" s="29"/>
      <x:c r="B932" s="29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  <x:c r="P932" s="29"/>
      <x:c r="Q932" s="29"/>
      <x:c r="R932" s="29"/>
      <x:c r="S932" s="29"/>
      <x:c r="T932" s="29"/>
      <x:c r="U932" s="29"/>
      <x:c r="V932" s="29"/>
      <x:c r="W932" s="29"/>
    </x:row>
    <x:row r="933">
      <x:c r="A933" s="29"/>
      <x:c r="B933" s="29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  <x:c r="P933" s="29"/>
      <x:c r="Q933" s="29"/>
      <x:c r="R933" s="29"/>
      <x:c r="S933" s="29"/>
      <x:c r="T933" s="29"/>
      <x:c r="U933" s="29"/>
      <x:c r="V933" s="29"/>
      <x:c r="W933" s="29"/>
    </x:row>
    <x:row r="934">
      <x:c r="A934" s="29"/>
      <x:c r="B934" s="29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  <x:c r="P934" s="29"/>
      <x:c r="Q934" s="29"/>
      <x:c r="R934" s="29"/>
      <x:c r="S934" s="29"/>
      <x:c r="T934" s="29"/>
      <x:c r="U934" s="29"/>
      <x:c r="V934" s="29"/>
      <x:c r="W934" s="29"/>
    </x:row>
    <x:row r="935">
      <x:c r="A935" s="29"/>
      <x:c r="B935" s="29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  <x:c r="P935" s="29"/>
      <x:c r="Q935" s="29"/>
      <x:c r="R935" s="29"/>
      <x:c r="S935" s="29"/>
      <x:c r="T935" s="29"/>
      <x:c r="U935" s="29"/>
      <x:c r="V935" s="29"/>
      <x:c r="W935" s="29"/>
    </x:row>
    <x:row r="936">
      <x:c r="A936" s="29"/>
      <x:c r="B936" s="29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  <x:c r="P936" s="29"/>
      <x:c r="Q936" s="29"/>
      <x:c r="R936" s="29"/>
      <x:c r="S936" s="29"/>
      <x:c r="T936" s="29"/>
      <x:c r="U936" s="29"/>
      <x:c r="V936" s="29"/>
      <x:c r="W936" s="29"/>
    </x:row>
    <x:row r="937">
      <x:c r="A937" s="29"/>
      <x:c r="B937" s="29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  <x:c r="P937" s="29"/>
      <x:c r="Q937" s="29"/>
      <x:c r="R937" s="29"/>
      <x:c r="S937" s="29"/>
      <x:c r="T937" s="29"/>
      <x:c r="U937" s="29"/>
      <x:c r="V937" s="29"/>
      <x:c r="W937" s="29"/>
    </x:row>
    <x:row r="938">
      <x:c r="A938" s="29"/>
      <x:c r="B938" s="29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  <x:c r="P938" s="29"/>
      <x:c r="Q938" s="29"/>
      <x:c r="R938" s="29"/>
      <x:c r="S938" s="29"/>
      <x:c r="T938" s="29"/>
      <x:c r="U938" s="29"/>
      <x:c r="V938" s="29"/>
      <x:c r="W938" s="29"/>
    </x:row>
    <x:row r="939">
      <x:c r="A939" s="29"/>
      <x:c r="B939" s="29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  <x:c r="P939" s="29"/>
      <x:c r="Q939" s="29"/>
      <x:c r="R939" s="29"/>
      <x:c r="S939" s="29"/>
      <x:c r="T939" s="29"/>
      <x:c r="U939" s="29"/>
      <x:c r="V939" s="29"/>
      <x:c r="W939" s="29"/>
    </x:row>
    <x:row r="940">
      <x:c r="A940" s="29"/>
      <x:c r="B940" s="29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  <x:c r="P940" s="29"/>
      <x:c r="Q940" s="29"/>
      <x:c r="R940" s="29"/>
      <x:c r="S940" s="29"/>
      <x:c r="T940" s="29"/>
      <x:c r="U940" s="29"/>
      <x:c r="V940" s="29"/>
      <x:c r="W940" s="29"/>
    </x:row>
    <x:row r="941">
      <x:c r="A941" s="29"/>
      <x:c r="B941" s="29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  <x:c r="P941" s="29"/>
      <x:c r="Q941" s="29"/>
      <x:c r="R941" s="29"/>
      <x:c r="S941" s="29"/>
      <x:c r="T941" s="29"/>
      <x:c r="U941" s="29"/>
      <x:c r="V941" s="29"/>
      <x:c r="W941" s="29"/>
    </x:row>
    <x:row r="942">
      <x:c r="A942" s="29"/>
      <x:c r="B942" s="29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  <x:c r="P942" s="29"/>
      <x:c r="Q942" s="29"/>
      <x:c r="R942" s="29"/>
      <x:c r="S942" s="29"/>
      <x:c r="T942" s="29"/>
      <x:c r="U942" s="29"/>
      <x:c r="V942" s="29"/>
      <x:c r="W942" s="29"/>
    </x:row>
    <x:row r="943">
      <x:c r="A943" s="29"/>
      <x:c r="B943" s="29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  <x:c r="P943" s="29"/>
      <x:c r="Q943" s="29"/>
      <x:c r="R943" s="29"/>
      <x:c r="S943" s="29"/>
      <x:c r="T943" s="29"/>
      <x:c r="U943" s="29"/>
      <x:c r="V943" s="29"/>
      <x:c r="W943" s="29"/>
    </x:row>
    <x:row r="944">
      <x:c r="A944" s="29"/>
      <x:c r="B944" s="29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  <x:c r="P944" s="29"/>
      <x:c r="Q944" s="29"/>
      <x:c r="R944" s="29"/>
      <x:c r="S944" s="29"/>
      <x:c r="T944" s="29"/>
      <x:c r="U944" s="29"/>
      <x:c r="V944" s="29"/>
      <x:c r="W944" s="29"/>
    </x:row>
    <x:row r="945">
      <x:c r="A945" s="29"/>
      <x:c r="B945" s="29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  <x:c r="P945" s="29"/>
      <x:c r="Q945" s="29"/>
      <x:c r="R945" s="29"/>
      <x:c r="S945" s="29"/>
      <x:c r="T945" s="29"/>
      <x:c r="U945" s="29"/>
      <x:c r="V945" s="29"/>
      <x:c r="W945" s="29"/>
    </x:row>
    <x:row r="946">
      <x:c r="A946" s="29"/>
      <x:c r="B946" s="29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  <x:c r="P946" s="29"/>
      <x:c r="Q946" s="29"/>
      <x:c r="R946" s="29"/>
      <x:c r="S946" s="29"/>
      <x:c r="T946" s="29"/>
      <x:c r="U946" s="29"/>
      <x:c r="V946" s="29"/>
      <x:c r="W946" s="29"/>
    </x:row>
    <x:row r="947">
      <x:c r="A947" s="29"/>
      <x:c r="B947" s="29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  <x:c r="P947" s="29"/>
      <x:c r="Q947" s="29"/>
      <x:c r="R947" s="29"/>
      <x:c r="S947" s="29"/>
      <x:c r="T947" s="29"/>
      <x:c r="U947" s="29"/>
      <x:c r="V947" s="29"/>
      <x:c r="W947" s="29"/>
    </x:row>
    <x:row r="948">
      <x:c r="A948" s="29"/>
      <x:c r="B948" s="29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  <x:c r="P948" s="29"/>
      <x:c r="Q948" s="29"/>
      <x:c r="R948" s="29"/>
      <x:c r="S948" s="29"/>
      <x:c r="T948" s="29"/>
      <x:c r="U948" s="29"/>
      <x:c r="V948" s="29"/>
      <x:c r="W948" s="29"/>
    </x:row>
    <x:row r="949">
      <x:c r="A949" s="29"/>
      <x:c r="B949" s="29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  <x:c r="P949" s="29"/>
      <x:c r="Q949" s="29"/>
      <x:c r="R949" s="29"/>
      <x:c r="S949" s="29"/>
      <x:c r="T949" s="29"/>
      <x:c r="U949" s="29"/>
      <x:c r="V949" s="29"/>
      <x:c r="W949" s="29"/>
    </x:row>
    <x:row r="950">
      <x:c r="A950" s="29"/>
      <x:c r="B950" s="29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  <x:c r="P950" s="29"/>
      <x:c r="Q950" s="29"/>
      <x:c r="R950" s="29"/>
      <x:c r="S950" s="29"/>
      <x:c r="T950" s="29"/>
      <x:c r="U950" s="29"/>
      <x:c r="V950" s="29"/>
      <x:c r="W950" s="29"/>
    </x:row>
    <x:row r="951">
      <x:c r="A951" s="29"/>
      <x:c r="B951" s="29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  <x:c r="P951" s="29"/>
      <x:c r="Q951" s="29"/>
      <x:c r="R951" s="29"/>
      <x:c r="S951" s="29"/>
      <x:c r="T951" s="29"/>
      <x:c r="U951" s="29"/>
      <x:c r="V951" s="29"/>
      <x:c r="W951" s="29"/>
    </x:row>
    <x:row r="952">
      <x:c r="A952" s="29"/>
      <x:c r="B952" s="29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  <x:c r="P952" s="29"/>
      <x:c r="Q952" s="29"/>
      <x:c r="R952" s="29"/>
      <x:c r="S952" s="29"/>
      <x:c r="T952" s="29"/>
      <x:c r="U952" s="29"/>
      <x:c r="V952" s="29"/>
      <x:c r="W952" s="29"/>
    </x:row>
    <x:row r="953">
      <x:c r="A953" s="29"/>
      <x:c r="B953" s="29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  <x:c r="P953" s="29"/>
      <x:c r="Q953" s="29"/>
      <x:c r="R953" s="29"/>
      <x:c r="S953" s="29"/>
      <x:c r="T953" s="29"/>
      <x:c r="U953" s="29"/>
      <x:c r="V953" s="29"/>
      <x:c r="W953" s="29"/>
    </x:row>
    <x:row r="954">
      <x:c r="A954" s="29"/>
      <x:c r="B954" s="29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  <x:c r="P954" s="29"/>
      <x:c r="Q954" s="29"/>
      <x:c r="R954" s="29"/>
      <x:c r="S954" s="29"/>
      <x:c r="T954" s="29"/>
      <x:c r="U954" s="29"/>
      <x:c r="V954" s="29"/>
      <x:c r="W954" s="29"/>
    </x:row>
    <x:row r="955">
      <x:c r="A955" s="29"/>
      <x:c r="B955" s="29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  <x:c r="P955" s="29"/>
      <x:c r="Q955" s="29"/>
      <x:c r="R955" s="29"/>
      <x:c r="S955" s="29"/>
      <x:c r="T955" s="29"/>
      <x:c r="U955" s="29"/>
      <x:c r="V955" s="29"/>
      <x:c r="W955" s="29"/>
    </x:row>
    <x:row r="956">
      <x:c r="A956" s="29"/>
      <x:c r="B956" s="29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  <x:c r="P956" s="29"/>
      <x:c r="Q956" s="29"/>
      <x:c r="R956" s="29"/>
      <x:c r="S956" s="29"/>
      <x:c r="T956" s="29"/>
      <x:c r="U956" s="29"/>
      <x:c r="V956" s="29"/>
      <x:c r="W956" s="29"/>
    </x:row>
    <x:row r="957">
      <x:c r="A957" s="29"/>
      <x:c r="B957" s="29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  <x:c r="P957" s="29"/>
      <x:c r="Q957" s="29"/>
      <x:c r="R957" s="29"/>
      <x:c r="S957" s="29"/>
      <x:c r="T957" s="29"/>
      <x:c r="U957" s="29"/>
      <x:c r="V957" s="29"/>
      <x:c r="W957" s="29"/>
    </x:row>
    <x:row r="958">
      <x:c r="A958" s="29"/>
      <x:c r="B958" s="29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  <x:c r="P958" s="29"/>
      <x:c r="Q958" s="29"/>
      <x:c r="R958" s="29"/>
      <x:c r="S958" s="29"/>
      <x:c r="T958" s="29"/>
      <x:c r="U958" s="29"/>
      <x:c r="V958" s="29"/>
      <x:c r="W958" s="29"/>
    </x:row>
    <x:row r="959">
      <x:c r="A959" s="29"/>
      <x:c r="B959" s="29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  <x:c r="P959" s="29"/>
      <x:c r="Q959" s="29"/>
      <x:c r="R959" s="29"/>
      <x:c r="S959" s="29"/>
      <x:c r="T959" s="29"/>
      <x:c r="U959" s="29"/>
      <x:c r="V959" s="29"/>
      <x:c r="W959" s="29"/>
    </x:row>
    <x:row r="960">
      <x:c r="A960" s="29"/>
      <x:c r="B960" s="29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  <x:c r="P960" s="29"/>
      <x:c r="Q960" s="29"/>
      <x:c r="R960" s="29"/>
      <x:c r="S960" s="29"/>
      <x:c r="T960" s="29"/>
      <x:c r="U960" s="29"/>
      <x:c r="V960" s="29"/>
      <x:c r="W960" s="29"/>
    </x:row>
    <x:row r="961">
      <x:c r="A961" s="29"/>
      <x:c r="B961" s="29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  <x:c r="P961" s="29"/>
      <x:c r="Q961" s="29"/>
      <x:c r="R961" s="29"/>
      <x:c r="S961" s="29"/>
      <x:c r="T961" s="29"/>
      <x:c r="U961" s="29"/>
      <x:c r="V961" s="29"/>
      <x:c r="W961" s="29"/>
    </x:row>
    <x:row r="962">
      <x:c r="A962" s="29"/>
      <x:c r="B962" s="29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  <x:c r="P962" s="29"/>
      <x:c r="Q962" s="29"/>
      <x:c r="R962" s="29"/>
      <x:c r="S962" s="29"/>
      <x:c r="T962" s="29"/>
      <x:c r="U962" s="29"/>
      <x:c r="V962" s="29"/>
      <x:c r="W962" s="29"/>
    </x:row>
    <x:row r="963">
      <x:c r="A963" s="29"/>
      <x:c r="B963" s="29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  <x:c r="P963" s="29"/>
      <x:c r="Q963" s="29"/>
      <x:c r="R963" s="29"/>
      <x:c r="S963" s="29"/>
      <x:c r="T963" s="29"/>
      <x:c r="U963" s="29"/>
      <x:c r="V963" s="29"/>
      <x:c r="W963" s="29"/>
    </x:row>
    <x:row r="964">
      <x:c r="A964" s="29"/>
      <x:c r="B964" s="29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  <x:c r="P964" s="29"/>
      <x:c r="Q964" s="29"/>
      <x:c r="R964" s="29"/>
      <x:c r="S964" s="29"/>
      <x:c r="T964" s="29"/>
      <x:c r="U964" s="29"/>
      <x:c r="V964" s="29"/>
      <x:c r="W964" s="29"/>
    </x:row>
    <x:row r="965">
      <x:c r="A965" s="29"/>
      <x:c r="B965" s="29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  <x:c r="P965" s="29"/>
      <x:c r="Q965" s="29"/>
      <x:c r="R965" s="29"/>
      <x:c r="S965" s="29"/>
      <x:c r="T965" s="29"/>
      <x:c r="U965" s="29"/>
      <x:c r="V965" s="29"/>
      <x:c r="W965" s="29"/>
    </x:row>
    <x:row r="966">
      <x:c r="A966" s="29"/>
      <x:c r="B966" s="29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  <x:c r="P966" s="29"/>
      <x:c r="Q966" s="29"/>
      <x:c r="R966" s="29"/>
      <x:c r="S966" s="29"/>
      <x:c r="T966" s="29"/>
      <x:c r="U966" s="29"/>
      <x:c r="V966" s="29"/>
      <x:c r="W966" s="29"/>
    </x:row>
    <x:row r="967">
      <x:c r="A967" s="29"/>
      <x:c r="B967" s="29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  <x:c r="P967" s="29"/>
      <x:c r="Q967" s="29"/>
      <x:c r="R967" s="29"/>
      <x:c r="S967" s="29"/>
      <x:c r="T967" s="29"/>
      <x:c r="U967" s="29"/>
      <x:c r="V967" s="29"/>
      <x:c r="W967" s="29"/>
    </x:row>
    <x:row r="968">
      <x:c r="A968" s="29"/>
      <x:c r="B968" s="29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  <x:c r="P968" s="29"/>
      <x:c r="Q968" s="29"/>
      <x:c r="R968" s="29"/>
      <x:c r="S968" s="29"/>
      <x:c r="T968" s="29"/>
      <x:c r="U968" s="29"/>
      <x:c r="V968" s="29"/>
      <x:c r="W968" s="29"/>
    </x:row>
    <x:row r="969">
      <x:c r="A969" s="29"/>
      <x:c r="B969" s="29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  <x:c r="P969" s="29"/>
      <x:c r="Q969" s="29"/>
      <x:c r="R969" s="29"/>
      <x:c r="S969" s="29"/>
      <x:c r="T969" s="29"/>
      <x:c r="U969" s="29"/>
      <x:c r="V969" s="29"/>
      <x:c r="W969" s="29"/>
    </x:row>
    <x:row r="970">
      <x:c r="A970" s="29"/>
      <x:c r="B970" s="29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  <x:c r="P970" s="29"/>
      <x:c r="Q970" s="29"/>
      <x:c r="R970" s="29"/>
      <x:c r="S970" s="29"/>
      <x:c r="T970" s="29"/>
      <x:c r="U970" s="29"/>
      <x:c r="V970" s="29"/>
      <x:c r="W970" s="29"/>
    </x:row>
    <x:row r="971">
      <x:c r="A971" s="29"/>
      <x:c r="B971" s="29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  <x:c r="P971" s="29"/>
      <x:c r="Q971" s="29"/>
      <x:c r="R971" s="29"/>
      <x:c r="S971" s="29"/>
      <x:c r="T971" s="29"/>
      <x:c r="U971" s="29"/>
      <x:c r="V971" s="29"/>
      <x:c r="W971" s="29"/>
    </x:row>
    <x:row r="972">
      <x:c r="A972" s="29"/>
      <x:c r="B972" s="29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  <x:c r="P972" s="29"/>
      <x:c r="Q972" s="29"/>
      <x:c r="R972" s="29"/>
      <x:c r="S972" s="29"/>
      <x:c r="T972" s="29"/>
      <x:c r="U972" s="29"/>
      <x:c r="V972" s="29"/>
      <x:c r="W972" s="29"/>
    </x:row>
    <x:row r="973">
      <x:c r="A973" s="29"/>
      <x:c r="B973" s="29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  <x:c r="P973" s="29"/>
      <x:c r="Q973" s="29"/>
      <x:c r="R973" s="29"/>
      <x:c r="S973" s="29"/>
      <x:c r="T973" s="29"/>
      <x:c r="U973" s="29"/>
      <x:c r="V973" s="29"/>
      <x:c r="W973" s="29"/>
    </x:row>
    <x:row r="974">
      <x:c r="A974" s="29"/>
      <x:c r="B974" s="29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  <x:c r="P974" s="29"/>
      <x:c r="Q974" s="29"/>
      <x:c r="R974" s="29"/>
      <x:c r="S974" s="29"/>
      <x:c r="T974" s="29"/>
      <x:c r="U974" s="29"/>
      <x:c r="V974" s="29"/>
      <x:c r="W974" s="29"/>
    </x:row>
    <x:row r="975">
      <x:c r="A975" s="29"/>
      <x:c r="B975" s="29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  <x:c r="P975" s="29"/>
      <x:c r="Q975" s="29"/>
      <x:c r="R975" s="29"/>
      <x:c r="S975" s="29"/>
      <x:c r="T975" s="29"/>
      <x:c r="U975" s="29"/>
      <x:c r="V975" s="29"/>
      <x:c r="W975" s="29"/>
    </x:row>
    <x:row r="976">
      <x:c r="A976" s="29"/>
      <x:c r="B976" s="29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  <x:c r="P976" s="29"/>
      <x:c r="Q976" s="29"/>
      <x:c r="R976" s="29"/>
      <x:c r="S976" s="29"/>
      <x:c r="T976" s="29"/>
      <x:c r="U976" s="29"/>
      <x:c r="V976" s="29"/>
      <x:c r="W976" s="29"/>
    </x:row>
    <x:row r="977">
      <x:c r="A977" s="29"/>
      <x:c r="B977" s="29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  <x:c r="P977" s="29"/>
      <x:c r="Q977" s="29"/>
      <x:c r="R977" s="29"/>
      <x:c r="S977" s="29"/>
      <x:c r="T977" s="29"/>
      <x:c r="U977" s="29"/>
      <x:c r="V977" s="29"/>
      <x:c r="W977" s="29"/>
    </x:row>
    <x:row r="978">
      <x:c r="A978" s="29"/>
      <x:c r="B978" s="29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  <x:c r="P978" s="29"/>
      <x:c r="Q978" s="29"/>
      <x:c r="R978" s="29"/>
      <x:c r="S978" s="29"/>
      <x:c r="T978" s="29"/>
      <x:c r="U978" s="29"/>
      <x:c r="V978" s="29"/>
      <x:c r="W978" s="29"/>
    </x:row>
    <x:row r="979">
      <x:c r="A979" s="29"/>
      <x:c r="B979" s="29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  <x:c r="P979" s="29"/>
      <x:c r="Q979" s="29"/>
      <x:c r="R979" s="29"/>
      <x:c r="S979" s="29"/>
      <x:c r="T979" s="29"/>
      <x:c r="U979" s="29"/>
      <x:c r="V979" s="29"/>
      <x:c r="W979" s="29"/>
    </x:row>
    <x:row r="980">
      <x:c r="A980" s="29"/>
      <x:c r="B980" s="29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  <x:c r="P980" s="29"/>
      <x:c r="Q980" s="29"/>
      <x:c r="R980" s="29"/>
      <x:c r="S980" s="29"/>
      <x:c r="T980" s="29"/>
      <x:c r="U980" s="29"/>
      <x:c r="V980" s="29"/>
      <x:c r="W980" s="29"/>
    </x:row>
    <x:row r="981">
      <x:c r="A981" s="29"/>
      <x:c r="B981" s="29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  <x:c r="P981" s="29"/>
      <x:c r="Q981" s="29"/>
      <x:c r="R981" s="29"/>
      <x:c r="S981" s="29"/>
      <x:c r="T981" s="29"/>
      <x:c r="U981" s="29"/>
      <x:c r="V981" s="29"/>
      <x:c r="W981" s="29"/>
    </x:row>
    <x:row r="982">
      <x:c r="A982" s="29"/>
      <x:c r="B982" s="29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  <x:c r="P982" s="29"/>
      <x:c r="Q982" s="29"/>
      <x:c r="R982" s="29"/>
      <x:c r="S982" s="29"/>
      <x:c r="T982" s="29"/>
      <x:c r="U982" s="29"/>
      <x:c r="V982" s="29"/>
      <x:c r="W982" s="29"/>
    </x:row>
    <x:row r="983">
      <x:c r="A983" s="29"/>
      <x:c r="B983" s="29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  <x:c r="P983" s="29"/>
      <x:c r="Q983" s="29"/>
      <x:c r="R983" s="29"/>
      <x:c r="S983" s="29"/>
      <x:c r="T983" s="29"/>
      <x:c r="U983" s="29"/>
      <x:c r="V983" s="29"/>
      <x:c r="W983" s="29"/>
    </x:row>
    <x:row r="984">
      <x:c r="A984" s="29"/>
      <x:c r="B984" s="29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  <x:c r="P984" s="29"/>
      <x:c r="Q984" s="29"/>
      <x:c r="R984" s="29"/>
      <x:c r="S984" s="29"/>
      <x:c r="T984" s="29"/>
      <x:c r="U984" s="29"/>
      <x:c r="V984" s="29"/>
      <x:c r="W984" s="29"/>
    </x:row>
    <x:row r="985">
      <x:c r="A985" s="29"/>
      <x:c r="B985" s="29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  <x:c r="P985" s="29"/>
      <x:c r="Q985" s="29"/>
      <x:c r="R985" s="29"/>
      <x:c r="S985" s="29"/>
      <x:c r="T985" s="29"/>
      <x:c r="U985" s="29"/>
      <x:c r="V985" s="29"/>
      <x:c r="W985" s="29"/>
    </x:row>
    <x:row r="986">
      <x:c r="A986" s="29"/>
      <x:c r="B986" s="29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  <x:c r="P986" s="29"/>
      <x:c r="Q986" s="29"/>
      <x:c r="R986" s="29"/>
      <x:c r="S986" s="29"/>
      <x:c r="T986" s="29"/>
      <x:c r="U986" s="29"/>
      <x:c r="V986" s="29"/>
      <x:c r="W986" s="29"/>
    </x:row>
    <x:row r="987">
      <x:c r="A987" s="29"/>
      <x:c r="B987" s="29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  <x:c r="P987" s="29"/>
      <x:c r="Q987" s="29"/>
      <x:c r="R987" s="29"/>
      <x:c r="S987" s="29"/>
      <x:c r="T987" s="29"/>
      <x:c r="U987" s="29"/>
      <x:c r="V987" s="29"/>
      <x:c r="W987" s="29"/>
    </x:row>
    <x:row r="988">
      <x:c r="A988" s="29"/>
      <x:c r="B988" s="29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  <x:c r="P988" s="29"/>
      <x:c r="Q988" s="29"/>
      <x:c r="R988" s="29"/>
      <x:c r="S988" s="29"/>
      <x:c r="T988" s="29"/>
      <x:c r="U988" s="29"/>
      <x:c r="V988" s="29"/>
      <x:c r="W988" s="29"/>
    </x:row>
    <x:row r="989">
      <x:c r="A989" s="29"/>
      <x:c r="B989" s="29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  <x:c r="P989" s="29"/>
      <x:c r="Q989" s="29"/>
      <x:c r="R989" s="29"/>
      <x:c r="S989" s="29"/>
      <x:c r="T989" s="29"/>
      <x:c r="U989" s="29"/>
      <x:c r="V989" s="29"/>
      <x:c r="W989" s="29"/>
    </x:row>
    <x:row r="990">
      <x:c r="A990" s="29"/>
      <x:c r="B990" s="29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  <x:c r="P990" s="29"/>
      <x:c r="Q990" s="29"/>
      <x:c r="R990" s="29"/>
      <x:c r="S990" s="29"/>
      <x:c r="T990" s="29"/>
      <x:c r="U990" s="29"/>
      <x:c r="V990" s="29"/>
      <x:c r="W990" s="29"/>
    </x:row>
    <x:row r="991">
      <x:c r="A991" s="29"/>
      <x:c r="B991" s="29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  <x:c r="P991" s="29"/>
      <x:c r="Q991" s="29"/>
      <x:c r="R991" s="29"/>
      <x:c r="S991" s="29"/>
      <x:c r="T991" s="29"/>
      <x:c r="U991" s="29"/>
      <x:c r="V991" s="29"/>
      <x:c r="W991" s="29"/>
    </x:row>
    <x:row r="992">
      <x:c r="A992" s="29"/>
      <x:c r="B992" s="29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  <x:c r="P992" s="29"/>
      <x:c r="Q992" s="29"/>
      <x:c r="R992" s="29"/>
      <x:c r="S992" s="29"/>
      <x:c r="T992" s="29"/>
      <x:c r="U992" s="29"/>
      <x:c r="V992" s="29"/>
      <x:c r="W992" s="29"/>
    </x:row>
    <x:row r="993">
      <x:c r="A993" s="29"/>
      <x:c r="B993" s="29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  <x:c r="P993" s="29"/>
      <x:c r="Q993" s="29"/>
      <x:c r="R993" s="29"/>
      <x:c r="S993" s="29"/>
      <x:c r="T993" s="29"/>
      <x:c r="U993" s="29"/>
      <x:c r="V993" s="29"/>
      <x:c r="W993" s="29"/>
    </x:row>
    <x:row r="994">
      <x:c r="A994" s="29"/>
      <x:c r="B994" s="29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  <x:c r="P994" s="29"/>
      <x:c r="Q994" s="29"/>
      <x:c r="R994" s="29"/>
      <x:c r="S994" s="29"/>
      <x:c r="T994" s="29"/>
      <x:c r="U994" s="29"/>
      <x:c r="V994" s="29"/>
      <x:c r="W994" s="29"/>
    </x:row>
    <x:row r="995">
      <x:c r="A995" s="29"/>
      <x:c r="B995" s="29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  <x:c r="P995" s="29"/>
      <x:c r="Q995" s="29"/>
      <x:c r="R995" s="29"/>
      <x:c r="S995" s="29"/>
      <x:c r="T995" s="29"/>
      <x:c r="U995" s="29"/>
      <x:c r="V995" s="29"/>
      <x:c r="W995" s="29"/>
    </x:row>
    <x:row r="996">
      <x:c r="A996" s="29"/>
      <x:c r="B996" s="29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  <x:c r="P996" s="29"/>
      <x:c r="Q996" s="29"/>
      <x:c r="R996" s="29"/>
      <x:c r="S996" s="29"/>
      <x:c r="T996" s="29"/>
      <x:c r="U996" s="29"/>
      <x:c r="V996" s="29"/>
      <x:c r="W996" s="29"/>
    </x:row>
    <x:row r="997">
      <x:c r="A997" s="29"/>
      <x:c r="B997" s="29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  <x:c r="P997" s="29"/>
      <x:c r="Q997" s="29"/>
      <x:c r="R997" s="29"/>
      <x:c r="S997" s="29"/>
      <x:c r="T997" s="29"/>
      <x:c r="U997" s="29"/>
      <x:c r="V997" s="29"/>
      <x:c r="W997" s="29"/>
    </x:row>
    <x:row r="998">
      <x:c r="A998" s="29"/>
      <x:c r="B998" s="29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  <x:c r="P998" s="29"/>
      <x:c r="Q998" s="29"/>
      <x:c r="R998" s="29"/>
      <x:c r="S998" s="29"/>
      <x:c r="T998" s="29"/>
      <x:c r="U998" s="29"/>
      <x:c r="V998" s="29"/>
      <x:c r="W998" s="29"/>
    </x:row>
    <x:row r="999">
      <x:c r="A999" s="29"/>
      <x:c r="B999" s="29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  <x:c r="P999" s="29"/>
      <x:c r="Q999" s="29"/>
      <x:c r="R999" s="29"/>
      <x:c r="S999" s="29"/>
      <x:c r="T999" s="29"/>
      <x:c r="U999" s="29"/>
      <x:c r="V999" s="29"/>
      <x:c r="W999" s="29"/>
    </x:row>
    <x:row r="1000">
      <x:c r="A1000" s="29"/>
      <x:c r="B1000" s="29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  <x:c r="P1000" s="29"/>
      <x:c r="Q1000" s="29"/>
      <x:c r="R1000" s="29"/>
      <x:c r="S1000" s="29"/>
      <x:c r="T1000" s="29"/>
      <x:c r="U1000" s="29"/>
      <x:c r="V1000" s="29"/>
      <x:c r="W1000" s="29"/>
    </x:row>
  </x:sheetData>
  <x:mergeCells>
    <x:mergeCell ref="A1:W1"/>
    <x:mergeCell ref="A2:W2"/>
  </x:mergeCells>
  <x:conditionalFormatting sqref="Q4:Q1000">
    <x:cfRule type="containsText" dxfId="0" priority="6" operator="between" text="红">
      <x:formula>NOT(ISERROR(SEARCH("红",Q4)))</x:formula>
    </x:cfRule>
    <x:cfRule type="containsText" dxfId="1" priority="7" operator="between" text="黑">
      <x:formula>NOT(ISERROR(SEARCH("黑",Q4)))</x:formula>
    </x:cfRule>
    <x:cfRule type="containsText" dxfId="2" priority="8" operator="between" text="走">
      <x:formula>NOT(ISERROR(SEARCH("走",Q4)))</x:formula>
    </x:cfRule>
  </x:conditionalFormatting>
  <x:conditionalFormatting sqref="R4:R1000">
    <x:cfRule type="cellIs" dxfId="3" priority="4" operator="greaterThan">
      <x:formula>0</x:formula>
    </x:cfRule>
    <x:cfRule type="cellIs" dxfId="4" priority="5" operator="lessThan">
      <x:formula>0</x:formula>
    </x:cfRule>
  </x:conditionalFormatting>
  <x:conditionalFormatting sqref="S4:S1000">
    <x:cfRule type="cellIs" dxfId="3" priority="12" operator="greaterThan">
      <x:formula>0</x:formula>
    </x:cfRule>
    <x:cfRule type="cellIs" dxfId="4" priority="13" operator="lessThan">
      <x:formula>0</x:formula>
    </x:cfRule>
  </x:conditionalFormatting>
  <x:conditionalFormatting sqref="U4:U1000">
    <x:cfRule type="containsText" dxfId="0" priority="9" operator="between" text="红">
      <x:formula>NOT(ISERROR(SEARCH("红",U4)))</x:formula>
    </x:cfRule>
    <x:cfRule type="containsText" dxfId="1" priority="10" operator="between" text="黑">
      <x:formula>NOT(ISERROR(SEARCH("黑",U4)))</x:formula>
    </x:cfRule>
    <x:cfRule type="containsText" dxfId="2" priority="11" operator="between" text="走">
      <x:formula>NOT(ISERROR(SEARCH("走",U4)))</x:formula>
    </x:cfRule>
  </x:conditionalFormatting>
  <x:conditionalFormatting sqref="W4:W1000">
    <x:cfRule type="cellIs" dxfId="3" priority="14" operator="greaterThan">
      <x:formula>0</x:formula>
    </x:cfRule>
    <x:cfRule type="cellIs" dxfId="4" priority="15" operator="lessThan">
      <x:formula>0</x:formula>
    </x:cfRule>
  </x:conditionalFormatting>
  <x:dataValidations count="2">
    <x:dataValidation type="list" sqref="O4:O1000 P4:P1000">
      <x:formula1>"已结算,进行中,未开赛,待结算"</x:formula1>
    </x:dataValidation>
    <x:dataValidation type="list" sqref="Q4:Q1000">
      <x:formula1>"红,半红,走,半黑,黑,待结算"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574414d57d4c5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12" customWidth="1"/>
    <x:col min="2" max="4" width="23" customWidth="1"/>
    <x:col min="5" max="5" width="39" customWidth="1"/>
    <x:col min="6" max="9" width="13" customWidth="1"/>
    <x:col min="10" max="10" width="48" customWidth="1"/>
  </x:cols>
  <x:sheetData>
    <x:row r="1" ht="17.399999618530273">
      <x:c r="A1" s="47" t="s">
        <x:v>2916</x:v>
      </x:c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3" ht="14.399999618530273">
      <x:c r="A3" s="48" t="s">
        <x:v>2917</x:v>
      </x:c>
      <x:c r="B3" s="48" t="s">
        <x:v>2918</x:v>
      </x:c>
      <x:c r="C3" s="48" t="s">
        <x:v>2919</x:v>
      </x:c>
      <x:c r="D3" s="48" t="s">
        <x:v>4</x:v>
      </x:c>
      <x:c r="E3" s="48" t="s">
        <x:v>55</x:v>
      </x:c>
      <x:c r="F3" s="48" t="s">
        <x:v>2920</x:v>
      </x:c>
      <x:c r="G3" s="48" t="s">
        <x:v>30</x:v>
      </x:c>
      <x:c r="H3" s="48" t="s">
        <x:v>2921</x:v>
      </x:c>
      <x:c r="I3" s="48" t="s">
        <x:v>2922</x:v>
      </x:c>
      <x:c r="J3" s="48" t="s">
        <x:v>2923</x:v>
      </x:c>
    </x:row>
    <x:row r="4" ht="28.799999237060547">
      <x:c r="A4" s="35">
        <x:v>1</x:v>
      </x:c>
      <x:c r="B4" s="35" t="s">
        <x:v>2924</x:v>
      </x:c>
      <x:c r="C4" s="35" t="s">
        <x:v>87</x:v>
      </x:c>
      <x:c r="D4" s="35" t="s">
        <x:v>2925</x:v>
      </x:c>
      <x:c r="E4" s="35" t="s">
        <x:v>98</x:v>
      </x:c>
      <x:c r="F4" s="35">
        <x:v>26</x:v>
      </x:c>
      <x:c r="G4" s="35">
        <x:v>20</x:v>
      </x:c>
      <x:c r="H4" s="35">
        <x:v>6</x:v>
      </x:c>
      <x:c r="I4" s="34">
        <x:v>-2.605</x:v>
      </x:c>
      <x:c r="J4" s="35" t="s">
        <x:v>2926</x:v>
      </x:c>
    </x:row>
    <x:row r="5" ht="42" customHeight="1">
      <x:c r="A5" s="4">
        <x:v>2</x:v>
      </x:c>
      <x:c r="B5" s="4" t="s">
        <x:v>2924</x:v>
      </x:c>
      <x:c r="C5" s="4" t="s">
        <x:v>87</x:v>
      </x:c>
      <x:c r="D5" s="4" t="s">
        <x:v>2925</x:v>
      </x:c>
      <x:c r="E5" s="4" t="s">
        <x:v>98</x:v>
      </x:c>
      <x:c r="F5" s="4">
        <x:v>26</x:v>
      </x:c>
      <x:c r="G5" s="4">
        <x:v>20</x:v>
      </x:c>
      <x:c r="H5" s="4">
        <x:v>6</x:v>
      </x:c>
      <x:c r="I5" s="6">
        <x:v>-2.605</x:v>
      </x:c>
      <x:c r="J5" s="4" t="s">
        <x:v>2927</x:v>
      </x:c>
    </x:row>
    <x:row r="6" ht="42" customHeight="1">
      <x:c r="A6" s="4">
        <x:v>3</x:v>
      </x:c>
      <x:c r="B6" s="4" t="s">
        <x:v>2924</x:v>
      </x:c>
      <x:c r="C6" s="4" t="s">
        <x:v>87</x:v>
      </x:c>
      <x:c r="D6" s="4" t="s">
        <x:v>2925</x:v>
      </x:c>
      <x:c r="E6" s="4" t="s">
        <x:v>98</x:v>
      </x:c>
      <x:c r="F6" s="4">
        <x:v>26</x:v>
      </x:c>
      <x:c r="G6" s="4">
        <x:v>20</x:v>
      </x:c>
      <x:c r="H6" s="4">
        <x:v>6</x:v>
      </x:c>
      <x:c r="I6" s="6">
        <x:v>-2.605</x:v>
      </x:c>
      <x:c r="J6" s="4" t="s">
        <x:v>2928</x:v>
      </x:c>
    </x:row>
    <x:row r="7" ht="42" customHeight="1">
      <x:c r="A7" s="4">
        <x:v>4</x:v>
      </x:c>
      <x:c r="B7" s="4" t="s">
        <x:v>2924</x:v>
      </x:c>
      <x:c r="C7" s="4" t="s">
        <x:v>87</x:v>
      </x:c>
      <x:c r="D7" s="4" t="s">
        <x:v>2925</x:v>
      </x:c>
      <x:c r="E7" s="4" t="s">
        <x:v>98</x:v>
      </x:c>
      <x:c r="F7" s="4">
        <x:v>26</x:v>
      </x:c>
      <x:c r="G7" s="4">
        <x:v>20</x:v>
      </x:c>
      <x:c r="H7" s="4">
        <x:v>6</x:v>
      </x:c>
      <x:c r="I7" s="6">
        <x:v>-2.605</x:v>
      </x:c>
      <x:c r="J7" s="4" t="s">
        <x:v>2929</x:v>
      </x:c>
    </x:row>
    <x:row r="8" ht="46" customHeight="1">
      <x:c r="A8" s="4">
        <x:v>5</x:v>
      </x:c>
      <x:c r="B8" s="4" t="s">
        <x:v>2924</x:v>
      </x:c>
      <x:c r="C8" s="4" t="s">
        <x:v>87</x:v>
      </x:c>
      <x:c r="D8" s="4" t="s">
        <x:v>2925</x:v>
      </x:c>
      <x:c r="E8" s="4" t="s">
        <x:v>98</x:v>
      </x:c>
      <x:c r="F8" s="4">
        <x:v>26</x:v>
      </x:c>
      <x:c r="G8" s="4">
        <x:v>20</x:v>
      </x:c>
      <x:c r="H8" s="4">
        <x:v>6</x:v>
      </x:c>
      <x:c r="I8" s="6">
        <x:v>-2.605</x:v>
      </x:c>
      <x:c r="J8" s="4" t="s">
        <x:v>2930</x:v>
      </x:c>
    </x:row>
    <x:row r="9" ht="64" customHeight="1">
      <x:c r="A9" s="4">
        <x:v>6</x:v>
      </x:c>
      <x:c r="B9" s="4" t="s">
        <x:v>2931</x:v>
      </x:c>
      <x:c r="C9" s="4" t="s">
        <x:v>87</x:v>
      </x:c>
      <x:c r="D9" s="4" t="s">
        <x:v>2932</x:v>
      </x:c>
      <x:c r="E9" s="4" t="s">
        <x:v>2933</x:v>
      </x:c>
      <x:c r="F9" s="4">
        <x:v>26</x:v>
      </x:c>
      <x:c r="G9" s="4">
        <x:v>25</x:v>
      </x:c>
      <x:c r="H9" s="4">
        <x:v>1</x:v>
      </x:c>
      <x:c r="I9" s="6">
        <x:v>-2.44</x:v>
      </x:c>
      <x:c r="J9" s="4" t="s">
        <x:v>2934</x:v>
      </x:c>
    </x:row>
    <x:row r="10" ht="64" customHeight="1">
      <x:c r="A10" s="4">
        <x:v>7</x:v>
      </x:c>
      <x:c r="B10" s="4" t="s">
        <x:v>2935</x:v>
      </x:c>
      <x:c r="C10" s="4" t="s">
        <x:v>237</x:v>
      </x:c>
      <x:c r="D10" s="4" t="s">
        <x:v>2936</x:v>
      </x:c>
      <x:c r="E10" s="4" t="s">
        <x:v>98</x:v>
      </x:c>
      <x:c r="F10" s="4">
        <x:v>7</x:v>
      </x:c>
      <x:c r="G10" s="4">
        <x:v>7</x:v>
      </x:c>
      <x:c r="H10" s="4">
        <x:v>0</x:v>
      </x:c>
      <x:c r="I10" s="6">
        <x:v>0.225</x:v>
      </x:c>
      <x:c r="J10" s="4" t="s">
        <x:v>2937</x:v>
      </x:c>
    </x:row>
    <x:row r="11" ht="64" customHeight="1">
      <x:c r="A11" s="4">
        <x:v>8</x:v>
      </x:c>
      <x:c r="B11" s="4" t="s">
        <x:v>2938</x:v>
      </x:c>
      <x:c r="C11" s="4" t="s">
        <x:v>2939</x:v>
      </x:c>
      <x:c r="D11" s="4" t="s">
        <x:v>2940</x:v>
      </x:c>
      <x:c r="E11" s="4" t="s">
        <x:v>2933</x:v>
      </x:c>
      <x:c r="F11" s="4">
        <x:v>33</x:v>
      </x:c>
      <x:c r="G11" s="4">
        <x:v>33</x:v>
      </x:c>
      <x:c r="H11" s="4">
        <x:v>0</x:v>
      </x:c>
      <x:c r="I11" s="6">
        <x:v>-3.215</x:v>
      </x:c>
      <x:c r="J11" s="4" t="s">
        <x:v>2941</x:v>
      </x:c>
    </x:row>
    <x:row r="12" ht="64" customHeight="1">
      <x:c r="A12" s="4">
        <x:v>9</x:v>
      </x:c>
      <x:c r="B12" s="4" t="s">
        <x:v>2938</x:v>
      </x:c>
      <x:c r="C12" s="4" t="s">
        <x:v>237</x:v>
      </x:c>
      <x:c r="D12" s="4" t="s">
        <x:v>2942</x:v>
      </x:c>
      <x:c r="E12" s="4" t="s">
        <x:v>98</x:v>
      </x:c>
      <x:c r="F12" s="4">
        <x:v>86</x:v>
      </x:c>
      <x:c r="G12" s="4">
        <x:v>77</x:v>
      </x:c>
      <x:c r="H12" s="4">
        <x:v>9</x:v>
      </x:c>
      <x:c r="I12" s="6">
        <x:v>3.555</x:v>
      </x:c>
      <x:c r="J12" s="4" t="s">
        <x:v>2943</x:v>
      </x:c>
    </x:row>
    <x:row r="13" ht="64" customHeight="1">
      <x:c r="A13" s="4">
        <x:v>10</x:v>
      </x:c>
      <x:c r="B13" s="4" t="s">
        <x:v>2938</x:v>
      </x:c>
      <x:c r="C13" s="4" t="s">
        <x:v>237</x:v>
      </x:c>
      <x:c r="D13" s="4" t="s">
        <x:v>2940</x:v>
      </x:c>
      <x:c r="E13" s="4" t="s">
        <x:v>2944</x:v>
      </x:c>
      <x:c r="F13" s="4">
        <x:v>10</x:v>
      </x:c>
      <x:c r="G13" s="4">
        <x:v>10</x:v>
      </x:c>
      <x:c r="H13" s="4">
        <x:v>0</x:v>
      </x:c>
      <x:c r="I13" s="6">
        <x:v>1.13</x:v>
      </x:c>
      <x:c r="J13" s="4" t="s">
        <x:v>2945</x:v>
      </x:c>
    </x:row>
    <x:row r="14" ht="42" customHeight="1">
      <x:c r="A14" s="4">
        <x:v>11</x:v>
      </x:c>
      <x:c r="B14" s="4" t="s">
        <x:v>2946</x:v>
      </x:c>
      <x:c r="C14" s="4" t="s">
        <x:v>237</x:v>
      </x:c>
      <x:c r="D14" s="4" t="s">
        <x:v>2947</x:v>
      </x:c>
      <x:c r="E14" s="4" t="s">
        <x:v>2948</x:v>
      </x:c>
      <x:c r="F14" s="4">
        <x:v>0</x:v>
      </x:c>
      <x:c r="G14" s="4">
        <x:v>0</x:v>
      </x:c>
      <x:c r="H14" s="4">
        <x:v>0</x:v>
      </x:c>
      <x:c r="I14" s="6">
        <x:v>0</x:v>
      </x:c>
      <x:c r="J14" s="4" t="s">
        <x:v>2949</x:v>
      </x:c>
    </x:row>
    <x:row r="15" ht="64" customHeight="1">
      <x:c r="A15" s="4">
        <x:v>12</x:v>
      </x:c>
      <x:c r="B15" s="4" t="s">
        <x:v>2950</x:v>
      </x:c>
      <x:c r="C15" s="4" t="s">
        <x:v>2939</x:v>
      </x:c>
      <x:c r="D15" s="4" t="s">
        <x:v>2951</x:v>
      </x:c>
      <x:c r="E15" s="4" t="s">
        <x:v>2952</x:v>
      </x:c>
      <x:c r="F15" s="4">
        <x:v>86</x:v>
      </x:c>
      <x:c r="G15" s="4">
        <x:v>86</x:v>
      </x:c>
      <x:c r="H15" s="4">
        <x:v>0</x:v>
      </x:c>
      <x:c r="I15" s="6">
        <x:v>-7.91</x:v>
      </x:c>
      <x:c r="J15" s="4" t="s">
        <x:v>2953</x:v>
      </x:c>
    </x:row>
    <x:row r="16" ht="64" customHeight="1">
      <x:c r="A16" s="4">
        <x:v>13</x:v>
      </x:c>
      <x:c r="B16" s="4" t="s">
        <x:v>2954</x:v>
      </x:c>
      <x:c r="C16" s="4" t="s">
        <x:v>470</x:v>
      </x:c>
      <x:c r="D16" s="4" t="s">
        <x:v>2955</x:v>
      </x:c>
      <x:c r="E16" s="4" t="s">
        <x:v>98</x:v>
      </x:c>
      <x:c r="F16" s="4">
        <x:v>17</x:v>
      </x:c>
      <x:c r="G16" s="4">
        <x:v>17</x:v>
      </x:c>
      <x:c r="H16" s="4">
        <x:v>0</x:v>
      </x:c>
      <x:c r="I16" s="6">
        <x:v>9.03</x:v>
      </x:c>
      <x:c r="J16" s="4" t="s">
        <x:v>2956</x:v>
      </x:c>
    </x:row>
    <x:row r="17" ht="64" customHeight="1">
      <x:c r="A17" s="4">
        <x:v>14</x:v>
      </x:c>
      <x:c r="B17" s="4" t="s">
        <x:v>2957</x:v>
      </x:c>
      <x:c r="C17" s="4" t="s">
        <x:v>2958</x:v>
      </x:c>
      <x:c r="D17" s="4" t="s">
        <x:v>2959</x:v>
      </x:c>
      <x:c r="E17" s="4" t="s">
        <x:v>98</x:v>
      </x:c>
      <x:c r="F17" s="4">
        <x:v>166</x:v>
      </x:c>
      <x:c r="G17" s="4">
        <x:v>55</x:v>
      </x:c>
      <x:c r="H17" s="4">
        <x:v>111</x:v>
      </x:c>
      <x:c r="I17" s="6">
        <x:v>1.05</x:v>
      </x:c>
      <x:c r="J17" s="4" t="s">
        <x:v>2960</x:v>
      </x:c>
    </x:row>
    <x:row r="18" ht="64" customHeight="1">
      <x:c r="A18" s="4">
        <x:v>15</x:v>
      </x:c>
      <x:c r="B18" s="4" t="s">
        <x:v>2961</x:v>
      </x:c>
      <x:c r="C18" s="4" t="s">
        <x:v>2962</x:v>
      </x:c>
      <x:c r="D18" s="4" t="s">
        <x:v>2959</x:v>
      </x:c>
      <x:c r="E18" s="4" t="s">
        <x:v>2963</x:v>
      </x:c>
      <x:c r="F18" s="4">
        <x:v>51</x:v>
      </x:c>
      <x:c r="G18" s="4">
        <x:v>0</x:v>
      </x:c>
      <x:c r="H18" s="4">
        <x:v>0</x:v>
      </x:c>
      <x:c r="I18" s="6">
        <x:v>0</x:v>
      </x:c>
      <x:c r="J18" s="4" t="s">
        <x:v>2964</x:v>
      </x:c>
    </x:row>
    <x:row r="19" ht="72" customHeight="1">
      <x:c r="A19" s="4">
        <x:v>16</x:v>
      </x:c>
      <x:c r="B19" s="4" t="s">
        <x:v>2965</x:v>
      </x:c>
      <x:c r="C19" s="4" t="s">
        <x:v>2962</x:v>
      </x:c>
      <x:c r="D19" s="4" t="s">
        <x:v>2966</x:v>
      </x:c>
      <x:c r="E19" s="4" t="s">
        <x:v>2967</x:v>
      </x:c>
      <x:c r="F19" s="4">
        <x:v>162</x:v>
      </x:c>
      <x:c r="G19" s="4">
        <x:v>162</x:v>
      </x:c>
      <x:c r="H19" s="4">
        <x:v>0</x:v>
      </x:c>
      <x:c r="I19" s="6">
        <x:v>-12.08</x:v>
      </x:c>
      <x:c r="J19" s="4" t="s">
        <x:v>2968</x:v>
      </x:c>
    </x:row>
    <x:row r="20" ht="76" customHeight="1">
      <x:c r="A20" s="4">
        <x:v>17</x:v>
      </x:c>
      <x:c r="B20" s="4" t="s">
        <x:v>2969</x:v>
      </x:c>
      <x:c r="C20" s="4" t="s">
        <x:v>2970</x:v>
      </x:c>
      <x:c r="D20" s="4" t="s">
        <x:v>2971</x:v>
      </x:c>
      <x:c r="E20" s="4" t="s">
        <x:v>2972</x:v>
      </x:c>
      <x:c r="F20" s="4">
        <x:v>15</x:v>
      </x:c>
      <x:c r="G20" s="4">
        <x:v>15</x:v>
      </x:c>
      <x:c r="H20" s="4">
        <x:v>0</x:v>
      </x:c>
      <x:c r="I20" s="6">
        <x:v>6.145</x:v>
      </x:c>
      <x:c r="J20" s="4" t="s">
        <x:v>2973</x:v>
      </x:c>
    </x:row>
    <x:row r="21" ht="64" customHeight="1">
      <x:c r="A21" s="4">
        <x:v>18</x:v>
      </x:c>
      <x:c r="B21" s="4" t="s">
        <x:v>2974</x:v>
      </x:c>
      <x:c r="C21" s="4" t="s">
        <x:v>2975</x:v>
      </x:c>
      <x:c r="D21" s="4" t="s">
        <x:v>2976</x:v>
      </x:c>
      <x:c r="E21" s="4" t="s">
        <x:v>2977</x:v>
      </x:c>
      <x:c r="F21" s="4">
        <x:v>144</x:v>
      </x:c>
      <x:c r="G21" s="4">
        <x:v>144</x:v>
      </x:c>
      <x:c r="H21" s="4">
        <x:v>0</x:v>
      </x:c>
      <x:c r="I21" s="6">
        <x:v>12.36</x:v>
      </x:c>
      <x:c r="J21" s="4" t="s">
        <x:v>2978</x:v>
      </x:c>
    </x:row>
    <x:row r="22" ht="76" customHeight="1">
      <x:c r="A22" s="4">
        <x:v>19</x:v>
      </x:c>
      <x:c r="B22" s="4" t="s">
        <x:v>2979</x:v>
      </x:c>
      <x:c r="C22" s="4" t="s">
        <x:v>1204</x:v>
      </x:c>
      <x:c r="D22" s="4" t="s">
        <x:v>2980</x:v>
      </x:c>
      <x:c r="E22" s="4" t="s">
        <x:v>2981</x:v>
      </x:c>
      <x:c r="F22" s="4">
        <x:v>39</x:v>
      </x:c>
      <x:c r="G22" s="4">
        <x:v>26</x:v>
      </x:c>
      <x:c r="H22" s="4">
        <x:v>13</x:v>
      </x:c>
      <x:c r="I22" s="6">
        <x:v>-2.59</x:v>
      </x:c>
      <x:c r="J22" s="4" t="s">
        <x:v>2982</x:v>
      </x:c>
    </x:row>
    <x:row r="23" ht="76" customHeight="1">
      <x:c r="A23" s="4">
        <x:v>20</x:v>
      </x:c>
      <x:c r="B23" s="4" t="s">
        <x:v>2983</x:v>
      </x:c>
      <x:c r="C23" s="4" t="s">
        <x:v>2984</x:v>
      </x:c>
      <x:c r="D23" s="4" t="s">
        <x:v>2985</x:v>
      </x:c>
      <x:c r="E23" s="4" t="s">
        <x:v>2986</x:v>
      </x:c>
      <x:c r="F23" s="4">
        <x:v>11</x:v>
      </x:c>
      <x:c r="G23" s="4">
        <x:v>11</x:v>
      </x:c>
      <x:c r="H23" s="4">
        <x:v>0</x:v>
      </x:c>
      <x:c r="I23" s="6">
        <x:v>-2.78</x:v>
      </x:c>
      <x:c r="J23" s="4" t="s">
        <x:v>2987</x:v>
      </x:c>
    </x:row>
    <x:row r="24" ht="84" customHeight="1">
      <x:c r="A24" s="4">
        <x:v>21</x:v>
      </x:c>
      <x:c r="B24" s="4" t="s">
        <x:v>2988</x:v>
      </x:c>
      <x:c r="C24" s="4" t="s">
        <x:v>2989</x:v>
      </x:c>
      <x:c r="D24" s="4" t="s">
        <x:v>2990</x:v>
      </x:c>
      <x:c r="E24" s="4" t="s">
        <x:v>2991</x:v>
      </x:c>
      <x:c r="F24" s="4">
        <x:v>130</x:v>
      </x:c>
      <x:c r="G24" s="4">
        <x:v>129</x:v>
      </x:c>
      <x:c r="H24" s="4">
        <x:v>1</x:v>
      </x:c>
      <x:c r="I24" s="6">
        <x:v>14.005</x:v>
      </x:c>
      <x:c r="J24" s="4" t="s">
        <x:v>2992</x:v>
      </x:c>
    </x:row>
    <x:row r="25" ht="66" customHeight="1">
      <x:c r="A25" s="4">
        <x:v>22</x:v>
      </x:c>
      <x:c r="B25" s="4" t="s">
        <x:v>2993</x:v>
      </x:c>
      <x:c r="C25" s="4" t="s">
        <x:v>1884</x:v>
      </x:c>
      <x:c r="D25" s="4" t="s">
        <x:v>2994</x:v>
      </x:c>
      <x:c r="E25" s="4" t="s">
        <x:v>2991</x:v>
      </x:c>
      <x:c r="F25" s="4">
        <x:v>5</x:v>
      </x:c>
      <x:c r="G25" s="4">
        <x:v>5</x:v>
      </x:c>
      <x:c r="H25" s="4">
        <x:v>0</x:v>
      </x:c>
      <x:c r="I25" s="6">
        <x:v>2.275</x:v>
      </x:c>
      <x:c r="J25" s="4" t="s">
        <x:v>2995</x:v>
      </x:c>
    </x:row>
    <x:row r="26" ht="66" customHeight="1">
      <x:c r="A26" s="4">
        <x:v>23</x:v>
      </x:c>
      <x:c r="B26" s="4" t="s">
        <x:v>2996</x:v>
      </x:c>
      <x:c r="C26" s="4" t="s">
        <x:v>1884</x:v>
      </x:c>
      <x:c r="D26" s="4" t="s">
        <x:v>2997</x:v>
      </x:c>
      <x:c r="E26" s="4" t="s">
        <x:v>2998</x:v>
      </x:c>
      <x:c r="F26" s="4">
        <x:v>7</x:v>
      </x:c>
      <x:c r="G26" s="4">
        <x:v>7</x:v>
      </x:c>
      <x:c r="H26" s="4">
        <x:v>0</x:v>
      </x:c>
      <x:c r="I26" s="6">
        <x:v>0.51</x:v>
      </x:c>
      <x:c r="J26" s="4" t="s">
        <x:v>2999</x:v>
      </x:c>
    </x:row>
    <x:row r="27" ht="66" customHeight="1">
      <x:c r="A27" s="4">
        <x:v>24</x:v>
      </x:c>
      <x:c r="B27" s="4" t="s">
        <x:v>3000</x:v>
      </x:c>
      <x:c r="C27" s="4" t="s">
        <x:v>1914</x:v>
      </x:c>
      <x:c r="D27" s="4" t="s">
        <x:v>3001</x:v>
      </x:c>
      <x:c r="E27" s="4" t="s">
        <x:v>1890</x:v>
      </x:c>
      <x:c r="F27" s="4">
        <x:v>14</x:v>
      </x:c>
      <x:c r="G27" s="4">
        <x:v>14</x:v>
      </x:c>
      <x:c r="H27" s="4">
        <x:v>0</x:v>
      </x:c>
      <x:c r="I27" s="6">
        <x:v>1.86</x:v>
      </x:c>
      <x:c r="J27" s="4" t="s">
        <x:v>3002</x:v>
      </x:c>
    </x:row>
    <x:row r="28" ht="66" customHeight="1">
      <x:c r="A28" s="4">
        <x:v>25</x:v>
      </x:c>
      <x:c r="B28" s="4" t="s">
        <x:v>3003</x:v>
      </x:c>
      <x:c r="C28" s="4" t="s">
        <x:v>1963</x:v>
      </x:c>
      <x:c r="D28" s="4" t="s">
        <x:v>3004</x:v>
      </x:c>
      <x:c r="E28" s="4" t="s">
        <x:v>1890</x:v>
      </x:c>
      <x:c r="F28" s="4">
        <x:v>19</x:v>
      </x:c>
      <x:c r="G28" s="4">
        <x:v>19</x:v>
      </x:c>
      <x:c r="H28" s="4">
        <x:v>0</x:v>
      </x:c>
      <x:c r="I28" s="6">
        <x:v>-0.885</x:v>
      </x:c>
      <x:c r="J28" s="4" t="s">
        <x:v>3005</x:v>
      </x:c>
    </x:row>
    <x:row r="29" ht="66" customHeight="1">
      <x:c r="A29" s="4">
        <x:v>26</x:v>
      </x:c>
      <x:c r="B29" s="4" t="s">
        <x:v>3006</x:v>
      </x:c>
      <x:c r="C29" s="4" t="s">
        <x:v>1963</x:v>
      </x:c>
      <x:c r="D29" s="4" t="s">
        <x:v>3007</x:v>
      </x:c>
      <x:c r="E29" s="4" t="s">
        <x:v>1890</x:v>
      </x:c>
      <x:c r="F29" s="4">
        <x:v>19</x:v>
      </x:c>
      <x:c r="G29" s="4">
        <x:v>19</x:v>
      </x:c>
      <x:c r="H29" s="4">
        <x:v>0</x:v>
      </x:c>
      <x:c r="I29" s="6">
        <x:v>-0.885</x:v>
      </x:c>
      <x:c r="J29" s="4" t="s">
        <x:v>3005</x:v>
      </x:c>
    </x:row>
    <x:row r="30" ht="66" customHeight="1">
      <x:c r="A30" s="4">
        <x:v>27</x:v>
      </x:c>
      <x:c r="B30" s="4" t="s">
        <x:v>3008</x:v>
      </x:c>
      <x:c r="C30" s="4" t="s">
        <x:v>2021</x:v>
      </x:c>
      <x:c r="D30" s="4" t="s">
        <x:v>3009</x:v>
      </x:c>
      <x:c r="E30" s="4" t="s">
        <x:v>1890</x:v>
      </x:c>
      <x:c r="F30" s="4">
        <x:v>16</x:v>
      </x:c>
      <x:c r="G30" s="4">
        <x:v>15</x:v>
      </x:c>
      <x:c r="H30" s="4">
        <x:v>1</x:v>
      </x:c>
      <x:c r="I30" s="6">
        <x:v>4.85</x:v>
      </x:c>
      <x:c r="J30" s="4" t="s">
        <x:v>3010</x:v>
      </x:c>
    </x:row>
    <x:row r="31" ht="60" customHeight="1">
      <x:c r="A31" s="4">
        <x:v>28</x:v>
      </x:c>
      <x:c r="B31" s="4" t="s">
        <x:v>3011</x:v>
      </x:c>
      <x:c r="C31" s="4" t="s">
        <x:v>2087</x:v>
      </x:c>
      <x:c r="D31" s="4" t="s">
        <x:v>3012</x:v>
      </x:c>
      <x:c r="E31" s="4" t="s">
        <x:v>1890</x:v>
      </x:c>
      <x:c r="F31" s="4">
        <x:v>18</x:v>
      </x:c>
      <x:c r="G31" s="4">
        <x:v>18</x:v>
      </x:c>
      <x:c r="H31" s="4">
        <x:v>0</x:v>
      </x:c>
      <x:c r="I31" s="6">
        <x:v>-1.99</x:v>
      </x:c>
      <x:c r="J31" s="4" t="s">
        <x:v>3013</x:v>
      </x:c>
    </x:row>
    <x:row r="32" ht="60" customHeight="1">
      <x:c r="A32" s="4">
        <x:v>29</x:v>
      </x:c>
      <x:c r="B32" s="4" t="s">
        <x:v>3011</x:v>
      </x:c>
      <x:c r="C32" s="4" t="s">
        <x:v>2162</x:v>
      </x:c>
      <x:c r="D32" s="4" t="s">
        <x:v>3012</x:v>
      </x:c>
      <x:c r="E32" s="4" t="s">
        <x:v>1890</x:v>
      </x:c>
      <x:c r="F32" s="4">
        <x:v>60</x:v>
      </x:c>
      <x:c r="G32" s="4">
        <x:v>60</x:v>
      </x:c>
      <x:c r="H32" s="4">
        <x:v>0</x:v>
      </x:c>
      <x:c r="I32" s="6">
        <x:v>0.0350000000000001</x:v>
      </x:c>
      <x:c r="J32" s="4" t="s">
        <x:v>3014</x:v>
      </x:c>
    </x:row>
    <x:row r="33" ht="60" customHeight="1">
      <x:c r="A33" s="4">
        <x:v>30</x:v>
      </x:c>
      <x:c r="B33" s="4" t="s">
        <x:v>3011</x:v>
      </x:c>
      <x:c r="C33" s="4" t="s">
        <x:v>2378</x:v>
      </x:c>
      <x:c r="D33" s="4" t="s">
        <x:v>3012</x:v>
      </x:c>
      <x:c r="E33" s="4" t="s">
        <x:v>1890</x:v>
      </x:c>
      <x:c r="F33" s="4">
        <x:v>39</x:v>
      </x:c>
      <x:c r="G33" s="4">
        <x:v>39</x:v>
      </x:c>
      <x:c r="H33" s="4">
        <x:v>0</x:v>
      </x:c>
      <x:c r="I33" s="6">
        <x:v>-8.825</x:v>
      </x:c>
      <x:c r="J33" s="4" t="s">
        <x:v>3015</x:v>
      </x:c>
    </x:row>
    <x:row r="34" ht="60" customHeight="1">
      <x:c r="A34" s="4">
        <x:v>31</x:v>
      </x:c>
      <x:c r="B34" s="4" t="s">
        <x:v>3011</x:v>
      </x:c>
      <x:c r="C34" s="4" t="s">
        <x:v>2531</x:v>
      </x:c>
      <x:c r="D34" s="4" t="s">
        <x:v>3012</x:v>
      </x:c>
      <x:c r="E34" s="4" t="s">
        <x:v>1890</x:v>
      </x:c>
      <x:c r="F34" s="4">
        <x:v>2</x:v>
      </x:c>
      <x:c r="G34" s="4">
        <x:v>0</x:v>
      </x:c>
      <x:c r="H34" s="4">
        <x:v>2</x:v>
      </x:c>
      <x:c r="I34" s="6">
        <x:v>0</x:v>
      </x:c>
      <x:c r="J34" s="4" t="s">
        <x:v>3016</x:v>
      </x:c>
    </x:row>
    <x:row r="35" ht="60" customHeight="1">
      <x:c r="A35" s="4">
        <x:v>32</x:v>
      </x:c>
      <x:c r="B35" s="4" t="s">
        <x:v>3017</x:v>
      </x:c>
      <x:c r="C35" s="4" t="s">
        <x:v>2531</x:v>
      </x:c>
      <x:c r="D35" s="4" t="s">
        <x:v>3018</x:v>
      </x:c>
      <x:c r="E35" s="4" t="s">
        <x:v>1890</x:v>
      </x:c>
      <x:c r="F35" s="4">
        <x:v>2</x:v>
      </x:c>
      <x:c r="G35" s="4">
        <x:v>2</x:v>
      </x:c>
      <x:c r="H35" s="4">
        <x:v>0</x:v>
      </x:c>
      <x:c r="I35" s="4">
        <x:v>-0.22</x:v>
      </x:c>
      <x:c r="J35" s="4" t="s">
        <x:v>3019</x:v>
      </x:c>
    </x:row>
    <x:row r="36" ht="60" customHeight="1">
      <x:c r="A36" s="4">
        <x:v>33</x:v>
      </x:c>
      <x:c r="B36" s="4" t="s">
        <x:v>3020</x:v>
      </x:c>
      <x:c r="C36" s="4" t="s">
        <x:v>2531</x:v>
      </x:c>
      <x:c r="D36" s="4" t="s">
        <x:v>3021</x:v>
      </x:c>
      <x:c r="E36" s="4" t="s">
        <x:v>1890</x:v>
      </x:c>
      <x:c r="F36" s="4">
        <x:v>2</x:v>
      </x:c>
      <x:c r="G36" s="4">
        <x:v>2</x:v>
      </x:c>
      <x:c r="H36" s="4">
        <x:v>0</x:v>
      </x:c>
      <x:c r="I36" s="4">
        <x:v>-0.22</x:v>
      </x:c>
      <x:c r="J36" s="4" t="s">
        <x:v>3019</x:v>
      </x:c>
    </x:row>
    <x:row r="37">
      <x:c r="A37">
        <x:v>34</x:v>
      </x:c>
      <x:c r="B37" t="s">
        <x:v>3022</x:v>
      </x:c>
      <x:c r="C37" t="s">
        <x:v>2543</x:v>
      </x:c>
      <x:c r="D37" t="s">
        <x:v>3023</x:v>
      </x:c>
      <x:c r="E37" t="s">
        <x:v>1890</x:v>
      </x:c>
      <x:c r="F37">
        <x:v>4</x:v>
      </x:c>
      <x:c r="G37">
        <x:v>4</x:v>
      </x:c>
      <x:c r="H37">
        <x:v>0</x:v>
      </x:c>
      <x:c r="I37">
        <x:v>0.14</x:v>
      </x:c>
      <x:c r="J37" t="s">
        <x:v>3024</x:v>
      </x:c>
    </x:row>
    <x:row r="38">
      <x:c r="A38">
        <x:v>35</x:v>
      </x:c>
      <x:c r="B38" t="s">
        <x:v>3022</x:v>
      </x:c>
      <x:c r="C38" t="s">
        <x:v>2559</x:v>
      </x:c>
      <x:c r="D38" t="s">
        <x:v>3023</x:v>
      </x:c>
      <x:c r="E38" t="s">
        <x:v>1890</x:v>
      </x:c>
      <x:c r="F38">
        <x:v>17</x:v>
      </x:c>
      <x:c r="G38">
        <x:v>17</x:v>
      </x:c>
      <x:c r="H38">
        <x:v>0</x:v>
      </x:c>
      <x:c r="I38">
        <x:v>-5.95</x:v>
      </x:c>
      <x:c r="J38" t="s">
        <x:v>3025</x:v>
      </x:c>
    </x:row>
    <x:row r="39">
      <x:c r="A39">
        <x:v>36</x:v>
      </x:c>
      <x:c r="B39" t="s">
        <x:v>3026</x:v>
      </x:c>
      <x:c r="C39" t="s">
        <x:v>2623</x:v>
      </x:c>
      <x:c r="D39" t="s">
        <x:v>3027</x:v>
      </x:c>
      <x:c r="E39" t="s">
        <x:v>1890</x:v>
      </x:c>
      <x:c r="F39">
        <x:v>7</x:v>
      </x:c>
      <x:c r="G39">
        <x:v>7</x:v>
      </x:c>
      <x:c r="H39">
        <x:v>0</x:v>
      </x:c>
      <x:c r="I39">
        <x:v>-4.75</x:v>
      </x:c>
      <x:c r="J39" t="s">
        <x:v>3028</x:v>
      </x:c>
    </x:row>
    <x:row r="40">
      <x:c r="A40">
        <x:v>37</x:v>
      </x:c>
      <x:c r="B40" t="s">
        <x:v>3026</x:v>
      </x:c>
      <x:c r="C40" t="s">
        <x:v>2648</x:v>
      </x:c>
      <x:c r="D40" t="s">
        <x:v>3027</x:v>
      </x:c>
      <x:c r="E40" t="s">
        <x:v>1890</x:v>
      </x:c>
      <x:c r="F40">
        <x:v>17</x:v>
      </x:c>
      <x:c r="G40">
        <x:v>17</x:v>
      </x:c>
      <x:c r="H40">
        <x:v>0</x:v>
      </x:c>
      <x:c r="I40">
        <x:v>-1.83</x:v>
      </x:c>
      <x:c r="J40" t="s">
        <x:v>3029</x:v>
      </x:c>
    </x:row>
    <x:row r="41">
      <x:c r="A41">
        <x:v>38</x:v>
      </x:c>
      <x:c r="B41" t="s">
        <x:v>3026</x:v>
      </x:c>
      <x:c r="C41" t="s">
        <x:v>2706</x:v>
      </x:c>
      <x:c r="D41" t="s">
        <x:v>3027</x:v>
      </x:c>
      <x:c r="E41" t="s">
        <x:v>1890</x:v>
      </x:c>
      <x:c r="F41">
        <x:v>23</x:v>
      </x:c>
      <x:c r="G41">
        <x:v>23</x:v>
      </x:c>
      <x:c r="H41">
        <x:v>0</x:v>
      </x:c>
      <x:c r="I41">
        <x:v>-3.215</x:v>
      </x:c>
      <x:c r="J41" t="s">
        <x:v>3030</x:v>
      </x:c>
    </x:row>
    <x:row r="42">
      <x:c r="A42">
        <x:v>42</x:v>
      </x:c>
      <x:c r="B42" t="s">
        <x:v>3031</x:v>
      </x:c>
      <x:c r="C42" t="s">
        <x:v>2021</x:v>
      </x:c>
      <x:c r="D42" t="s">
        <x:v>3032</x:v>
      </x:c>
      <x:c r="E42" t="s">
        <x:v>2086</x:v>
      </x:c>
      <x:c r="F42">
        <x:v>1</x:v>
      </x:c>
      <x:c r="G42">
        <x:v>1</x:v>
      </x:c>
      <x:c r="H42">
        <x:v>0</x:v>
      </x:c>
      <x:c r="I42">
        <x:v>0.81</x:v>
      </x:c>
      <x:c r="J42" t="s">
        <x:v>3033</x:v>
      </x:c>
    </x:row>
    <x:row r="43">
      <x:c r="A43">
        <x:v>43</x:v>
      </x:c>
      <x:c r="B43" t="s">
        <x:v>3034</x:v>
      </x:c>
      <x:c r="C43" t="s">
        <x:v>33</x:v>
      </x:c>
      <x:c r="D43" t="s">
        <x:v>3035</x:v>
      </x:c>
      <x:c r="E43" t="s">
        <x:v>1890</x:v>
      </x:c>
      <x:c r="F43">
        <x:v>0</x:v>
      </x:c>
      <x:c r="G43">
        <x:v>0</x:v>
      </x:c>
      <x:c r="H43">
        <x:v>0</x:v>
      </x:c>
      <x:c r="I43">
        <x:v>0</x:v>
      </x:c>
      <x:c r="J43" t="s">
        <x:v>3036</x:v>
      </x:c>
    </x:row>
    <x:row r="44">
      <x:c r="A44">
        <x:v>41</x:v>
      </x:c>
      <x:c r="B44" t="s">
        <x:v>3037</x:v>
      </x:c>
      <x:c r="C44" t="s">
        <x:v>33</x:v>
      </x:c>
      <x:c r="D44" t="s">
        <x:v>3038</x:v>
      </x:c>
      <x:c r="E44" t="s">
        <x:v>1890</x:v>
      </x:c>
      <x:c r="F44">
        <x:v>0</x:v>
      </x:c>
      <x:c r="G44">
        <x:v>0</x:v>
      </x:c>
      <x:c r="H44">
        <x:v>0</x:v>
      </x:c>
      <x:c r="I44">
        <x:v>0</x:v>
      </x:c>
      <x:c r="J44" t="s">
        <x:v>3039</x:v>
      </x:c>
    </x:row>
    <x:row r="45" ht="60" customHeight="1">
      <x:c r="A45" s="49">
        <x:v>44</x:v>
      </x:c>
      <x:c r="B45" s="49" t="s">
        <x:v>3040</x:v>
      </x:c>
      <x:c r="C45" s="49" t="s">
        <x:v>33</x:v>
      </x:c>
      <x:c r="D45" s="49" t="s">
        <x:v>5</x:v>
      </x:c>
      <x:c r="E45" s="49" t="s">
        <x:v>1356</x:v>
      </x:c>
      <x:c r="F45" s="49">
        <x:v>10</x:v>
      </x:c>
      <x:c r="G45" s="49">
        <x:v>10</x:v>
      </x:c>
      <x:c r="H45" s="49">
        <x:v>0</x:v>
      </x:c>
      <x:c r="I45" s="50">
        <x:v>-1.49</x:v>
      </x:c>
      <x:c r="J45" s="49" t="s">
        <x:v>3041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8317d3ae2cb8480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ColWidth="9" defaultRowHeight="13.800000190734863"/>
  <x:cols>
    <x:col min="1" max="1" width="32" customWidth="1"/>
    <x:col min="2" max="2" width="15" customWidth="1"/>
    <x:col min="3" max="7" width="9" customWidth="1"/>
    <x:col min="8" max="9" width="15" customWidth="1"/>
    <x:col min="10" max="10" width="13" customWidth="1"/>
    <x:col min="11" max="11" width="23" customWidth="1"/>
  </x:cols>
  <x:sheetData>
    <x:row r="1" ht="27" customHeight="1">
      <x:c r="A1" s="38" t="s">
        <x:v>3042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</x:row>
    <x:row r="2" ht="36" customHeight="1">
      <x:c r="A2" s="39" t="s">
        <x:v>3043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</x:row>
    <x:row r="4" ht="27" customHeight="1">
      <x:c r="A4" s="38" t="s">
        <x:v>3044</x:v>
      </x:c>
      <x:c r="B4" s="38"/>
      <x:c r="C4" s="38"/>
      <x:c r="D4" s="38"/>
      <x:c r="E4" s="38"/>
      <x:c r="F4" s="38"/>
      <x:c r="G4" s="38"/>
      <x:c r="H4" s="38"/>
      <x:c r="I4" s="38"/>
      <x:c r="J4" s="38"/>
      <x:c r="K4" s="38"/>
    </x:row>
    <x:row r="5" ht="26" customHeight="1">
      <x:c r="A5" s="40" t="s">
        <x:v>3045</x:v>
      </x:c>
      <x:c r="B5" s="40" t="s">
        <x:v>16</x:v>
      </x:c>
      <x:c r="C5" s="40" t="s">
        <x:v>11</x:v>
      </x:c>
      <x:c r="D5" s="40" t="s">
        <x:v>14</x:v>
      </x:c>
      <x:c r="E5" s="40" t="s">
        <x:v>17</x:v>
      </x:c>
      <x:c r="F5" s="40" t="s">
        <x:v>20</x:v>
      </x:c>
      <x:c r="G5" s="40" t="s">
        <x:v>23</x:v>
      </x:c>
      <x:c r="H5" s="40" t="s">
        <x:v>31</x:v>
      </x:c>
      <x:c r="I5" s="40" t="s">
        <x:v>3046</x:v>
      </x:c>
      <x:c r="J5" s="40" t="s">
        <x:v>25</x:v>
      </x:c>
      <x:c r="K5" s="40" t="s">
        <x:v>2923</x:v>
      </x:c>
    </x:row>
    <x:row r="6" ht="24" customHeight="1">
      <x:c r="A6" s="41" t="s">
        <x:v>90</x:v>
      </x:c>
      <x:c r="B6" s="41" t="n">
        <x:f>COUNTIFS(赛事明细!$P$4:$P$1000,"已结算",赛事明细!$D$4:$D$1000,$A6)</x:f>
        <x:v>180</x:v>
      </x:c>
      <x:c r="C6" s="41" t="n">
        <x:f>COUNTIFS(赛事明细!$P$4:$P$1000,"已结算",赛事明细!$D$4:$D$1000,$A6,赛事明细!$Q$4:$Q$1000,"红")</x:f>
        <x:v>78</x:v>
      </x:c>
      <x:c r="D6" s="41" t="n">
        <x:f>COUNTIFS(赛事明细!$P$4:$P$1000,"已结算",赛事明细!$D$4:$D$1000,$A6,赛事明细!$Q$4:$Q$1000,"半红")</x:f>
        <x:v>8</x:v>
      </x:c>
      <x:c r="E6" s="41" t="n">
        <x:f>COUNTIFS(赛事明细!$P$4:$P$1000,"已结算",赛事明细!$D$4:$D$1000,$A6,赛事明细!$Q$4:$Q$1000,"走")</x:f>
        <x:v>13</x:v>
      </x:c>
      <x:c r="F6" s="41" t="n">
        <x:f>COUNTIFS(赛事明细!$P$4:$P$1000,"已结算",赛事明细!$D$4:$D$1000,$A6,赛事明细!$Q$4:$Q$1000,"半黑")</x:f>
        <x:v>15</x:v>
      </x:c>
      <x:c r="G6" s="41" t="n">
        <x:f>COUNTIFS(赛事明细!$P$4:$P$1000,"已结算",赛事明细!$D$4:$D$1000,$A6,赛事明细!$Q$4:$Q$1000,"黑")</x:f>
        <x:v>66</x:v>
      </x:c>
      <x:c r="H6" s="42" t="n">
        <x:f>IFERROR((C6+0.5*D6)/(C6+0.5*D6+G6+0.5*F6),0)</x:f>
        <x:v>0.5273311897106109</x:v>
      </x:c>
      <x:c r="I6" s="43" t="n">
        <x:f>SUMIFS(赛事明细!$S$4:$S$1000,赛事明细!$P$4:$P$1000,"已结算",赛事明细!$D$4:$D$1000,$A6)</x:f>
        <x:v>-3.464999999999996</x:v>
      </x:c>
      <x:c r="J6" s="42" t="n">
        <x:f>IFERROR(I6/B6,0)</x:f>
        <x:v>-0.019249999999999975</x:v>
      </x:c>
      <x:c r="K6" s="41" t="str">
        <x:f>IF(B6&lt;5,"样本&lt;5，谨慎解读","")</x:f>
      </x:c>
    </x:row>
    <x:row r="7" ht="24" customHeight="1">
      <x:c r="A7" s="41" t="s">
        <x:v>116</x:v>
      </x:c>
      <x:c r="B7" s="41" t="n">
        <x:f>COUNTIFS(赛事明细!$P$4:$P$1000,"已结算",赛事明细!$D$4:$D$1000,$A7)</x:f>
        <x:v>616</x:v>
      </x:c>
      <x:c r="C7" s="41" t="n">
        <x:f>COUNTIFS(赛事明细!$P$4:$P$1000,"已结算",赛事明细!$D$4:$D$1000,$A7,赛事明细!$Q$4:$Q$1000,"红")</x:f>
        <x:v>249</x:v>
      </x:c>
      <x:c r="D7" s="41" t="n">
        <x:f>COUNTIFS(赛事明细!$P$4:$P$1000,"已结算",赛事明细!$D$4:$D$1000,$A7,赛事明细!$Q$4:$Q$1000,"半红")</x:f>
        <x:v>34</x:v>
      </x:c>
      <x:c r="E7" s="41" t="n">
        <x:f>COUNTIFS(赛事明细!$P$4:$P$1000,"已结算",赛事明细!$D$4:$D$1000,$A7,赛事明细!$Q$4:$Q$1000,"走")</x:f>
        <x:v>51</x:v>
      </x:c>
      <x:c r="F7" s="41" t="n">
        <x:f>COUNTIFS(赛事明细!$P$4:$P$1000,"已结算",赛事明细!$D$4:$D$1000,$A7,赛事明细!$Q$4:$Q$1000,"半黑")</x:f>
        <x:v>65</x:v>
      </x:c>
      <x:c r="G7" s="41" t="n">
        <x:f>COUNTIFS(赛事明细!$P$4:$P$1000,"已结算",赛事明细!$D$4:$D$1000,$A7,赛事明细!$Q$4:$Q$1000,"黑")</x:f>
        <x:v>207</x:v>
      </x:c>
      <x:c r="H7" s="42" t="n">
        <x:f>IFERROR((C7+0.5*D7)/(C7+0.5*D7+G7+0.5*F7),0)</x:f>
        <x:v>0.5262116716122651</x:v>
      </x:c>
      <x:c r="I7" s="43" t="n">
        <x:f>SUMIFS(赛事明细!$S$4:$S$1000,赛事明细!$P$4:$P$1000,"已结算",赛事明细!$D$4:$D$1000,$A7)</x:f>
        <x:v>2.5800000000000023</x:v>
      </x:c>
      <x:c r="J7" s="42" t="n">
        <x:f>IFERROR(I7/B7,0)</x:f>
        <x:v>0.004188311688311692</x:v>
      </x:c>
      <x:c r="K7" s="41" t="str">
        <x:f>IF(B7&lt;5,"样本&lt;5，谨慎解读","")</x:f>
      </x:c>
    </x:row>
    <x:row r="8" ht="24" customHeight="1">
      <x:c r="A8" s="44" t="s">
        <x:v>3047</x:v>
      </x:c>
      <x:c r="B8" s="44" t="n">
        <x:f t="shared" ref="B8:G8" si="0">SUM(B6:B7)</x:f>
        <x:v>796</x:v>
      </x:c>
      <x:c r="C8" s="44">
        <x:f t="shared" si="0"/>
        <x:v>304</x:v>
      </x:c>
      <x:c r="D8" s="44">
        <x:f t="shared" si="0"/>
        <x:v>40</x:v>
      </x:c>
      <x:c r="E8" s="44">
        <x:f t="shared" si="0"/>
        <x:v>58</x:v>
      </x:c>
      <x:c r="F8" s="44">
        <x:f t="shared" si="0"/>
        <x:v>79</x:v>
      </x:c>
      <x:c r="G8" s="44">
        <x:f t="shared" si="0"/>
        <x:v>251</x:v>
      </x:c>
      <x:c r="H8" s="45" t="n">
        <x:f>IFERROR((C8+0.5*D8)/(C8+0.5*D8+G8+0.5*F8),0)</x:f>
        <x:v>0.5272579332790887</x:v>
      </x:c>
      <x:c r="I8" s="46" t="n">
        <x:f>SUM(I6:I7)</x:f>
        <x:v>-0.8849999999999936</x:v>
      </x:c>
      <x:c r="J8" s="45" t="n">
        <x:f>IFERROR(I8/B8,0)</x:f>
        <x:v>-0.0011118090452261226</x:v>
      </x:c>
      <x:c r="K8" s="44"/>
    </x:row>
    <x:row r="9" ht="22" customHeight="1"/>
    <x:row r="10" ht="22" customHeight="1"/>
    <x:row r="11" ht="27" customHeight="1">
      <x:c r="A11" s="38" t="s">
        <x:v>3048</x:v>
      </x:c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</x:row>
    <x:row r="12" ht="26" customHeight="1">
      <x:c r="A12" s="40" t="s">
        <x:v>3045</x:v>
      </x:c>
      <x:c r="B12" s="40" t="s">
        <x:v>16</x:v>
      </x:c>
      <x:c r="C12" s="40" t="s">
        <x:v>11</x:v>
      </x:c>
      <x:c r="D12" s="40" t="s">
        <x:v>14</x:v>
      </x:c>
      <x:c r="E12" s="40" t="s">
        <x:v>17</x:v>
      </x:c>
      <x:c r="F12" s="40" t="s">
        <x:v>20</x:v>
      </x:c>
      <x:c r="G12" s="40" t="s">
        <x:v>23</x:v>
      </x:c>
      <x:c r="H12" s="40" t="s">
        <x:v>31</x:v>
      </x:c>
      <x:c r="I12" s="40" t="s">
        <x:v>3046</x:v>
      </x:c>
      <x:c r="J12" s="40" t="s">
        <x:v>25</x:v>
      </x:c>
      <x:c r="K12" s="40" t="s">
        <x:v>2923</x:v>
      </x:c>
    </x:row>
    <x:row r="13" ht="24" customHeight="1">
      <x:c r="A13" s="41" t="s">
        <x:v>91</x:v>
      </x:c>
      <x:c r="B13" s="41" t="n">
        <x:f>COUNTIFS(赛事明细!$P$4:$P$1000,"已结算",赛事明细!$E$4:$E$1000,$A13)</x:f>
        <x:v>6</x:v>
      </x:c>
      <x:c r="C13" s="41" t="n">
        <x:f>COUNTIFS(赛事明细!$P$4:$P$1000,"已结算",赛事明细!$E$4:$E$1000,$A13,赛事明细!$Q$4:$Q$1000,"红")</x:f>
        <x:v>3</x:v>
      </x:c>
      <x:c r="D13" s="41" t="n">
        <x:f>COUNTIFS(赛事明细!$P$4:$P$1000,"已结算",赛事明细!$E$4:$E$1000,$A13,赛事明细!$Q$4:$Q$1000,"半红")</x:f>
        <x:v>0</x:v>
      </x:c>
      <x:c r="E13" s="41" t="n">
        <x:f>COUNTIFS(赛事明细!$P$4:$P$1000,"已结算",赛事明细!$E$4:$E$1000,$A13,赛事明细!$Q$4:$Q$1000,"走")</x:f>
        <x:v>0</x:v>
      </x:c>
      <x:c r="F13" s="41" t="n">
        <x:f>COUNTIFS(赛事明细!$P$4:$P$1000,"已结算",赛事明细!$E$4:$E$1000,$A13,赛事明细!$Q$4:$Q$1000,"半黑")</x:f>
        <x:v>1</x:v>
      </x:c>
      <x:c r="G13" s="41" t="n">
        <x:f>COUNTIFS(赛事明细!$P$4:$P$1000,"已结算",赛事明细!$E$4:$E$1000,$A13,赛事明细!$Q$4:$Q$1000,"黑")</x:f>
        <x:v>2</x:v>
      </x:c>
      <x:c r="H13" s="42" t="n">
        <x:f t="shared" ref="H13:H76" si="1">IFERROR((C13+0.5*D13)/(C13+0.5*D13+G13+0.5*F13),0)</x:f>
        <x:v>0.5454545454545454</x:v>
      </x:c>
      <x:c r="I13" s="43" t="n">
        <x:f>SUMIFS(赛事明细!$S$4:$S$1000,赛事明细!$P$4:$P$1000,"已结算",赛事明细!$E$4:$E$1000,$A13)</x:f>
        <x:v>0.2400000000000002</x:v>
      </x:c>
      <x:c r="J13" s="42" t="n">
        <x:f t="shared" ref="J13:J76" si="2">IFERROR(I13/B13,0)</x:f>
        <x:v>0.040000000000000036</x:v>
      </x:c>
      <x:c r="K13" s="41" t="str">
        <x:f t="shared" ref="K13:K76" si="3">IF(B13&lt;5,"样本&lt;5，谨慎解读","")</x:f>
      </x:c>
    </x:row>
    <x:row r="14" ht="24" customHeight="1">
      <x:c r="A14" s="41" t="s">
        <x:v>103</x:v>
      </x:c>
      <x:c r="B14" s="41" t="n">
        <x:f>COUNTIFS(赛事明细!$P$4:$P$1000,"已结算",赛事明细!$E$4:$E$1000,$A14)</x:f>
        <x:v>8</x:v>
      </x:c>
      <x:c r="C14" s="41" t="n">
        <x:f>COUNTIFS(赛事明细!$P$4:$P$1000,"已结算",赛事明细!$E$4:$E$1000,$A14,赛事明细!$Q$4:$Q$1000,"红")</x:f>
        <x:v>3</x:v>
      </x:c>
      <x:c r="D14" s="41" t="n">
        <x:f>COUNTIFS(赛事明细!$P$4:$P$1000,"已结算",赛事明细!$E$4:$E$1000,$A14,赛事明细!$Q$4:$Q$1000,"半红")</x:f>
        <x:v>1</x:v>
      </x:c>
      <x:c r="E14" s="41" t="n">
        <x:f>COUNTIFS(赛事明细!$P$4:$P$1000,"已结算",赛事明细!$E$4:$E$1000,$A14,赛事明细!$Q$4:$Q$1000,"走")</x:f>
        <x:v>0</x:v>
      </x:c>
      <x:c r="F14" s="41" t="n">
        <x:f>COUNTIFS(赛事明细!$P$4:$P$1000,"已结算",赛事明细!$E$4:$E$1000,$A14,赛事明细!$Q$4:$Q$1000,"半黑")</x:f>
        <x:v>0</x:v>
      </x:c>
      <x:c r="G14" s="41" t="n">
        <x:f>COUNTIFS(赛事明细!$P$4:$P$1000,"已结算",赛事明细!$E$4:$E$1000,$A14,赛事明细!$Q$4:$Q$1000,"黑")</x:f>
        <x:v>4</x:v>
      </x:c>
      <x:c r="H14" s="42">
        <x:f t="shared" si="1"/>
        <x:v>0.384615384615385</x:v>
      </x:c>
      <x:c r="I14" s="43" t="n">
        <x:f>SUMIFS(赛事明细!$S$4:$S$1000,赛事明细!$P$4:$P$1000,"已结算",赛事明细!$E$4:$E$1000,$A14)</x:f>
        <x:v>-0.9749999999999998</x:v>
      </x:c>
      <x:c r="J14" s="42">
        <x:f t="shared" si="2"/>
        <x:v>-0.257857142857143</x:v>
      </x:c>
      <x:c r="K14" s="41" t="str">
        <x:f t="shared" si="3"/>
      </x:c>
    </x:row>
    <x:row r="15" ht="24" customHeight="1">
      <x:c r="A15" s="41" t="s">
        <x:v>110</x:v>
      </x:c>
      <x:c r="B15" s="41" t="n">
        <x:f>COUNTIFS(赛事明细!$P$4:$P$1000,"已结算",赛事明细!$E$4:$E$1000,$A15)</x:f>
        <x:v>5</x:v>
      </x:c>
      <x:c r="C15" s="41" t="n">
        <x:f>COUNTIFS(赛事明细!$P$4:$P$1000,"已结算",赛事明细!$E$4:$E$1000,$A15,赛事明细!$Q$4:$Q$1000,"红")</x:f>
        <x:v>2</x:v>
      </x:c>
      <x:c r="D15" s="41" t="n">
        <x:f>COUNTIFS(赛事明细!$P$4:$P$1000,"已结算",赛事明细!$E$4:$E$1000,$A15,赛事明细!$Q$4:$Q$1000,"半红")</x:f>
        <x:v>0</x:v>
      </x:c>
      <x:c r="E15" s="41" t="n">
        <x:f>COUNTIFS(赛事明细!$P$4:$P$1000,"已结算",赛事明细!$E$4:$E$1000,$A15,赛事明细!$Q$4:$Q$1000,"走")</x:f>
        <x:v>1</x:v>
      </x:c>
      <x:c r="F15" s="41" t="n">
        <x:f>COUNTIFS(赛事明细!$P$4:$P$1000,"已结算",赛事明细!$E$4:$E$1000,$A15,赛事明细!$Q$4:$Q$1000,"半黑")</x:f>
        <x:v>0</x:v>
      </x:c>
      <x:c r="G15" s="41" t="n">
        <x:f>COUNTIFS(赛事明细!$P$4:$P$1000,"已结算",赛事明细!$E$4:$E$1000,$A15,赛事明细!$Q$4:$Q$1000,"黑")</x:f>
        <x:v>2</x:v>
      </x:c>
      <x:c r="H15" s="42">
        <x:f t="shared" si="1"/>
        <x:v>0.5</x:v>
      </x:c>
      <x:c r="I15" s="43" t="n">
        <x:f>SUMIFS(赛事明细!$S$4:$S$1000,赛事明细!$P$4:$P$1000,"已结算",赛事明细!$E$4:$E$1000,$A15)</x:f>
        <x:v>-0.3600000000000002</x:v>
      </x:c>
      <x:c r="J15" s="42">
        <x:f t="shared" si="2"/>
        <x:v>-0.072</x:v>
      </x:c>
      <x:c r="K15" s="41" t="str">
        <x:f t="shared" si="3"/>
      </x:c>
    </x:row>
    <x:row r="16" ht="24" customHeight="1">
      <x:c r="A16" s="41" t="s">
        <x:v>117</x:v>
      </x:c>
      <x:c r="B16" s="41" t="n">
        <x:f>COUNTIFS(赛事明细!$P$4:$P$1000,"已结算",赛事明细!$E$4:$E$1000,$A16)</x:f>
        <x:v>7</x:v>
      </x:c>
      <x:c r="C16" s="41" t="n">
        <x:f>COUNTIFS(赛事明细!$P$4:$P$1000,"已结算",赛事明细!$E$4:$E$1000,$A16,赛事明细!$Q$4:$Q$1000,"红")</x:f>
        <x:v>5</x:v>
      </x:c>
      <x:c r="D16" s="41" t="n">
        <x:f>COUNTIFS(赛事明细!$P$4:$P$1000,"已结算",赛事明细!$E$4:$E$1000,$A16,赛事明细!$Q$4:$Q$1000,"半红")</x:f>
        <x:v>0</x:v>
      </x:c>
      <x:c r="E16" s="41" t="n">
        <x:f>COUNTIFS(赛事明细!$P$4:$P$1000,"已结算",赛事明细!$E$4:$E$1000,$A16,赛事明细!$Q$4:$Q$1000,"走")</x:f>
        <x:v>0</x:v>
      </x:c>
      <x:c r="F16" s="41" t="n">
        <x:f>COUNTIFS(赛事明细!$P$4:$P$1000,"已结算",赛事明细!$E$4:$E$1000,$A16,赛事明细!$Q$4:$Q$1000,"半黑")</x:f>
        <x:v>0</x:v>
      </x:c>
      <x:c r="G16" s="41" t="n">
        <x:f>COUNTIFS(赛事明细!$P$4:$P$1000,"已结算",赛事明细!$E$4:$E$1000,$A16,赛事明细!$Q$4:$Q$1000,"黑")</x:f>
        <x:v>2</x:v>
      </x:c>
      <x:c r="H16" s="42">
        <x:f t="shared" si="1"/>
        <x:v>0.714285714285714</x:v>
      </x:c>
      <x:c r="I16" s="43" t="n">
        <x:f>SUMIFS(赛事明细!$S$4:$S$1000,赛事明细!$P$4:$P$1000,"已结算",赛事明细!$E$4:$E$1000,$A16)</x:f>
        <x:v>2.31</x:v>
      </x:c>
      <x:c r="J16" s="42">
        <x:f t="shared" si="2"/>
        <x:v>0.33</x:v>
      </x:c>
      <x:c r="K16" s="41" t="str">
        <x:f t="shared" si="3"/>
      </x:c>
    </x:row>
    <x:row r="17" ht="24" customHeight="1">
      <x:c r="A17" s="41" t="s">
        <x:v>122</x:v>
      </x:c>
      <x:c r="B17" s="41" t="n">
        <x:f>COUNTIFS(赛事明细!$P$4:$P$1000,"已结算",赛事明细!$E$4:$E$1000,$A17)</x:f>
        <x:v>1</x:v>
      </x:c>
      <x:c r="C17" s="41" t="n">
        <x:f>COUNTIFS(赛事明细!$P$4:$P$1000,"已结算",赛事明细!$E$4:$E$1000,$A17,赛事明细!$Q$4:$Q$1000,"红")</x:f>
        <x:v>0</x:v>
      </x:c>
      <x:c r="D17" s="41" t="n">
        <x:f>COUNTIFS(赛事明细!$P$4:$P$1000,"已结算",赛事明细!$E$4:$E$1000,$A17,赛事明细!$Q$4:$Q$1000,"半红")</x:f>
        <x:v>0</x:v>
      </x:c>
      <x:c r="E17" s="41" t="n">
        <x:f>COUNTIFS(赛事明细!$P$4:$P$1000,"已结算",赛事明细!$E$4:$E$1000,$A17,赛事明细!$Q$4:$Q$1000,"走")</x:f>
        <x:v>0</x:v>
      </x:c>
      <x:c r="F17" s="41" t="n">
        <x:f>COUNTIFS(赛事明细!$P$4:$P$1000,"已结算",赛事明细!$E$4:$E$1000,$A17,赛事明细!$Q$4:$Q$1000,"半黑")</x:f>
        <x:v>1</x:v>
      </x:c>
      <x:c r="G17" s="41" t="n">
        <x:f>COUNTIFS(赛事明细!$P$4:$P$1000,"已结算",赛事明细!$E$4:$E$1000,$A17,赛事明细!$Q$4:$Q$1000,"黑")</x:f>
        <x:v>0</x:v>
      </x:c>
      <x:c r="H17" s="42">
        <x:f t="shared" si="1"/>
        <x:v>0</x:v>
      </x:c>
      <x:c r="I17" s="43" t="n">
        <x:f>SUMIFS(赛事明细!$S$4:$S$1000,赛事明细!$P$4:$P$1000,"已结算",赛事明细!$E$4:$E$1000,$A17)</x:f>
        <x:v>-0.5</x:v>
      </x:c>
      <x:c r="J17" s="42">
        <x:f t="shared" si="2"/>
        <x:v>-0.5</x:v>
      </x:c>
      <x:c r="K17" s="41" t="str">
        <x:f t="shared" si="3"/>
        <x:v>样本&lt;5，谨慎解读</x:v>
      </x:c>
    </x:row>
    <x:row r="18" ht="24" customHeight="1">
      <x:c r="A18" s="41" t="s">
        <x:v>129</x:v>
      </x:c>
      <x:c r="B18" s="41" t="n">
        <x:f>COUNTIFS(赛事明细!$P$4:$P$1000,"已结算",赛事明细!$E$4:$E$1000,$A18)</x:f>
        <x:v>5</x:v>
      </x:c>
      <x:c r="C18" s="41" t="n">
        <x:f>COUNTIFS(赛事明细!$P$4:$P$1000,"已结算",赛事明细!$E$4:$E$1000,$A18,赛事明细!$Q$4:$Q$1000,"红")</x:f>
        <x:v>1</x:v>
      </x:c>
      <x:c r="D18" s="41" t="n">
        <x:f>COUNTIFS(赛事明细!$P$4:$P$1000,"已结算",赛事明细!$E$4:$E$1000,$A18,赛事明细!$Q$4:$Q$1000,"半红")</x:f>
        <x:v>0</x:v>
      </x:c>
      <x:c r="E18" s="41" t="n">
        <x:f>COUNTIFS(赛事明细!$P$4:$P$1000,"已结算",赛事明细!$E$4:$E$1000,$A18,赛事明细!$Q$4:$Q$1000,"走")</x:f>
        <x:v>1</x:v>
      </x:c>
      <x:c r="F18" s="41" t="n">
        <x:f>COUNTIFS(赛事明细!$P$4:$P$1000,"已结算",赛事明细!$E$4:$E$1000,$A18,赛事明细!$Q$4:$Q$1000,"半黑")</x:f>
        <x:v>1</x:v>
      </x:c>
      <x:c r="G18" s="41" t="n">
        <x:f>COUNTIFS(赛事明细!$P$4:$P$1000,"已结算",赛事明细!$E$4:$E$1000,$A18,赛事明细!$Q$4:$Q$1000,"黑")</x:f>
        <x:v>2</x:v>
      </x:c>
      <x:c r="H18" s="42">
        <x:f t="shared" si="1"/>
        <x:v>0.285714285714286</x:v>
      </x:c>
      <x:c r="I18" s="43" t="n">
        <x:f>SUMIFS(赛事明细!$S$4:$S$1000,赛事明细!$P$4:$P$1000,"已结算",赛事明细!$E$4:$E$1000,$A18)</x:f>
        <x:v>-1.54</x:v>
      </x:c>
      <x:c r="J18" s="42">
        <x:f t="shared" si="2"/>
        <x:v>-0.308</x:v>
      </x:c>
      <x:c r="K18" s="41" t="str">
        <x:f t="shared" si="3"/>
      </x:c>
    </x:row>
    <x:row r="19" ht="24" customHeight="1">
      <x:c r="A19" s="41" t="s">
        <x:v>137</x:v>
      </x:c>
      <x:c r="B19" s="41" t="n">
        <x:f>COUNTIFS(赛事明细!$P$4:$P$1000,"已结算",赛事明细!$E$4:$E$1000,$A19)</x:f>
        <x:v>8</x:v>
      </x:c>
      <x:c r="C19" s="41" t="n">
        <x:f>COUNTIFS(赛事明细!$P$4:$P$1000,"已结算",赛事明细!$E$4:$E$1000,$A19,赛事明细!$Q$4:$Q$1000,"红")</x:f>
        <x:v>2</x:v>
      </x:c>
      <x:c r="D19" s="41" t="n">
        <x:f>COUNTIFS(赛事明细!$P$4:$P$1000,"已结算",赛事明细!$E$4:$E$1000,$A19,赛事明细!$Q$4:$Q$1000,"半红")</x:f>
        <x:v>0</x:v>
      </x:c>
      <x:c r="E19" s="41" t="n">
        <x:f>COUNTIFS(赛事明细!$P$4:$P$1000,"已结算",赛事明细!$E$4:$E$1000,$A19,赛事明细!$Q$4:$Q$1000,"走")</x:f>
        <x:v>0</x:v>
      </x:c>
      <x:c r="F19" s="41" t="n">
        <x:f>COUNTIFS(赛事明细!$P$4:$P$1000,"已结算",赛事明细!$E$4:$E$1000,$A19,赛事明细!$Q$4:$Q$1000,"半黑")</x:f>
        <x:v>2</x:v>
      </x:c>
      <x:c r="G19" s="41" t="n">
        <x:f>COUNTIFS(赛事明细!$P$4:$P$1000,"已结算",赛事明细!$E$4:$E$1000,$A19,赛事明细!$Q$4:$Q$1000,"黑")</x:f>
        <x:v>4</x:v>
      </x:c>
      <x:c r="H19" s="42">
        <x:f t="shared" si="1"/>
        <x:v>0.285714285714286</x:v>
      </x:c>
      <x:c r="I19" s="43" t="n">
        <x:f>SUMIFS(赛事明细!$S$4:$S$1000,赛事明细!$P$4:$P$1000,"已结算",赛事明细!$E$4:$E$1000,$A19)</x:f>
        <x:v>-3.35</x:v>
      </x:c>
      <x:c r="J19" s="42">
        <x:f t="shared" si="2"/>
        <x:v>-0.41875</x:v>
      </x:c>
      <x:c r="K19" s="41" t="str">
        <x:f t="shared" si="3"/>
      </x:c>
    </x:row>
    <x:row r="20" ht="24" customHeight="1">
      <x:c r="A20" s="41" t="s">
        <x:v>145</x:v>
      </x:c>
      <x:c r="B20" s="41" t="n">
        <x:f>COUNTIFS(赛事明细!$P$4:$P$1000,"已结算",赛事明细!$E$4:$E$1000,$A20)</x:f>
        <x:v>20</x:v>
      </x:c>
      <x:c r="C20" s="41" t="n">
        <x:f>COUNTIFS(赛事明细!$P$4:$P$1000,"已结算",赛事明细!$E$4:$E$1000,$A20,赛事明细!$Q$4:$Q$1000,"红")</x:f>
        <x:v>10</x:v>
      </x:c>
      <x:c r="D20" s="41" t="n">
        <x:f>COUNTIFS(赛事明细!$P$4:$P$1000,"已结算",赛事明细!$E$4:$E$1000,$A20,赛事明细!$Q$4:$Q$1000,"半红")</x:f>
        <x:v>0</x:v>
      </x:c>
      <x:c r="E20" s="41" t="n">
        <x:f>COUNTIFS(赛事明细!$P$4:$P$1000,"已结算",赛事明细!$E$4:$E$1000,$A20,赛事明细!$Q$4:$Q$1000,"走")</x:f>
        <x:v>1</x:v>
      </x:c>
      <x:c r="F20" s="41" t="n">
        <x:f>COUNTIFS(赛事明细!$P$4:$P$1000,"已结算",赛事明细!$E$4:$E$1000,$A20,赛事明细!$Q$4:$Q$1000,"半黑")</x:f>
        <x:v>2</x:v>
      </x:c>
      <x:c r="G20" s="41" t="n">
        <x:f>COUNTIFS(赛事明细!$P$4:$P$1000,"已结算",赛事明细!$E$4:$E$1000,$A20,赛事明细!$Q$4:$Q$1000,"黑")</x:f>
        <x:v>7</x:v>
      </x:c>
      <x:c r="H20" s="42">
        <x:f t="shared" si="1"/>
        <x:v>0.555555555555556</x:v>
      </x:c>
      <x:c r="I20" s="43" t="n">
        <x:f>SUMIFS(赛事明细!$S$4:$S$1000,赛事明细!$P$4:$P$1000,"已结算",赛事明细!$E$4:$E$1000,$A20)</x:f>
        <x:v>1.2000000000000002</x:v>
      </x:c>
      <x:c r="J20" s="42">
        <x:f t="shared" si="2"/>
        <x:v>0.06</x:v>
      </x:c>
      <x:c r="K20" s="41" t="str">
        <x:f t="shared" si="3"/>
      </x:c>
    </x:row>
    <x:row r="21" ht="24" customHeight="1">
      <x:c r="A21" s="41" t="s">
        <x:v>151</x:v>
      </x:c>
      <x:c r="B21" s="41" t="n">
        <x:f>COUNTIFS(赛事明细!$P$4:$P$1000,"已结算",赛事明细!$E$4:$E$1000,$A21)</x:f>
        <x:v>5</x:v>
      </x:c>
      <x:c r="C21" s="41" t="n">
        <x:f>COUNTIFS(赛事明细!$P$4:$P$1000,"已结算",赛事明细!$E$4:$E$1000,$A21,赛事明细!$Q$4:$Q$1000,"红")</x:f>
        <x:v>1</x:v>
      </x:c>
      <x:c r="D21" s="41" t="n">
        <x:f>COUNTIFS(赛事明细!$P$4:$P$1000,"已结算",赛事明细!$E$4:$E$1000,$A21,赛事明细!$Q$4:$Q$1000,"半红")</x:f>
        <x:v>0</x:v>
      </x:c>
      <x:c r="E21" s="41" t="n">
        <x:f>COUNTIFS(赛事明细!$P$4:$P$1000,"已结算",赛事明细!$E$4:$E$1000,$A21,赛事明细!$Q$4:$Q$1000,"走")</x:f>
        <x:v>0</x:v>
      </x:c>
      <x:c r="F21" s="41" t="n">
        <x:f>COUNTIFS(赛事明细!$P$4:$P$1000,"已结算",赛事明细!$E$4:$E$1000,$A21,赛事明细!$Q$4:$Q$1000,"半黑")</x:f>
        <x:v>0</x:v>
      </x:c>
      <x:c r="G21" s="41" t="n">
        <x:f>COUNTIFS(赛事明细!$P$4:$P$1000,"已结算",赛事明细!$E$4:$E$1000,$A21,赛事明细!$Q$4:$Q$1000,"黑")</x:f>
        <x:v>4</x:v>
      </x:c>
      <x:c r="H21" s="42">
        <x:f t="shared" si="1"/>
        <x:v>0.2</x:v>
      </x:c>
      <x:c r="I21" s="43" t="n">
        <x:f>SUMIFS(赛事明细!$S$4:$S$1000,赛事明细!$P$4:$P$1000,"已结算",赛事明细!$E$4:$E$1000,$A21)</x:f>
        <x:v>-3.2</x:v>
      </x:c>
      <x:c r="J21" s="42">
        <x:f t="shared" si="2"/>
        <x:v>-0.64</x:v>
      </x:c>
      <x:c r="K21" s="41" t="str">
        <x:f t="shared" si="3"/>
      </x:c>
    </x:row>
    <x:row r="22" ht="24" customHeight="1">
      <x:c r="A22" s="41" t="s">
        <x:v>156</x:v>
      </x:c>
      <x:c r="B22" s="41" t="n">
        <x:f>COUNTIFS(赛事明细!$P$4:$P$1000,"已结算",赛事明细!$E$4:$E$1000,$A22)</x:f>
        <x:v>30</x:v>
      </x:c>
      <x:c r="C22" s="41" t="n">
        <x:f>COUNTIFS(赛事明细!$P$4:$P$1000,"已结算",赛事明细!$E$4:$E$1000,$A22,赛事明细!$Q$4:$Q$1000,"红")</x:f>
        <x:v>14</x:v>
      </x:c>
      <x:c r="D22" s="41" t="n">
        <x:f>COUNTIFS(赛事明细!$P$4:$P$1000,"已结算",赛事明细!$E$4:$E$1000,$A22,赛事明细!$Q$4:$Q$1000,"半红")</x:f>
        <x:v>2</x:v>
      </x:c>
      <x:c r="E22" s="41" t="n">
        <x:f>COUNTIFS(赛事明细!$P$4:$P$1000,"已结算",赛事明细!$E$4:$E$1000,$A22,赛事明细!$Q$4:$Q$1000,"走")</x:f>
        <x:v>3</x:v>
      </x:c>
      <x:c r="F22" s="41" t="n">
        <x:f>COUNTIFS(赛事明细!$P$4:$P$1000,"已结算",赛事明细!$E$4:$E$1000,$A22,赛事明细!$Q$4:$Q$1000,"半黑")</x:f>
        <x:v>2</x:v>
      </x:c>
      <x:c r="G22" s="41" t="n">
        <x:f>COUNTIFS(赛事明细!$P$4:$P$1000,"已结算",赛事明细!$E$4:$E$1000,$A22,赛事明细!$Q$4:$Q$1000,"黑")</x:f>
        <x:v>9</x:v>
      </x:c>
      <x:c r="H22" s="42">
        <x:f t="shared" si="1"/>
        <x:v>0.6</x:v>
      </x:c>
      <x:c r="I22" s="43" t="n">
        <x:f>SUMIFS(赛事明细!$S$4:$S$1000,赛事明细!$P$4:$P$1000,"已结算",赛事明细!$E$4:$E$1000,$A22)</x:f>
        <x:v>4.040000000000001</x:v>
      </x:c>
      <x:c r="J22" s="42">
        <x:f t="shared" si="2"/>
        <x:v>0.134666666666667</x:v>
      </x:c>
      <x:c r="K22" s="41" t="str">
        <x:f t="shared" si="3"/>
      </x:c>
    </x:row>
    <x:row r="23" ht="24" customHeight="1">
      <x:c r="A23" s="41" t="s">
        <x:v>180</x:v>
      </x:c>
      <x:c r="B23" s="41" t="n">
        <x:f>COUNTIFS(赛事明细!$P$4:$P$1000,"已结算",赛事明细!$E$4:$E$1000,$A23)</x:f>
        <x:v>2</x:v>
      </x:c>
      <x:c r="C23" s="41" t="n">
        <x:f>COUNTIFS(赛事明细!$P$4:$P$1000,"已结算",赛事明细!$E$4:$E$1000,$A23,赛事明细!$Q$4:$Q$1000,"红")</x:f>
        <x:v>1</x:v>
      </x:c>
      <x:c r="D23" s="41" t="n">
        <x:f>COUNTIFS(赛事明细!$P$4:$P$1000,"已结算",赛事明细!$E$4:$E$1000,$A23,赛事明细!$Q$4:$Q$1000,"半红")</x:f>
        <x:v>0</x:v>
      </x:c>
      <x:c r="E23" s="41" t="n">
        <x:f>COUNTIFS(赛事明细!$P$4:$P$1000,"已结算",赛事明细!$E$4:$E$1000,$A23,赛事明细!$Q$4:$Q$1000,"走")</x:f>
        <x:v>0</x:v>
      </x:c>
      <x:c r="F23" s="41" t="n">
        <x:f>COUNTIFS(赛事明细!$P$4:$P$1000,"已结算",赛事明细!$E$4:$E$1000,$A23,赛事明细!$Q$4:$Q$1000,"半黑")</x:f>
        <x:v>0</x:v>
      </x:c>
      <x:c r="G23" s="41" t="n">
        <x:f>COUNTIFS(赛事明细!$P$4:$P$1000,"已结算",赛事明细!$E$4:$E$1000,$A23,赛事明细!$Q$4:$Q$1000,"黑")</x:f>
        <x:v>1</x:v>
      </x:c>
      <x:c r="H23" s="42">
        <x:f t="shared" si="1"/>
        <x:v>0.5</x:v>
      </x:c>
      <x:c r="I23" s="43" t="n">
        <x:f>SUMIFS(赛事明细!$S$4:$S$1000,赛事明细!$P$4:$P$1000,"已结算",赛事明细!$E$4:$E$1000,$A23)</x:f>
        <x:v>-0.18000000000000005</x:v>
      </x:c>
      <x:c r="J23" s="42">
        <x:f t="shared" si="2"/>
        <x:v>-0.09</x:v>
      </x:c>
      <x:c r="K23" s="41" t="str">
        <x:f t="shared" si="3"/>
        <x:v>样本&lt;5，谨慎解读</x:v>
      </x:c>
    </x:row>
    <x:row r="24" ht="24" customHeight="1">
      <x:c r="A24" s="41" t="s">
        <x:v>192</x:v>
      </x:c>
      <x:c r="B24" s="41" t="n">
        <x:f>COUNTIFS(赛事明细!$P$4:$P$1000,"已结算",赛事明细!$E$4:$E$1000,$A24)</x:f>
        <x:v>4</x:v>
      </x:c>
      <x:c r="C24" s="41" t="n">
        <x:f>COUNTIFS(赛事明细!$P$4:$P$1000,"已结算",赛事明细!$E$4:$E$1000,$A24,赛事明细!$Q$4:$Q$1000,"红")</x:f>
        <x:v>2</x:v>
      </x:c>
      <x:c r="D24" s="41" t="n">
        <x:f>COUNTIFS(赛事明细!$P$4:$P$1000,"已结算",赛事明细!$E$4:$E$1000,$A24,赛事明细!$Q$4:$Q$1000,"半红")</x:f>
        <x:v>1</x:v>
      </x:c>
      <x:c r="E24" s="41" t="n">
        <x:f>COUNTIFS(赛事明细!$P$4:$P$1000,"已结算",赛事明细!$E$4:$E$1000,$A24,赛事明细!$Q$4:$Q$1000,"走")</x:f>
        <x:v>0</x:v>
      </x:c>
      <x:c r="F24" s="41" t="n">
        <x:f>COUNTIFS(赛事明细!$P$4:$P$1000,"已结算",赛事明细!$E$4:$E$1000,$A24,赛事明细!$Q$4:$Q$1000,"半黑")</x:f>
        <x:v>0</x:v>
      </x:c>
      <x:c r="G24" s="41" t="n">
        <x:f>COUNTIFS(赛事明细!$P$4:$P$1000,"已结算",赛事明细!$E$4:$E$1000,$A24,赛事明细!$Q$4:$Q$1000,"黑")</x:f>
        <x:v>1</x:v>
      </x:c>
      <x:c r="H24" s="42">
        <x:f t="shared" si="1"/>
        <x:v>0.714285714285714</x:v>
      </x:c>
      <x:c r="I24" s="43" t="n">
        <x:f>SUMIFS(赛事明细!$S$4:$S$1000,赛事明细!$P$4:$P$1000,"已结算",赛事明细!$E$4:$E$1000,$A24)</x:f>
        <x:v>1.44</x:v>
      </x:c>
      <x:c r="J24" s="42">
        <x:f t="shared" si="2"/>
        <x:v>0.36</x:v>
      </x:c>
      <x:c r="K24" s="41" t="str">
        <x:f t="shared" si="3"/>
        <x:v>样本&lt;5，谨慎解读</x:v>
      </x:c>
    </x:row>
    <x:row r="25" ht="24" customHeight="1">
      <x:c r="A25" s="41" t="s">
        <x:v>207</x:v>
      </x:c>
      <x:c r="B25" s="41" t="n">
        <x:f>COUNTIFS(赛事明细!$P$4:$P$1000,"已结算",赛事明细!$E$4:$E$1000,$A25)</x:f>
        <x:v>1</x:v>
      </x:c>
      <x:c r="C25" s="41" t="n">
        <x:f>COUNTIFS(赛事明细!$P$4:$P$1000,"已结算",赛事明细!$E$4:$E$1000,$A25,赛事明细!$Q$4:$Q$1000,"红")</x:f>
        <x:v>0</x:v>
      </x:c>
      <x:c r="D25" s="41" t="n">
        <x:f>COUNTIFS(赛事明细!$P$4:$P$1000,"已结算",赛事明细!$E$4:$E$1000,$A25,赛事明细!$Q$4:$Q$1000,"半红")</x:f>
        <x:v>0</x:v>
      </x:c>
      <x:c r="E25" s="41" t="n">
        <x:f>COUNTIFS(赛事明细!$P$4:$P$1000,"已结算",赛事明细!$E$4:$E$1000,$A25,赛事明细!$Q$4:$Q$1000,"走")</x:f>
        <x:v>0</x:v>
      </x:c>
      <x:c r="F25" s="41" t="n">
        <x:f>COUNTIFS(赛事明细!$P$4:$P$1000,"已结算",赛事明细!$E$4:$E$1000,$A25,赛事明细!$Q$4:$Q$1000,"半黑")</x:f>
        <x:v>0</x:v>
      </x:c>
      <x:c r="G25" s="41" t="n">
        <x:f>COUNTIFS(赛事明细!$P$4:$P$1000,"已结算",赛事明细!$E$4:$E$1000,$A25,赛事明细!$Q$4:$Q$1000,"黑")</x:f>
        <x:v>1</x:v>
      </x:c>
      <x:c r="H25" s="42">
        <x:f t="shared" si="1"/>
        <x:v>0</x:v>
      </x:c>
      <x:c r="I25" s="43" t="n">
        <x:f>SUMIFS(赛事明细!$S$4:$S$1000,赛事明细!$P$4:$P$1000,"已结算",赛事明细!$E$4:$E$1000,$A25)</x:f>
        <x:v>-1</x:v>
      </x:c>
      <x:c r="J25" s="42">
        <x:f t="shared" si="2"/>
        <x:v>-1</x:v>
      </x:c>
      <x:c r="K25" s="41" t="str">
        <x:f t="shared" si="3"/>
        <x:v>样本&lt;5，谨慎解读</x:v>
      </x:c>
    </x:row>
    <x:row r="26" ht="24" customHeight="1">
      <x:c r="A26" s="41" t="s">
        <x:v>212</x:v>
      </x:c>
      <x:c r="B26" s="41" t="n">
        <x:f>COUNTIFS(赛事明细!$P$4:$P$1000,"已结算",赛事明细!$E$4:$E$1000,$A26)</x:f>
        <x:v>3</x:v>
      </x:c>
      <x:c r="C26" s="41" t="n">
        <x:f>COUNTIFS(赛事明细!$P$4:$P$1000,"已结算",赛事明细!$E$4:$E$1000,$A26,赛事明细!$Q$4:$Q$1000,"红")</x:f>
        <x:v>0</x:v>
      </x:c>
      <x:c r="D26" s="41" t="n">
        <x:f>COUNTIFS(赛事明细!$P$4:$P$1000,"已结算",赛事明细!$E$4:$E$1000,$A26,赛事明细!$Q$4:$Q$1000,"半红")</x:f>
        <x:v>0</x:v>
      </x:c>
      <x:c r="E26" s="41" t="n">
        <x:f>COUNTIFS(赛事明细!$P$4:$P$1000,"已结算",赛事明细!$E$4:$E$1000,$A26,赛事明细!$Q$4:$Q$1000,"走")</x:f>
        <x:v>0</x:v>
      </x:c>
      <x:c r="F26" s="41" t="n">
        <x:f>COUNTIFS(赛事明细!$P$4:$P$1000,"已结算",赛事明细!$E$4:$E$1000,$A26,赛事明细!$Q$4:$Q$1000,"半黑")</x:f>
        <x:v>1</x:v>
      </x:c>
      <x:c r="G26" s="41" t="n">
        <x:f>COUNTIFS(赛事明细!$P$4:$P$1000,"已结算",赛事明细!$E$4:$E$1000,$A26,赛事明细!$Q$4:$Q$1000,"黑")</x:f>
        <x:v>2</x:v>
      </x:c>
      <x:c r="H26" s="42">
        <x:f t="shared" si="1"/>
        <x:v>0</x:v>
      </x:c>
      <x:c r="I26" s="43" t="n">
        <x:f>SUMIFS(赛事明细!$S$4:$S$1000,赛事明细!$P$4:$P$1000,"已结算",赛事明细!$E$4:$E$1000,$A26)</x:f>
        <x:v>-2.5</x:v>
      </x:c>
      <x:c r="J26" s="42">
        <x:f t="shared" si="2"/>
        <x:v>-0.833333333333333</x:v>
      </x:c>
      <x:c r="K26" s="41" t="str">
        <x:f t="shared" si="3"/>
        <x:v>样本&lt;5，谨慎解读</x:v>
      </x:c>
    </x:row>
    <x:row r="27" ht="24" customHeight="1">
      <x:c r="A27" s="41" t="s">
        <x:v>217</x:v>
      </x:c>
      <x:c r="B27" s="41" t="n">
        <x:f>COUNTIFS(赛事明细!$P$4:$P$1000,"已结算",赛事明细!$E$4:$E$1000,$A27)</x:f>
        <x:v>2</x:v>
      </x:c>
      <x:c r="C27" s="41" t="n">
        <x:f>COUNTIFS(赛事明细!$P$4:$P$1000,"已结算",赛事明细!$E$4:$E$1000,$A27,赛事明细!$Q$4:$Q$1000,"红")</x:f>
        <x:v>0</x:v>
      </x:c>
      <x:c r="D27" s="41" t="n">
        <x:f>COUNTIFS(赛事明细!$P$4:$P$1000,"已结算",赛事明细!$E$4:$E$1000,$A27,赛事明细!$Q$4:$Q$1000,"半红")</x:f>
        <x:v>0</x:v>
      </x:c>
      <x:c r="E27" s="41" t="n">
        <x:f>COUNTIFS(赛事明细!$P$4:$P$1000,"已结算",赛事明细!$E$4:$E$1000,$A27,赛事明细!$Q$4:$Q$1000,"走")</x:f>
        <x:v>1</x:v>
      </x:c>
      <x:c r="F27" s="41" t="n">
        <x:f>COUNTIFS(赛事明细!$P$4:$P$1000,"已结算",赛事明细!$E$4:$E$1000,$A27,赛事明细!$Q$4:$Q$1000,"半黑")</x:f>
        <x:v>0</x:v>
      </x:c>
      <x:c r="G27" s="41" t="n">
        <x:f>COUNTIFS(赛事明细!$P$4:$P$1000,"已结算",赛事明细!$E$4:$E$1000,$A27,赛事明细!$Q$4:$Q$1000,"黑")</x:f>
        <x:v>1</x:v>
      </x:c>
      <x:c r="H27" s="42">
        <x:f t="shared" si="1"/>
        <x:v>0</x:v>
      </x:c>
      <x:c r="I27" s="43" t="n">
        <x:f>SUMIFS(赛事明细!$S$4:$S$1000,赛事明细!$P$4:$P$1000,"已结算",赛事明细!$E$4:$E$1000,$A27)</x:f>
        <x:v>-1</x:v>
      </x:c>
      <x:c r="J27" s="42">
        <x:f t="shared" si="2"/>
        <x:v>-0.5</x:v>
      </x:c>
      <x:c r="K27" s="41" t="str">
        <x:f t="shared" si="3"/>
        <x:v>样本&lt;5，谨慎解读</x:v>
      </x:c>
    </x:row>
    <x:row r="28" ht="24" customHeight="1">
      <x:c r="A28" s="41" t="s">
        <x:v>222</x:v>
      </x:c>
      <x:c r="B28" s="41" t="n">
        <x:f>COUNTIFS(赛事明细!$P$4:$P$1000,"已结算",赛事明细!$E$4:$E$1000,$A28)</x:f>
        <x:v>6</x:v>
      </x:c>
      <x:c r="C28" s="41" t="n">
        <x:f>COUNTIFS(赛事明细!$P$4:$P$1000,"已结算",赛事明细!$E$4:$E$1000,$A28,赛事明细!$Q$4:$Q$1000,"红")</x:f>
        <x:v>2</x:v>
      </x:c>
      <x:c r="D28" s="41" t="n">
        <x:f>COUNTIFS(赛事明细!$P$4:$P$1000,"已结算",赛事明细!$E$4:$E$1000,$A28,赛事明细!$Q$4:$Q$1000,"半红")</x:f>
        <x:v>1</x:v>
      </x:c>
      <x:c r="E28" s="41" t="n">
        <x:f>COUNTIFS(赛事明细!$P$4:$P$1000,"已结算",赛事明细!$E$4:$E$1000,$A28,赛事明细!$Q$4:$Q$1000,"走")</x:f>
        <x:v>0</x:v>
      </x:c>
      <x:c r="F28" s="41" t="n">
        <x:f>COUNTIFS(赛事明细!$P$4:$P$1000,"已结算",赛事明细!$E$4:$E$1000,$A28,赛事明细!$Q$4:$Q$1000,"半黑")</x:f>
        <x:v>1</x:v>
      </x:c>
      <x:c r="G28" s="41" t="n">
        <x:f>COUNTIFS(赛事明细!$P$4:$P$1000,"已结算",赛事明细!$E$4:$E$1000,$A28,赛事明细!$Q$4:$Q$1000,"黑")</x:f>
        <x:v>2</x:v>
      </x:c>
      <x:c r="H28" s="42">
        <x:f t="shared" si="1"/>
        <x:v>0.5</x:v>
      </x:c>
      <x:c r="I28" s="43" t="n">
        <x:f>SUMIFS(赛事明细!$S$4:$S$1000,赛事明细!$P$4:$P$1000,"已结算",赛事明细!$E$4:$E$1000,$A28)</x:f>
        <x:v>-0.30500000000000005</x:v>
      </x:c>
      <x:c r="J28" s="42">
        <x:f t="shared" si="2"/>
        <x:v>-0.0508333333333333</x:v>
      </x:c>
      <x:c r="K28" s="41" t="str">
        <x:f t="shared" si="3"/>
      </x:c>
    </x:row>
    <x:row r="29" ht="24" customHeight="1">
      <x:c r="A29" s="41" t="s">
        <x:v>227</x:v>
      </x:c>
      <x:c r="B29" s="41" t="n">
        <x:f>COUNTIFS(赛事明细!$P$4:$P$1000,"已结算",赛事明细!$E$4:$E$1000,$A29)</x:f>
        <x:v>1</x:v>
      </x:c>
      <x:c r="C29" s="41" t="n">
        <x:f>COUNTIFS(赛事明细!$P$4:$P$1000,"已结算",赛事明细!$E$4:$E$1000,$A29,赛事明细!$Q$4:$Q$1000,"红")</x:f>
        <x:v>1</x:v>
      </x:c>
      <x:c r="D29" s="41" t="n">
        <x:f>COUNTIFS(赛事明细!$P$4:$P$1000,"已结算",赛事明细!$E$4:$E$1000,$A29,赛事明细!$Q$4:$Q$1000,"半红")</x:f>
        <x:v>0</x:v>
      </x:c>
      <x:c r="E29" s="41" t="n">
        <x:f>COUNTIFS(赛事明细!$P$4:$P$1000,"已结算",赛事明细!$E$4:$E$1000,$A29,赛事明细!$Q$4:$Q$1000,"走")</x:f>
        <x:v>0</x:v>
      </x:c>
      <x:c r="F29" s="41" t="n">
        <x:f>COUNTIFS(赛事明细!$P$4:$P$1000,"已结算",赛事明细!$E$4:$E$1000,$A29,赛事明细!$Q$4:$Q$1000,"半黑")</x:f>
        <x:v>0</x:v>
      </x:c>
      <x:c r="G29" s="41" t="n">
        <x:f>COUNTIFS(赛事明细!$P$4:$P$1000,"已结算",赛事明细!$E$4:$E$1000,$A29,赛事明细!$Q$4:$Q$1000,"黑")</x:f>
        <x:v>0</x:v>
      </x:c>
      <x:c r="H29" s="42">
        <x:f t="shared" si="1"/>
        <x:v>1</x:v>
      </x:c>
      <x:c r="I29" s="43" t="n">
        <x:f>SUMIFS(赛事明细!$S$4:$S$1000,赛事明细!$P$4:$P$1000,"已结算",赛事明细!$E$4:$E$1000,$A29)</x:f>
        <x:v>0.8</x:v>
      </x:c>
      <x:c r="J29" s="42">
        <x:f t="shared" si="2"/>
        <x:v>0.8</x:v>
      </x:c>
      <x:c r="K29" s="41" t="str">
        <x:f t="shared" si="3"/>
        <x:v>样本&lt;5，谨慎解读</x:v>
      </x:c>
    </x:row>
    <x:row r="30" ht="24" customHeight="1">
      <x:c r="A30" s="41" t="s">
        <x:v>233</x:v>
      </x:c>
      <x:c r="B30" s="41" t="n">
        <x:f>COUNTIFS(赛事明细!$P$4:$P$1000,"已结算",赛事明细!$E$4:$E$1000,$A30)</x:f>
        <x:v>4</x:v>
      </x:c>
      <x:c r="C30" s="41" t="n">
        <x:f>COUNTIFS(赛事明细!$P$4:$P$1000,"已结算",赛事明细!$E$4:$E$1000,$A30,赛事明细!$Q$4:$Q$1000,"红")</x:f>
        <x:v>1</x:v>
      </x:c>
      <x:c r="D30" s="41" t="n">
        <x:f>COUNTIFS(赛事明细!$P$4:$P$1000,"已结算",赛事明细!$E$4:$E$1000,$A30,赛事明细!$Q$4:$Q$1000,"半红")</x:f>
        <x:v>0</x:v>
      </x:c>
      <x:c r="E30" s="41" t="n">
        <x:f>COUNTIFS(赛事明细!$P$4:$P$1000,"已结算",赛事明细!$E$4:$E$1000,$A30,赛事明细!$Q$4:$Q$1000,"走")</x:f>
        <x:v>0</x:v>
      </x:c>
      <x:c r="F30" s="41" t="n">
        <x:f>COUNTIFS(赛事明细!$P$4:$P$1000,"已结算",赛事明细!$E$4:$E$1000,$A30,赛事明细!$Q$4:$Q$1000,"半黑")</x:f>
        <x:v>0</x:v>
      </x:c>
      <x:c r="G30" s="41" t="n">
        <x:f>COUNTIFS(赛事明细!$P$4:$P$1000,"已结算",赛事明细!$E$4:$E$1000,$A30,赛事明细!$Q$4:$Q$1000,"黑")</x:f>
        <x:v>3</x:v>
      </x:c>
      <x:c r="H30" s="42">
        <x:f t="shared" si="1"/>
        <x:v>0.25</x:v>
      </x:c>
      <x:c r="I30" s="43" t="n">
        <x:f>SUMIFS(赛事明细!$S$4:$S$1000,赛事明细!$P$4:$P$1000,"已结算",赛事明细!$E$4:$E$1000,$A30)</x:f>
        <x:v>-2.18</x:v>
      </x:c>
      <x:c r="J30" s="42">
        <x:f t="shared" si="2"/>
        <x:v>-0.545</x:v>
      </x:c>
      <x:c r="K30" s="41" t="str">
        <x:f t="shared" si="3"/>
        <x:v>样本&lt;5，谨慎解读</x:v>
      </x:c>
    </x:row>
    <x:row r="31" ht="24" customHeight="1">
      <x:c r="A31" s="41" t="s">
        <x:v>240</x:v>
      </x:c>
      <x:c r="B31" s="41" t="n">
        <x:f>COUNTIFS(赛事明细!$P$4:$P$1000,"已结算",赛事明细!$E$4:$E$1000,$A31)</x:f>
        <x:v>12</x:v>
      </x:c>
      <x:c r="C31" s="41" t="n">
        <x:f>COUNTIFS(赛事明细!$P$4:$P$1000,"已结算",赛事明细!$E$4:$E$1000,$A31,赛事明细!$Q$4:$Q$1000,"红")</x:f>
        <x:v>7</x:v>
      </x:c>
      <x:c r="D31" s="41" t="n">
        <x:f>COUNTIFS(赛事明细!$P$4:$P$1000,"已结算",赛事明细!$E$4:$E$1000,$A31,赛事明细!$Q$4:$Q$1000,"半红")</x:f>
        <x:v>0</x:v>
      </x:c>
      <x:c r="E31" s="41" t="n">
        <x:f>COUNTIFS(赛事明细!$P$4:$P$1000,"已结算",赛事明细!$E$4:$E$1000,$A31,赛事明细!$Q$4:$Q$1000,"走")</x:f>
        <x:v>1</x:v>
      </x:c>
      <x:c r="F31" s="41" t="n">
        <x:f>COUNTIFS(赛事明细!$P$4:$P$1000,"已结算",赛事明细!$E$4:$E$1000,$A31,赛事明细!$Q$4:$Q$1000,"半黑")</x:f>
        <x:v>1</x:v>
      </x:c>
      <x:c r="G31" s="41" t="n">
        <x:f>COUNTIFS(赛事明细!$P$4:$P$1000,"已结算",赛事明细!$E$4:$E$1000,$A31,赛事明细!$Q$4:$Q$1000,"黑")</x:f>
        <x:v>3</x:v>
      </x:c>
      <x:c r="H31" s="42">
        <x:f t="shared" si="1"/>
        <x:v>0.666666666666667</x:v>
      </x:c>
      <x:c r="I31" s="43" t="n">
        <x:f>SUMIFS(赛事明细!$S$4:$S$1000,赛事明细!$P$4:$P$1000,"已结算",赛事明细!$E$4:$E$1000,$A31)</x:f>
        <x:v>2.7099999999999995</x:v>
      </x:c>
      <x:c r="J31" s="42">
        <x:f t="shared" si="2"/>
        <x:v>0.225833333333333</x:v>
      </x:c>
      <x:c r="K31" s="41" t="str">
        <x:f t="shared" si="3"/>
      </x:c>
    </x:row>
    <x:row r="32" ht="24" customHeight="1">
      <x:c r="A32" s="41" t="s">
        <x:v>245</x:v>
      </x:c>
      <x:c r="B32" s="41" t="n">
        <x:f>COUNTIFS(赛事明细!$P$4:$P$1000,"已结算",赛事明细!$E$4:$E$1000,$A32)</x:f>
        <x:v>12</x:v>
      </x:c>
      <x:c r="C32" s="41" t="n">
        <x:f>COUNTIFS(赛事明细!$P$4:$P$1000,"已结算",赛事明细!$E$4:$E$1000,$A32,赛事明细!$Q$4:$Q$1000,"红")</x:f>
        <x:v>4</x:v>
      </x:c>
      <x:c r="D32" s="41" t="n">
        <x:f>COUNTIFS(赛事明细!$P$4:$P$1000,"已结算",赛事明细!$E$4:$E$1000,$A32,赛事明细!$Q$4:$Q$1000,"半红")</x:f>
        <x:v>2</x:v>
      </x:c>
      <x:c r="E32" s="41" t="n">
        <x:f>COUNTIFS(赛事明细!$P$4:$P$1000,"已结算",赛事明细!$E$4:$E$1000,$A32,赛事明细!$Q$4:$Q$1000,"走")</x:f>
        <x:v>3</x:v>
      </x:c>
      <x:c r="F32" s="41" t="n">
        <x:f>COUNTIFS(赛事明细!$P$4:$P$1000,"已结算",赛事明细!$E$4:$E$1000,$A32,赛事明细!$Q$4:$Q$1000,"半黑")</x:f>
        <x:v>0</x:v>
      </x:c>
      <x:c r="G32" s="41" t="n">
        <x:f>COUNTIFS(赛事明细!$P$4:$P$1000,"已结算",赛事明细!$E$4:$E$1000,$A32,赛事明细!$Q$4:$Q$1000,"黑")</x:f>
        <x:v>3</x:v>
      </x:c>
      <x:c r="H32" s="42">
        <x:f t="shared" si="1"/>
        <x:v>0.714285714285714</x:v>
      </x:c>
      <x:c r="I32" s="43" t="n">
        <x:f>SUMIFS(赛事明细!$S$4:$S$1000,赛事明细!$P$4:$P$1000,"已结算",赛事明细!$E$4:$E$1000,$A32)</x:f>
        <x:v>1.4749999999999996</x:v>
      </x:c>
      <x:c r="J32" s="42">
        <x:f t="shared" si="2"/>
        <x:v>0.225</x:v>
      </x:c>
      <x:c r="K32" s="41" t="str">
        <x:f t="shared" si="3"/>
      </x:c>
    </x:row>
    <x:row r="33" ht="24" customHeight="1">
      <x:c r="A33" s="41" t="s">
        <x:v>279</x:v>
      </x:c>
      <x:c r="B33" s="41" t="n">
        <x:f>COUNTIFS(赛事明细!$P$4:$P$1000,"已结算",赛事明细!$E$4:$E$1000,$A33)</x:f>
        <x:v>2</x:v>
      </x:c>
      <x:c r="C33" s="41" t="n">
        <x:f>COUNTIFS(赛事明细!$P$4:$P$1000,"已结算",赛事明细!$E$4:$E$1000,$A33,赛事明细!$Q$4:$Q$1000,"红")</x:f>
        <x:v>1</x:v>
      </x:c>
      <x:c r="D33" s="41" t="n">
        <x:f>COUNTIFS(赛事明细!$P$4:$P$1000,"已结算",赛事明细!$E$4:$E$1000,$A33,赛事明细!$Q$4:$Q$1000,"半红")</x:f>
        <x:v>0</x:v>
      </x:c>
      <x:c r="E33" s="41" t="n">
        <x:f>COUNTIFS(赛事明细!$P$4:$P$1000,"已结算",赛事明细!$E$4:$E$1000,$A33,赛事明细!$Q$4:$Q$1000,"走")</x:f>
        <x:v>0</x:v>
      </x:c>
      <x:c r="F33" s="41" t="n">
        <x:f>COUNTIFS(赛事明细!$P$4:$P$1000,"已结算",赛事明细!$E$4:$E$1000,$A33,赛事明细!$Q$4:$Q$1000,"半黑")</x:f>
        <x:v>1</x:v>
      </x:c>
      <x:c r="G33" s="41" t="n">
        <x:f>COUNTIFS(赛事明细!$P$4:$P$1000,"已结算",赛事明细!$E$4:$E$1000,$A33,赛事明细!$Q$4:$Q$1000,"黑")</x:f>
        <x:v>0</x:v>
      </x:c>
      <x:c r="H33" s="42">
        <x:f t="shared" si="1"/>
        <x:v>0.666666666666667</x:v>
      </x:c>
      <x:c r="I33" s="43" t="n">
        <x:f>SUMIFS(赛事明细!$S$4:$S$1000,赛事明细!$P$4:$P$1000,"已结算",赛事明细!$E$4:$E$1000,$A33)</x:f>
        <x:v>0.53</x:v>
      </x:c>
      <x:c r="J33" s="42">
        <x:f t="shared" si="2"/>
        <x:v>0.265</x:v>
      </x:c>
      <x:c r="K33" s="41" t="str">
        <x:f t="shared" si="3"/>
        <x:v>样本&lt;5，谨慎解读</x:v>
      </x:c>
    </x:row>
    <x:row r="34" ht="24" customHeight="1">
      <x:c r="A34" s="41" t="s">
        <x:v>284</x:v>
      </x:c>
      <x:c r="B34" s="41" t="n">
        <x:f>COUNTIFS(赛事明细!$P$4:$P$1000,"已结算",赛事明细!$E$4:$E$1000,$A34)</x:f>
        <x:v>3</x:v>
      </x:c>
      <x:c r="C34" s="41" t="n">
        <x:f>COUNTIFS(赛事明细!$P$4:$P$1000,"已结算",赛事明细!$E$4:$E$1000,$A34,赛事明细!$Q$4:$Q$1000,"红")</x:f>
        <x:v>2</x:v>
      </x:c>
      <x:c r="D34" s="41" t="n">
        <x:f>COUNTIFS(赛事明细!$P$4:$P$1000,"已结算",赛事明细!$E$4:$E$1000,$A34,赛事明细!$Q$4:$Q$1000,"半红")</x:f>
        <x:v>0</x:v>
      </x:c>
      <x:c r="E34" s="41" t="n">
        <x:f>COUNTIFS(赛事明细!$P$4:$P$1000,"已结算",赛事明细!$E$4:$E$1000,$A34,赛事明细!$Q$4:$Q$1000,"走")</x:f>
        <x:v>0</x:v>
      </x:c>
      <x:c r="F34" s="41" t="n">
        <x:f>COUNTIFS(赛事明细!$P$4:$P$1000,"已结算",赛事明细!$E$4:$E$1000,$A34,赛事明细!$Q$4:$Q$1000,"半黑")</x:f>
        <x:v>0</x:v>
      </x:c>
      <x:c r="G34" s="41" t="n">
        <x:f>COUNTIFS(赛事明细!$P$4:$P$1000,"已结算",赛事明细!$E$4:$E$1000,$A34,赛事明细!$Q$4:$Q$1000,"黑")</x:f>
        <x:v>1</x:v>
      </x:c>
      <x:c r="H34" s="42">
        <x:f t="shared" si="1"/>
        <x:v>0.666666666666667</x:v>
      </x:c>
      <x:c r="I34" s="43" t="n">
        <x:f>SUMIFS(赛事明细!$S$4:$S$1000,赛事明细!$P$4:$P$1000,"已结算",赛事明细!$E$4:$E$1000,$A34)</x:f>
        <x:v>0.72</x:v>
      </x:c>
      <x:c r="J34" s="42">
        <x:f t="shared" si="2"/>
        <x:v>0.24</x:v>
      </x:c>
      <x:c r="K34" s="41" t="str">
        <x:f t="shared" si="3"/>
        <x:v>样本&lt;5，谨慎解读</x:v>
      </x:c>
    </x:row>
    <x:row r="35" ht="24" customHeight="1">
      <x:c r="A35" s="41" t="s">
        <x:v>295</x:v>
      </x:c>
      <x:c r="B35" s="41" t="n">
        <x:f>COUNTIFS(赛事明细!$P$4:$P$1000,"已结算",赛事明细!$E$4:$E$1000,$A35)</x:f>
        <x:v>5</x:v>
      </x:c>
      <x:c r="C35" s="41" t="n">
        <x:f>COUNTIFS(赛事明细!$P$4:$P$1000,"已结算",赛事明细!$E$4:$E$1000,$A35,赛事明细!$Q$4:$Q$1000,"红")</x:f>
        <x:v>2</x:v>
      </x:c>
      <x:c r="D35" s="41" t="n">
        <x:f>COUNTIFS(赛事明细!$P$4:$P$1000,"已结算",赛事明细!$E$4:$E$1000,$A35,赛事明细!$Q$4:$Q$1000,"半红")</x:f>
        <x:v>0</x:v>
      </x:c>
      <x:c r="E35" s="41" t="n">
        <x:f>COUNTIFS(赛事明细!$P$4:$P$1000,"已结算",赛事明细!$E$4:$E$1000,$A35,赛事明细!$Q$4:$Q$1000,"走")</x:f>
        <x:v>0</x:v>
      </x:c>
      <x:c r="F35" s="41" t="n">
        <x:f>COUNTIFS(赛事明细!$P$4:$P$1000,"已结算",赛事明细!$E$4:$E$1000,$A35,赛事明细!$Q$4:$Q$1000,"半黑")</x:f>
        <x:v>0</x:v>
      </x:c>
      <x:c r="G35" s="41" t="n">
        <x:f>COUNTIFS(赛事明细!$P$4:$P$1000,"已结算",赛事明细!$E$4:$E$1000,$A35,赛事明细!$Q$4:$Q$1000,"黑")</x:f>
        <x:v>3</x:v>
      </x:c>
      <x:c r="H35" s="42">
        <x:f t="shared" si="1"/>
        <x:v>0.4</x:v>
      </x:c>
      <x:c r="I35" s="43" t="n">
        <x:f>SUMIFS(赛事明细!$S$4:$S$1000,赛事明细!$P$4:$P$1000,"已结算",赛事明细!$E$4:$E$1000,$A35)</x:f>
        <x:v>-1.0800000000000003</x:v>
      </x:c>
      <x:c r="J35" s="42">
        <x:f t="shared" si="2"/>
        <x:v>-0.216</x:v>
      </x:c>
      <x:c r="K35" s="41" t="str">
        <x:f t="shared" si="3"/>
      </x:c>
    </x:row>
    <x:row r="36" ht="24" customHeight="1">
      <x:c r="A36" s="41" t="s">
        <x:v>303</x:v>
      </x:c>
      <x:c r="B36" s="41" t="n">
        <x:f>COUNTIFS(赛事明细!$P$4:$P$1000,"已结算",赛事明细!$E$4:$E$1000,$A36)</x:f>
        <x:v>1</x:v>
      </x:c>
      <x:c r="C36" s="41" t="n">
        <x:f>COUNTIFS(赛事明细!$P$4:$P$1000,"已结算",赛事明细!$E$4:$E$1000,$A36,赛事明细!$Q$4:$Q$1000,"红")</x:f>
        <x:v>0</x:v>
      </x:c>
      <x:c r="D36" s="41" t="n">
        <x:f>COUNTIFS(赛事明细!$P$4:$P$1000,"已结算",赛事明细!$E$4:$E$1000,$A36,赛事明细!$Q$4:$Q$1000,"半红")</x:f>
        <x:v>0</x:v>
      </x:c>
      <x:c r="E36" s="41" t="n">
        <x:f>COUNTIFS(赛事明细!$P$4:$P$1000,"已结算",赛事明细!$E$4:$E$1000,$A36,赛事明细!$Q$4:$Q$1000,"走")</x:f>
        <x:v>0</x:v>
      </x:c>
      <x:c r="F36" s="41" t="n">
        <x:f>COUNTIFS(赛事明细!$P$4:$P$1000,"已结算",赛事明细!$E$4:$E$1000,$A36,赛事明细!$Q$4:$Q$1000,"半黑")</x:f>
        <x:v>0</x:v>
      </x:c>
      <x:c r="G36" s="41" t="n">
        <x:f>COUNTIFS(赛事明细!$P$4:$P$1000,"已结算",赛事明细!$E$4:$E$1000,$A36,赛事明细!$Q$4:$Q$1000,"黑")</x:f>
        <x:v>1</x:v>
      </x:c>
      <x:c r="H36" s="42">
        <x:f t="shared" si="1"/>
        <x:v>0</x:v>
      </x:c>
      <x:c r="I36" s="43" t="n">
        <x:f>SUMIFS(赛事明细!$S$4:$S$1000,赛事明细!$P$4:$P$1000,"已结算",赛事明细!$E$4:$E$1000,$A36)</x:f>
        <x:v>-1</x:v>
      </x:c>
      <x:c r="J36" s="42">
        <x:f t="shared" si="2"/>
        <x:v>-1</x:v>
      </x:c>
      <x:c r="K36" s="41" t="str">
        <x:f t="shared" si="3"/>
        <x:v>样本&lt;5，谨慎解读</x:v>
      </x:c>
    </x:row>
    <x:row r="37" ht="24" customHeight="1">
      <x:c r="A37" s="41" t="s">
        <x:v>307</x:v>
      </x:c>
      <x:c r="B37" s="41" t="n">
        <x:f>COUNTIFS(赛事明细!$P$4:$P$1000,"已结算",赛事明细!$E$4:$E$1000,$A37)</x:f>
        <x:v>22</x:v>
      </x:c>
      <x:c r="C37" s="41" t="n">
        <x:f>COUNTIFS(赛事明细!$P$4:$P$1000,"已结算",赛事明细!$E$4:$E$1000,$A37,赛事明细!$Q$4:$Q$1000,"红")</x:f>
        <x:v>10</x:v>
      </x:c>
      <x:c r="D37" s="41" t="n">
        <x:f>COUNTIFS(赛事明细!$P$4:$P$1000,"已结算",赛事明细!$E$4:$E$1000,$A37,赛事明细!$Q$4:$Q$1000,"半红")</x:f>
        <x:v>1</x:v>
      </x:c>
      <x:c r="E37" s="41" t="n">
        <x:f>COUNTIFS(赛事明细!$P$4:$P$1000,"已结算",赛事明细!$E$4:$E$1000,$A37,赛事明细!$Q$4:$Q$1000,"走")</x:f>
        <x:v>0</x:v>
      </x:c>
      <x:c r="F37" s="41" t="n">
        <x:f>COUNTIFS(赛事明细!$P$4:$P$1000,"已结算",赛事明细!$E$4:$E$1000,$A37,赛事明细!$Q$4:$Q$1000,"半黑")</x:f>
        <x:v>0</x:v>
      </x:c>
      <x:c r="G37" s="41" t="n">
        <x:f>COUNTIFS(赛事明细!$P$4:$P$1000,"已结算",赛事明细!$E$4:$E$1000,$A37,赛事明细!$Q$4:$Q$1000,"黑")</x:f>
        <x:v>11</x:v>
      </x:c>
      <x:c r="H37" s="42">
        <x:f t="shared" si="1"/>
        <x:v>0.538461538461538</x:v>
      </x:c>
      <x:c r="I37" s="43" t="n">
        <x:f>SUMIFS(赛事明细!$S$4:$S$1000,赛事明细!$P$4:$P$1000,"已结算",赛事明细!$E$4:$E$1000,$A37)</x:f>
        <x:v>-0.7900000000000005</x:v>
      </x:c>
      <x:c r="J37" s="42">
        <x:f t="shared" si="2"/>
        <x:v>-0.01025</x:v>
      </x:c>
      <x:c r="K37" s="41" t="str">
        <x:f t="shared" si="3"/>
      </x:c>
    </x:row>
    <x:row r="38" ht="24" customHeight="1">
      <x:c r="A38" s="41" t="s">
        <x:v>325</x:v>
      </x:c>
      <x:c r="B38" s="41" t="n">
        <x:f>COUNTIFS(赛事明细!$P$4:$P$1000,"已结算",赛事明细!$E$4:$E$1000,$A38)</x:f>
        <x:v>7</x:v>
      </x:c>
      <x:c r="C38" s="41" t="n">
        <x:f>COUNTIFS(赛事明细!$P$4:$P$1000,"已结算",赛事明细!$E$4:$E$1000,$A38,赛事明细!$Q$4:$Q$1000,"红")</x:f>
        <x:v>4</x:v>
      </x:c>
      <x:c r="D38" s="41" t="n">
        <x:f>COUNTIFS(赛事明细!$P$4:$P$1000,"已结算",赛事明细!$E$4:$E$1000,$A38,赛事明细!$Q$4:$Q$1000,"半红")</x:f>
        <x:v>0</x:v>
      </x:c>
      <x:c r="E38" s="41" t="n">
        <x:f>COUNTIFS(赛事明细!$P$4:$P$1000,"已结算",赛事明细!$E$4:$E$1000,$A38,赛事明细!$Q$4:$Q$1000,"走")</x:f>
        <x:v>0</x:v>
      </x:c>
      <x:c r="F38" s="41" t="n">
        <x:f>COUNTIFS(赛事明细!$P$4:$P$1000,"已结算",赛事明细!$E$4:$E$1000,$A38,赛事明细!$Q$4:$Q$1000,"半黑")</x:f>
        <x:v>0</x:v>
      </x:c>
      <x:c r="G38" s="41" t="n">
        <x:f>COUNTIFS(赛事明细!$P$4:$P$1000,"已结算",赛事明细!$E$4:$E$1000,$A38,赛事明细!$Q$4:$Q$1000,"黑")</x:f>
        <x:v>3</x:v>
      </x:c>
      <x:c r="H38" s="42">
        <x:f t="shared" si="1"/>
        <x:v>0.4</x:v>
      </x:c>
      <x:c r="I38" s="43" t="n">
        <x:f>SUMIFS(赛事明细!$S$4:$S$1000,赛事明细!$P$4:$P$1000,"已结算",赛事明细!$E$4:$E$1000,$A38)</x:f>
        <x:v>0.41999999999999993</x:v>
      </x:c>
      <x:c r="J38" s="42">
        <x:f t="shared" si="2"/>
        <x:v>-0.248</x:v>
      </x:c>
      <x:c r="K38" s="41" t="str">
        <x:f t="shared" si="3"/>
      </x:c>
    </x:row>
    <x:row r="39" ht="24" customHeight="1">
      <x:c r="A39" s="41" t="s">
        <x:v>347</x:v>
      </x:c>
      <x:c r="B39" s="41" t="n">
        <x:f>COUNTIFS(赛事明细!$P$4:$P$1000,"已结算",赛事明细!$E$4:$E$1000,$A39)</x:f>
        <x:v>6</x:v>
      </x:c>
      <x:c r="C39" s="41" t="n">
        <x:f>COUNTIFS(赛事明细!$P$4:$P$1000,"已结算",赛事明细!$E$4:$E$1000,$A39,赛事明细!$Q$4:$Q$1000,"红")</x:f>
        <x:v>2</x:v>
      </x:c>
      <x:c r="D39" s="41" t="n">
        <x:f>COUNTIFS(赛事明细!$P$4:$P$1000,"已结算",赛事明细!$E$4:$E$1000,$A39,赛事明细!$Q$4:$Q$1000,"半红")</x:f>
        <x:v>0</x:v>
      </x:c>
      <x:c r="E39" s="41" t="n">
        <x:f>COUNTIFS(赛事明细!$P$4:$P$1000,"已结算",赛事明细!$E$4:$E$1000,$A39,赛事明细!$Q$4:$Q$1000,"走")</x:f>
        <x:v>1</x:v>
      </x:c>
      <x:c r="F39" s="41" t="n">
        <x:f>COUNTIFS(赛事明细!$P$4:$P$1000,"已结算",赛事明细!$E$4:$E$1000,$A39,赛事明细!$Q$4:$Q$1000,"半黑")</x:f>
        <x:v>0</x:v>
      </x:c>
      <x:c r="G39" s="41" t="n">
        <x:f>COUNTIFS(赛事明细!$P$4:$P$1000,"已结算",赛事明细!$E$4:$E$1000,$A39,赛事明细!$Q$4:$Q$1000,"黑")</x:f>
        <x:v>3</x:v>
      </x:c>
      <x:c r="H39" s="42">
        <x:f t="shared" si="1"/>
        <x:v>0.4</x:v>
      </x:c>
      <x:c r="I39" s="43" t="n">
        <x:f>SUMIFS(赛事明细!$S$4:$S$1000,赛事明细!$P$4:$P$1000,"已结算",赛事明细!$E$4:$E$1000,$A39)</x:f>
        <x:v>-1.4000000000000001</x:v>
      </x:c>
      <x:c r="J39" s="42">
        <x:f t="shared" si="2"/>
        <x:v>-0.233333333333333</x:v>
      </x:c>
      <x:c r="K39" s="41" t="str">
        <x:f t="shared" si="3"/>
      </x:c>
    </x:row>
    <x:row r="40" ht="24" customHeight="1">
      <x:c r="A40" s="41" t="s">
        <x:v>363</x:v>
      </x:c>
      <x:c r="B40" s="41" t="n">
        <x:f>COUNTIFS(赛事明细!$P$4:$P$1000,"已结算",赛事明细!$E$4:$E$1000,$A40)</x:f>
        <x:v>2</x:v>
      </x:c>
      <x:c r="C40" s="41" t="n">
        <x:f>COUNTIFS(赛事明细!$P$4:$P$1000,"已结算",赛事明细!$E$4:$E$1000,$A40,赛事明细!$Q$4:$Q$1000,"红")</x:f>
        <x:v>1</x:v>
      </x:c>
      <x:c r="D40" s="41" t="n">
        <x:f>COUNTIFS(赛事明细!$P$4:$P$1000,"已结算",赛事明细!$E$4:$E$1000,$A40,赛事明细!$Q$4:$Q$1000,"半红")</x:f>
        <x:v>0</x:v>
      </x:c>
      <x:c r="E40" s="41" t="n">
        <x:f>COUNTIFS(赛事明细!$P$4:$P$1000,"已结算",赛事明细!$E$4:$E$1000,$A40,赛事明细!$Q$4:$Q$1000,"走")</x:f>
        <x:v>0</x:v>
      </x:c>
      <x:c r="F40" s="41" t="n">
        <x:f>COUNTIFS(赛事明细!$P$4:$P$1000,"已结算",赛事明细!$E$4:$E$1000,$A40,赛事明细!$Q$4:$Q$1000,"半黑")</x:f>
        <x:v>0</x:v>
      </x:c>
      <x:c r="G40" s="41" t="n">
        <x:f>COUNTIFS(赛事明细!$P$4:$P$1000,"已结算",赛事明细!$E$4:$E$1000,$A40,赛事明细!$Q$4:$Q$1000,"黑")</x:f>
        <x:v>1</x:v>
      </x:c>
      <x:c r="H40" s="42">
        <x:f t="shared" si="1"/>
        <x:v>1</x:v>
      </x:c>
      <x:c r="I40" s="43" t="n">
        <x:f>SUMIFS(赛事明细!$S$4:$S$1000,赛事明细!$P$4:$P$1000,"已结算",赛事明细!$E$4:$E$1000,$A40)</x:f>
        <x:v>-0.16000000000000003</x:v>
      </x:c>
      <x:c r="J40" s="42">
        <x:f t="shared" si="2"/>
        <x:v>0.84</x:v>
      </x:c>
      <x:c r="K40" s="41" t="str">
        <x:f t="shared" si="3"/>
        <x:v>样本&lt;5，谨慎解读</x:v>
      </x:c>
    </x:row>
    <x:row r="41" ht="24" customHeight="1">
      <x:c r="A41" s="41" t="s">
        <x:v>376</x:v>
      </x:c>
      <x:c r="B41" s="41" t="n">
        <x:f>COUNTIFS(赛事明细!$P$4:$P$1000,"已结算",赛事明细!$E$4:$E$1000,$A41)</x:f>
        <x:v>3</x:v>
      </x:c>
      <x:c r="C41" s="41" t="n">
        <x:f>COUNTIFS(赛事明细!$P$4:$P$1000,"已结算",赛事明细!$E$4:$E$1000,$A41,赛事明细!$Q$4:$Q$1000,"红")</x:f>
        <x:v>0</x:v>
      </x:c>
      <x:c r="D41" s="41" t="n">
        <x:f>COUNTIFS(赛事明细!$P$4:$P$1000,"已结算",赛事明细!$E$4:$E$1000,$A41,赛事明细!$Q$4:$Q$1000,"半红")</x:f>
        <x:v>0</x:v>
      </x:c>
      <x:c r="E41" s="41" t="n">
        <x:f>COUNTIFS(赛事明细!$P$4:$P$1000,"已结算",赛事明细!$E$4:$E$1000,$A41,赛事明细!$Q$4:$Q$1000,"走")</x:f>
        <x:v>0</x:v>
      </x:c>
      <x:c r="F41" s="41" t="n">
        <x:f>COUNTIFS(赛事明细!$P$4:$P$1000,"已结算",赛事明细!$E$4:$E$1000,$A41,赛事明细!$Q$4:$Q$1000,"半黑")</x:f>
        <x:v>2</x:v>
      </x:c>
      <x:c r="G41" s="41" t="n">
        <x:f>COUNTIFS(赛事明细!$P$4:$P$1000,"已结算",赛事明细!$E$4:$E$1000,$A41,赛事明细!$Q$4:$Q$1000,"黑")</x:f>
        <x:v>1</x:v>
      </x:c>
      <x:c r="H41" s="42">
        <x:f t="shared" si="1"/>
        <x:v>0</x:v>
      </x:c>
      <x:c r="I41" s="43" t="n">
        <x:f>SUMIFS(赛事明细!$S$4:$S$1000,赛事明细!$P$4:$P$1000,"已结算",赛事明细!$E$4:$E$1000,$A41)</x:f>
        <x:v>-2</x:v>
      </x:c>
      <x:c r="J41" s="42">
        <x:f t="shared" si="2"/>
        <x:v>-0.75</x:v>
      </x:c>
      <x:c r="K41" s="41" t="str">
        <x:f t="shared" si="3"/>
        <x:v>样本&lt;5，谨慎解读</x:v>
      </x:c>
    </x:row>
    <x:row r="42" ht="24" customHeight="1">
      <x:c r="A42" s="41" t="s">
        <x:v>387</x:v>
      </x:c>
      <x:c r="B42" s="41" t="n">
        <x:f>COUNTIFS(赛事明细!$P$4:$P$1000,"已结算",赛事明细!$E$4:$E$1000,$A42)</x:f>
        <x:v>6</x:v>
      </x:c>
      <x:c r="C42" s="41" t="n">
        <x:f>COUNTIFS(赛事明细!$P$4:$P$1000,"已结算",赛事明细!$E$4:$E$1000,$A42,赛事明细!$Q$4:$Q$1000,"红")</x:f>
        <x:v>3</x:v>
      </x:c>
      <x:c r="D42" s="41" t="n">
        <x:f>COUNTIFS(赛事明细!$P$4:$P$1000,"已结算",赛事明细!$E$4:$E$1000,$A42,赛事明细!$Q$4:$Q$1000,"半红")</x:f>
        <x:v>0</x:v>
      </x:c>
      <x:c r="E42" s="41" t="n">
        <x:f>COUNTIFS(赛事明细!$P$4:$P$1000,"已结算",赛事明细!$E$4:$E$1000,$A42,赛事明细!$Q$4:$Q$1000,"走")</x:f>
        <x:v>0</x:v>
      </x:c>
      <x:c r="F42" s="41" t="n">
        <x:f>COUNTIFS(赛事明细!$P$4:$P$1000,"已结算",赛事明细!$E$4:$E$1000,$A42,赛事明细!$Q$4:$Q$1000,"半黑")</x:f>
        <x:v>2</x:v>
      </x:c>
      <x:c r="G42" s="41" t="n">
        <x:f>COUNTIFS(赛事明细!$P$4:$P$1000,"已结算",赛事明细!$E$4:$E$1000,$A42,赛事明细!$Q$4:$Q$1000,"黑")</x:f>
        <x:v>1</x:v>
      </x:c>
      <x:c r="H42" s="42">
        <x:f t="shared" si="1"/>
        <x:v>0.6</x:v>
      </x:c>
      <x:c r="I42" s="43" t="n">
        <x:f>SUMIFS(赛事明细!$S$4:$S$1000,赛事明细!$P$4:$P$1000,"已结算",赛事明细!$E$4:$E$1000,$A42)</x:f>
        <x:v>0.72</x:v>
      </x:c>
      <x:c r="J42" s="42">
        <x:f t="shared" si="2"/>
        <x:v>0.12</x:v>
      </x:c>
      <x:c r="K42" s="41" t="str">
        <x:f t="shared" si="3"/>
      </x:c>
    </x:row>
    <x:row r="43" ht="24" customHeight="1">
      <x:c r="A43" s="41" t="s">
        <x:v>403</x:v>
      </x:c>
      <x:c r="B43" s="41" t="n">
        <x:f>COUNTIFS(赛事明细!$P$4:$P$1000,"已结算",赛事明细!$E$4:$E$1000,$A43)</x:f>
        <x:v>1</x:v>
      </x:c>
      <x:c r="C43" s="41" t="n">
        <x:f>COUNTIFS(赛事明细!$P$4:$P$1000,"已结算",赛事明细!$E$4:$E$1000,$A43,赛事明细!$Q$4:$Q$1000,"红")</x:f>
        <x:v>0</x:v>
      </x:c>
      <x:c r="D43" s="41" t="n">
        <x:f>COUNTIFS(赛事明细!$P$4:$P$1000,"已结算",赛事明细!$E$4:$E$1000,$A43,赛事明细!$Q$4:$Q$1000,"半红")</x:f>
        <x:v>0</x:v>
      </x:c>
      <x:c r="E43" s="41" t="n">
        <x:f>COUNTIFS(赛事明细!$P$4:$P$1000,"已结算",赛事明细!$E$4:$E$1000,$A43,赛事明细!$Q$4:$Q$1000,"走")</x:f>
        <x:v>0</x:v>
      </x:c>
      <x:c r="F43" s="41" t="n">
        <x:f>COUNTIFS(赛事明细!$P$4:$P$1000,"已结算",赛事明细!$E$4:$E$1000,$A43,赛事明细!$Q$4:$Q$1000,"半黑")</x:f>
        <x:v>0</x:v>
      </x:c>
      <x:c r="G43" s="41" t="n">
        <x:f>COUNTIFS(赛事明细!$P$4:$P$1000,"已结算",赛事明细!$E$4:$E$1000,$A43,赛事明细!$Q$4:$Q$1000,"黑")</x:f>
        <x:v>1</x:v>
      </x:c>
      <x:c r="H43" s="42">
        <x:f t="shared" si="1"/>
        <x:v>0</x:v>
      </x:c>
      <x:c r="I43" s="43" t="n">
        <x:f>SUMIFS(赛事明细!$S$4:$S$1000,赛事明细!$P$4:$P$1000,"已结算",赛事明细!$E$4:$E$1000,$A43)</x:f>
        <x:v>-1</x:v>
      </x:c>
      <x:c r="J43" s="42">
        <x:f t="shared" si="2"/>
        <x:v>-1</x:v>
      </x:c>
      <x:c r="K43" s="41" t="str">
        <x:f t="shared" si="3"/>
        <x:v>样本&lt;5，谨慎解读</x:v>
      </x:c>
    </x:row>
    <x:row r="44" ht="24" customHeight="1">
      <x:c r="A44" s="41" t="s">
        <x:v>437</x:v>
      </x:c>
      <x:c r="B44" s="41" t="n">
        <x:f>COUNTIFS(赛事明细!$P$4:$P$1000,"已结算",赛事明细!$E$4:$E$1000,$A44)</x:f>
        <x:v>3</x:v>
      </x:c>
      <x:c r="C44" s="41" t="n">
        <x:f>COUNTIFS(赛事明细!$P$4:$P$1000,"已结算",赛事明细!$E$4:$E$1000,$A44,赛事明细!$Q$4:$Q$1000,"红")</x:f>
        <x:v>1</x:v>
      </x:c>
      <x:c r="D44" s="41" t="n">
        <x:f>COUNTIFS(赛事明细!$P$4:$P$1000,"已结算",赛事明细!$E$4:$E$1000,$A44,赛事明细!$Q$4:$Q$1000,"半红")</x:f>
        <x:v>1</x:v>
      </x:c>
      <x:c r="E44" s="41" t="n">
        <x:f>COUNTIFS(赛事明细!$P$4:$P$1000,"已结算",赛事明细!$E$4:$E$1000,$A44,赛事明细!$Q$4:$Q$1000,"走")</x:f>
        <x:v>1</x:v>
      </x:c>
      <x:c r="F44" s="41" t="n">
        <x:f>COUNTIFS(赛事明细!$P$4:$P$1000,"已结算",赛事明细!$E$4:$E$1000,$A44,赛事明细!$Q$4:$Q$1000,"半黑")</x:f>
        <x:v>0</x:v>
      </x:c>
      <x:c r="G44" s="41" t="n">
        <x:f>COUNTIFS(赛事明细!$P$4:$P$1000,"已结算",赛事明细!$E$4:$E$1000,$A44,赛事明细!$Q$4:$Q$1000,"黑")</x:f>
        <x:v>0</x:v>
      </x:c>
      <x:c r="H44" s="42">
        <x:f t="shared" si="1"/>
        <x:v>1</x:v>
      </x:c>
      <x:c r="I44" s="43" t="n">
        <x:f>SUMIFS(赛事明细!$S$4:$S$1000,赛事明细!$P$4:$P$1000,"已结算",赛事明细!$E$4:$E$1000,$A44)</x:f>
        <x:v>1.31</x:v>
      </x:c>
      <x:c r="J44" s="42">
        <x:f t="shared" si="2"/>
        <x:v>0.436666666666667</x:v>
      </x:c>
      <x:c r="K44" s="41" t="str">
        <x:f t="shared" si="3"/>
        <x:v>样本&lt;5，谨慎解读</x:v>
      </x:c>
    </x:row>
    <x:row r="45" ht="24" customHeight="1">
      <x:c r="A45" s="41" t="s">
        <x:v>442</x:v>
      </x:c>
      <x:c r="B45" s="41" t="n">
        <x:f>COUNTIFS(赛事明细!$P$4:$P$1000,"已结算",赛事明细!$E$4:$E$1000,$A45)</x:f>
        <x:v>3</x:v>
      </x:c>
      <x:c r="C45" s="41" t="n">
        <x:f>COUNTIFS(赛事明细!$P$4:$P$1000,"已结算",赛事明细!$E$4:$E$1000,$A45,赛事明细!$Q$4:$Q$1000,"红")</x:f>
        <x:v>1</x:v>
      </x:c>
      <x:c r="D45" s="41" t="n">
        <x:f>COUNTIFS(赛事明细!$P$4:$P$1000,"已结算",赛事明细!$E$4:$E$1000,$A45,赛事明细!$Q$4:$Q$1000,"半红")</x:f>
        <x:v>0</x:v>
      </x:c>
      <x:c r="E45" s="41" t="n">
        <x:f>COUNTIFS(赛事明细!$P$4:$P$1000,"已结算",赛事明细!$E$4:$E$1000,$A45,赛事明细!$Q$4:$Q$1000,"走")</x:f>
        <x:v>1</x:v>
      </x:c>
      <x:c r="F45" s="41" t="n">
        <x:f>COUNTIFS(赛事明细!$P$4:$P$1000,"已结算",赛事明细!$E$4:$E$1000,$A45,赛事明细!$Q$4:$Q$1000,"半黑")</x:f>
        <x:v>1</x:v>
      </x:c>
      <x:c r="G45" s="41" t="n">
        <x:f>COUNTIFS(赛事明细!$P$4:$P$1000,"已结算",赛事明细!$E$4:$E$1000,$A45,赛事明细!$Q$4:$Q$1000,"黑")</x:f>
        <x:v>0</x:v>
      </x:c>
      <x:c r="H45" s="42">
        <x:f t="shared" si="1"/>
        <x:v>0.666666666666667</x:v>
      </x:c>
      <x:c r="I45" s="43" t="n">
        <x:f>SUMIFS(赛事明细!$S$4:$S$1000,赛事明细!$P$4:$P$1000,"已结算",赛事明细!$E$4:$E$1000,$A45)</x:f>
        <x:v>0.32999999999999996</x:v>
      </x:c>
      <x:c r="J45" s="42">
        <x:f t="shared" si="2"/>
        <x:v>0.11</x:v>
      </x:c>
      <x:c r="K45" s="41" t="str">
        <x:f t="shared" si="3"/>
        <x:v>样本&lt;5，谨慎解读</x:v>
      </x:c>
    </x:row>
    <x:row r="46" ht="24" customHeight="1">
      <x:c r="A46" s="41" t="s">
        <x:v>448</x:v>
      </x:c>
      <x:c r="B46" s="41" t="n">
        <x:f>COUNTIFS(赛事明细!$P$4:$P$1000,"已结算",赛事明细!$E$4:$E$1000,$A46)</x:f>
        <x:v>17</x:v>
      </x:c>
      <x:c r="C46" s="41" t="n">
        <x:f>COUNTIFS(赛事明细!$P$4:$P$1000,"已结算",赛事明细!$E$4:$E$1000,$A46,赛事明细!$Q$4:$Q$1000,"红")</x:f>
        <x:v>5</x:v>
      </x:c>
      <x:c r="D46" s="41" t="n">
        <x:f>COUNTIFS(赛事明细!$P$4:$P$1000,"已结算",赛事明细!$E$4:$E$1000,$A46,赛事明细!$Q$4:$Q$1000,"半红")</x:f>
        <x:v>3</x:v>
      </x:c>
      <x:c r="E46" s="41" t="n">
        <x:f>COUNTIFS(赛事明细!$P$4:$P$1000,"已结算",赛事明细!$E$4:$E$1000,$A46,赛事明细!$Q$4:$Q$1000,"走")</x:f>
        <x:v>0</x:v>
      </x:c>
      <x:c r="F46" s="41" t="n">
        <x:f>COUNTIFS(赛事明细!$P$4:$P$1000,"已结算",赛事明细!$E$4:$E$1000,$A46,赛事明细!$Q$4:$Q$1000,"半黑")</x:f>
        <x:v>0</x:v>
      </x:c>
      <x:c r="G46" s="41" t="n">
        <x:f>COUNTIFS(赛事明细!$P$4:$P$1000,"已结算",赛事明细!$E$4:$E$1000,$A46,赛事明细!$Q$4:$Q$1000,"黑")</x:f>
        <x:v>4</x:v>
      </x:c>
      <x:c r="H46" s="42">
        <x:f t="shared" si="1"/>
        <x:v>0.578947368421053</x:v>
      </x:c>
      <x:c r="I46" s="43" t="n">
        <x:f>SUMIFS(赛事明细!$S$4:$S$1000,赛事明细!$P$4:$P$1000,"已结算",赛事明细!$E$4:$E$1000,$A46)</x:f>
        <x:v>1.505</x:v>
      </x:c>
      <x:c r="J46" s="42">
        <x:f t="shared" si="2"/>
        <x:v>0.135</x:v>
      </x:c>
      <x:c r="K46" s="41" t="str">
        <x:f t="shared" si="3"/>
      </x:c>
    </x:row>
    <x:row r="47" ht="24" customHeight="1">
      <x:c r="A47" s="41" t="s">
        <x:v>456</x:v>
      </x:c>
      <x:c r="B47" s="41" t="n">
        <x:f>COUNTIFS(赛事明细!$P$4:$P$1000,"已结算",赛事明细!$E$4:$E$1000,$A47)</x:f>
        <x:v>7</x:v>
      </x:c>
      <x:c r="C47" s="41" t="n">
        <x:f>COUNTIFS(赛事明细!$P$4:$P$1000,"已结算",赛事明细!$E$4:$E$1000,$A47,赛事明细!$Q$4:$Q$1000,"红")</x:f>
        <x:v>4</x:v>
      </x:c>
      <x:c r="D47" s="41" t="n">
        <x:f>COUNTIFS(赛事明细!$P$4:$P$1000,"已结算",赛事明细!$E$4:$E$1000,$A47,赛事明细!$Q$4:$Q$1000,"半红")</x:f>
        <x:v>1</x:v>
      </x:c>
      <x:c r="E47" s="41" t="n">
        <x:f>COUNTIFS(赛事明细!$P$4:$P$1000,"已结算",赛事明细!$E$4:$E$1000,$A47,赛事明细!$Q$4:$Q$1000,"走")</x:f>
        <x:v>0</x:v>
      </x:c>
      <x:c r="F47" s="41" t="n">
        <x:f>COUNTIFS(赛事明细!$P$4:$P$1000,"已结算",赛事明细!$E$4:$E$1000,$A47,赛事明细!$Q$4:$Q$1000,"半黑")</x:f>
        <x:v>0</x:v>
      </x:c>
      <x:c r="G47" s="41" t="n">
        <x:f>COUNTIFS(赛事明细!$P$4:$P$1000,"已结算",赛事明细!$E$4:$E$1000,$A47,赛事明细!$Q$4:$Q$1000,"黑")</x:f>
        <x:v>1</x:v>
      </x:c>
      <x:c r="H47" s="42">
        <x:f t="shared" si="1"/>
        <x:v>0.818181818181818</x:v>
      </x:c>
      <x:c r="I47" s="43" t="n">
        <x:f>SUMIFS(赛事明细!$S$4:$S$1000,赛事明细!$P$4:$P$1000,"已结算",赛事明细!$E$4:$E$1000,$A47)</x:f>
        <x:v>3.4549999999999996</x:v>
      </x:c>
      <x:c r="J47" s="42">
        <x:f t="shared" si="2"/>
        <x:v>0.498333333333333</x:v>
      </x:c>
      <x:c r="K47" s="41" t="str">
        <x:f t="shared" si="3"/>
      </x:c>
    </x:row>
    <x:row r="48" ht="24" customHeight="1">
      <x:c r="A48" s="41" t="s">
        <x:v>472</x:v>
      </x:c>
      <x:c r="B48" s="41" t="n">
        <x:f>COUNTIFS(赛事明细!$P$4:$P$1000,"已结算",赛事明细!$E$4:$E$1000,$A48)</x:f>
        <x:v>1</x:v>
      </x:c>
      <x:c r="C48" s="41" t="n">
        <x:f>COUNTIFS(赛事明细!$P$4:$P$1000,"已结算",赛事明细!$E$4:$E$1000,$A48,赛事明细!$Q$4:$Q$1000,"红")</x:f>
        <x:v>0</x:v>
      </x:c>
      <x:c r="D48" s="41" t="n">
        <x:f>COUNTIFS(赛事明细!$P$4:$P$1000,"已结算",赛事明细!$E$4:$E$1000,$A48,赛事明细!$Q$4:$Q$1000,"半红")</x:f>
        <x:v>0</x:v>
      </x:c>
      <x:c r="E48" s="41" t="n">
        <x:f>COUNTIFS(赛事明细!$P$4:$P$1000,"已结算",赛事明细!$E$4:$E$1000,$A48,赛事明细!$Q$4:$Q$1000,"走")</x:f>
        <x:v>0</x:v>
      </x:c>
      <x:c r="F48" s="41" t="n">
        <x:f>COUNTIFS(赛事明细!$P$4:$P$1000,"已结算",赛事明细!$E$4:$E$1000,$A48,赛事明细!$Q$4:$Q$1000,"半黑")</x:f>
        <x:v>0</x:v>
      </x:c>
      <x:c r="G48" s="41" t="n">
        <x:f>COUNTIFS(赛事明细!$P$4:$P$1000,"已结算",赛事明细!$E$4:$E$1000,$A48,赛事明细!$Q$4:$Q$1000,"黑")</x:f>
        <x:v>1</x:v>
      </x:c>
      <x:c r="H48" s="42">
        <x:f t="shared" si="1"/>
        <x:v>0</x:v>
      </x:c>
      <x:c r="I48" s="43" t="n">
        <x:f>SUMIFS(赛事明细!$S$4:$S$1000,赛事明细!$P$4:$P$1000,"已结算",赛事明细!$E$4:$E$1000,$A48)</x:f>
        <x:v>-1</x:v>
      </x:c>
      <x:c r="J48" s="42">
        <x:f t="shared" si="2"/>
        <x:v>-1</x:v>
      </x:c>
      <x:c r="K48" s="41" t="str">
        <x:f t="shared" si="3"/>
        <x:v>样本&lt;5，谨慎解读</x:v>
      </x:c>
    </x:row>
    <x:row r="49" ht="24" customHeight="1">
      <x:c r="A49" s="41" t="s">
        <x:v>477</x:v>
      </x:c>
      <x:c r="B49" s="41" t="n">
        <x:f>COUNTIFS(赛事明细!$P$4:$P$1000,"已结算",赛事明细!$E$4:$E$1000,$A49)</x:f>
        <x:v>2</x:v>
      </x:c>
      <x:c r="C49" s="41" t="n">
        <x:f>COUNTIFS(赛事明细!$P$4:$P$1000,"已结算",赛事明细!$E$4:$E$1000,$A49,赛事明细!$Q$4:$Q$1000,"红")</x:f>
        <x:v>1</x:v>
      </x:c>
      <x:c r="D49" s="41" t="n">
        <x:f>COUNTIFS(赛事明细!$P$4:$P$1000,"已结算",赛事明细!$E$4:$E$1000,$A49,赛事明细!$Q$4:$Q$1000,"半红")</x:f>
        <x:v>0</x:v>
      </x:c>
      <x:c r="E49" s="41" t="n">
        <x:f>COUNTIFS(赛事明细!$P$4:$P$1000,"已结算",赛事明细!$E$4:$E$1000,$A49,赛事明细!$Q$4:$Q$1000,"走")</x:f>
        <x:v>0</x:v>
      </x:c>
      <x:c r="F49" s="41" t="n">
        <x:f>COUNTIFS(赛事明细!$P$4:$P$1000,"已结算",赛事明细!$E$4:$E$1000,$A49,赛事明细!$Q$4:$Q$1000,"半黑")</x:f>
        <x:v>0</x:v>
      </x:c>
      <x:c r="G49" s="41" t="n">
        <x:f>COUNTIFS(赛事明细!$P$4:$P$1000,"已结算",赛事明细!$E$4:$E$1000,$A49,赛事明细!$Q$4:$Q$1000,"黑")</x:f>
        <x:v>1</x:v>
      </x:c>
      <x:c r="H49" s="42">
        <x:f t="shared" si="1"/>
        <x:v>0.5</x:v>
      </x:c>
      <x:c r="I49" s="43" t="n">
        <x:f>SUMIFS(赛事明细!$S$4:$S$1000,赛事明细!$P$4:$P$1000,"已结算",赛事明细!$E$4:$E$1000,$A49)</x:f>
        <x:v>-0.06000000000000005</x:v>
      </x:c>
      <x:c r="J49" s="42">
        <x:f t="shared" si="2"/>
        <x:v>-0.03</x:v>
      </x:c>
      <x:c r="K49" s="41" t="str">
        <x:f t="shared" si="3"/>
        <x:v>样本&lt;5，谨慎解读</x:v>
      </x:c>
    </x:row>
    <x:row r="50" ht="24" customHeight="1">
      <x:c r="A50" s="41" t="s">
        <x:v>482</x:v>
      </x:c>
      <x:c r="B50" s="41" t="n">
        <x:f>COUNTIFS(赛事明细!$P$4:$P$1000,"已结算",赛事明细!$E$4:$E$1000,$A50)</x:f>
        <x:v>4</x:v>
      </x:c>
      <x:c r="C50" s="41" t="n">
        <x:f>COUNTIFS(赛事明细!$P$4:$P$1000,"已结算",赛事明细!$E$4:$E$1000,$A50,赛事明细!$Q$4:$Q$1000,"红")</x:f>
        <x:v>2</x:v>
      </x:c>
      <x:c r="D50" s="41" t="n">
        <x:f>COUNTIFS(赛事明细!$P$4:$P$1000,"已结算",赛事明细!$E$4:$E$1000,$A50,赛事明细!$Q$4:$Q$1000,"半红")</x:f>
        <x:v>0</x:v>
      </x:c>
      <x:c r="E50" s="41" t="n">
        <x:f>COUNTIFS(赛事明细!$P$4:$P$1000,"已结算",赛事明细!$E$4:$E$1000,$A50,赛事明细!$Q$4:$Q$1000,"走")</x:f>
        <x:v>1</x:v>
      </x:c>
      <x:c r="F50" s="41" t="n">
        <x:f>COUNTIFS(赛事明细!$P$4:$P$1000,"已结算",赛事明细!$E$4:$E$1000,$A50,赛事明细!$Q$4:$Q$1000,"半黑")</x:f>
        <x:v>0</x:v>
      </x:c>
      <x:c r="G50" s="41" t="n">
        <x:f>COUNTIFS(赛事明细!$P$4:$P$1000,"已结算",赛事明细!$E$4:$E$1000,$A50,赛事明细!$Q$4:$Q$1000,"黑")</x:f>
        <x:v>1</x:v>
      </x:c>
      <x:c r="H50" s="42">
        <x:f t="shared" si="1"/>
        <x:v>0.666666666666667</x:v>
      </x:c>
      <x:c r="I50" s="43" t="n">
        <x:f>SUMIFS(赛事明细!$S$4:$S$1000,赛事明细!$P$4:$P$1000,"已结算",赛事明细!$E$4:$E$1000,$A50)</x:f>
        <x:v>0.98</x:v>
      </x:c>
      <x:c r="J50" s="42">
        <x:f t="shared" si="2"/>
        <x:v>0.245</x:v>
      </x:c>
      <x:c r="K50" s="41" t="str">
        <x:f t="shared" si="3"/>
        <x:v>样本&lt;5，谨慎解读</x:v>
      </x:c>
    </x:row>
    <x:row r="51" ht="24" customHeight="1">
      <x:c r="A51" s="41" t="s">
        <x:v>498</x:v>
      </x:c>
      <x:c r="B51" s="41" t="n">
        <x:f>COUNTIFS(赛事明细!$P$4:$P$1000,"已结算",赛事明细!$E$4:$E$1000,$A51)</x:f>
        <x:v>8</x:v>
      </x:c>
      <x:c r="C51" s="41" t="n">
        <x:f>COUNTIFS(赛事明细!$P$4:$P$1000,"已结算",赛事明细!$E$4:$E$1000,$A51,赛事明细!$Q$4:$Q$1000,"红")</x:f>
        <x:v>6</x:v>
      </x:c>
      <x:c r="D51" s="41" t="n">
        <x:f>COUNTIFS(赛事明细!$P$4:$P$1000,"已结算",赛事明细!$E$4:$E$1000,$A51,赛事明细!$Q$4:$Q$1000,"半红")</x:f>
        <x:v>0</x:v>
      </x:c>
      <x:c r="E51" s="41" t="n">
        <x:f>COUNTIFS(赛事明细!$P$4:$P$1000,"已结算",赛事明细!$E$4:$E$1000,$A51,赛事明细!$Q$4:$Q$1000,"走")</x:f>
        <x:v>0</x:v>
      </x:c>
      <x:c r="F51" s="41" t="n">
        <x:f>COUNTIFS(赛事明细!$P$4:$P$1000,"已结算",赛事明细!$E$4:$E$1000,$A51,赛事明细!$Q$4:$Q$1000,"半黑")</x:f>
        <x:v>0</x:v>
      </x:c>
      <x:c r="G51" s="41" t="n">
        <x:f>COUNTIFS(赛事明细!$P$4:$P$1000,"已结算",赛事明细!$E$4:$E$1000,$A51,赛事明细!$Q$4:$Q$1000,"黑")</x:f>
        <x:v>2</x:v>
      </x:c>
      <x:c r="H51" s="42">
        <x:f t="shared" si="1"/>
        <x:v>0.75</x:v>
      </x:c>
      <x:c r="I51" s="43" t="n">
        <x:f>SUMIFS(赛事明细!$S$4:$S$1000,赛事明细!$P$4:$P$1000,"已结算",赛事明细!$E$4:$E$1000,$A51)</x:f>
        <x:v>3</x:v>
      </x:c>
      <x:c r="J51" s="42">
        <x:f t="shared" si="2"/>
        <x:v>0.375</x:v>
      </x:c>
      <x:c r="K51" s="41" t="str">
        <x:f t="shared" si="3"/>
      </x:c>
    </x:row>
    <x:row r="52" ht="24" customHeight="1">
      <x:c r="A52" s="41" t="s">
        <x:v>510</x:v>
      </x:c>
      <x:c r="B52" s="41" t="n">
        <x:f>COUNTIFS(赛事明细!$P$4:$P$1000,"已结算",赛事明细!$E$4:$E$1000,$A52)</x:f>
        <x:v>4</x:v>
      </x:c>
      <x:c r="C52" s="41" t="n">
        <x:f>COUNTIFS(赛事明细!$P$4:$P$1000,"已结算",赛事明细!$E$4:$E$1000,$A52,赛事明细!$Q$4:$Q$1000,"红")</x:f>
        <x:v>2</x:v>
      </x:c>
      <x:c r="D52" s="41" t="n">
        <x:f>COUNTIFS(赛事明细!$P$4:$P$1000,"已结算",赛事明细!$E$4:$E$1000,$A52,赛事明细!$Q$4:$Q$1000,"半红")</x:f>
        <x:v>0</x:v>
      </x:c>
      <x:c r="E52" s="41" t="n">
        <x:f>COUNTIFS(赛事明细!$P$4:$P$1000,"已结算",赛事明细!$E$4:$E$1000,$A52,赛事明细!$Q$4:$Q$1000,"走")</x:f>
        <x:v>0</x:v>
      </x:c>
      <x:c r="F52" s="41" t="n">
        <x:f>COUNTIFS(赛事明细!$P$4:$P$1000,"已结算",赛事明细!$E$4:$E$1000,$A52,赛事明细!$Q$4:$Q$1000,"半黑")</x:f>
        <x:v>0</x:v>
      </x:c>
      <x:c r="G52" s="41" t="n">
        <x:f>COUNTIFS(赛事明细!$P$4:$P$1000,"已结算",赛事明细!$E$4:$E$1000,$A52,赛事明细!$Q$4:$Q$1000,"黑")</x:f>
        <x:v>2</x:v>
      </x:c>
      <x:c r="H52" s="42">
        <x:f t="shared" si="1"/>
        <x:v>0.5</x:v>
      </x:c>
      <x:c r="I52" s="43" t="n">
        <x:f>SUMIFS(赛事明细!$S$4:$S$1000,赛事明细!$P$4:$P$1000,"已结算",赛事明细!$E$4:$E$1000,$A52)</x:f>
        <x:v>-0.29000000000000004</x:v>
      </x:c>
      <x:c r="J52" s="42">
        <x:f t="shared" si="2"/>
        <x:v>-0.0725</x:v>
      </x:c>
      <x:c r="K52" s="41" t="str">
        <x:f t="shared" si="3"/>
        <x:v>样本&lt;5，谨慎解读</x:v>
      </x:c>
    </x:row>
    <x:row r="53" ht="24" customHeight="1">
      <x:c r="A53" s="41" t="s">
        <x:v>522</x:v>
      </x:c>
      <x:c r="B53" s="41" t="n">
        <x:f>COUNTIFS(赛事明细!$P$4:$P$1000,"已结算",赛事明细!$E$4:$E$1000,$A53)</x:f>
        <x:v>4</x:v>
      </x:c>
      <x:c r="C53" s="41" t="n">
        <x:f>COUNTIFS(赛事明细!$P$4:$P$1000,"已结算",赛事明细!$E$4:$E$1000,$A53,赛事明细!$Q$4:$Q$1000,"红")</x:f>
        <x:v>2</x:v>
      </x:c>
      <x:c r="D53" s="41" t="n">
        <x:f>COUNTIFS(赛事明细!$P$4:$P$1000,"已结算",赛事明细!$E$4:$E$1000,$A53,赛事明细!$Q$4:$Q$1000,"半红")</x:f>
        <x:v>0</x:v>
      </x:c>
      <x:c r="E53" s="41" t="n">
        <x:f>COUNTIFS(赛事明细!$P$4:$P$1000,"已结算",赛事明细!$E$4:$E$1000,$A53,赛事明细!$Q$4:$Q$1000,"走")</x:f>
        <x:v>0</x:v>
      </x:c>
      <x:c r="F53" s="41" t="n">
        <x:f>COUNTIFS(赛事明细!$P$4:$P$1000,"已结算",赛事明细!$E$4:$E$1000,$A53,赛事明细!$Q$4:$Q$1000,"半黑")</x:f>
        <x:v>1</x:v>
      </x:c>
      <x:c r="G53" s="41" t="n">
        <x:f>COUNTIFS(赛事明细!$P$4:$P$1000,"已结算",赛事明细!$E$4:$E$1000,$A53,赛事明细!$Q$4:$Q$1000,"黑")</x:f>
        <x:v>1</x:v>
      </x:c>
      <x:c r="H53" s="42">
        <x:f t="shared" si="1"/>
        <x:v>0.571428571428571</x:v>
      </x:c>
      <x:c r="I53" s="43" t="n">
        <x:f>SUMIFS(赛事明细!$S$4:$S$1000,赛事明细!$P$4:$P$1000,"已结算",赛事明细!$E$4:$E$1000,$A53)</x:f>
        <x:v>0.16999999999999993</x:v>
      </x:c>
      <x:c r="J53" s="42">
        <x:f t="shared" si="2"/>
        <x:v>0.0425</x:v>
      </x:c>
      <x:c r="K53" s="41" t="str">
        <x:f t="shared" si="3"/>
        <x:v>样本&lt;5，谨慎解读</x:v>
      </x:c>
    </x:row>
    <x:row r="54" ht="24" customHeight="1">
      <x:c r="A54" s="41" t="s">
        <x:v>532</x:v>
      </x:c>
      <x:c r="B54" s="41" t="n">
        <x:f>COUNTIFS(赛事明细!$P$4:$P$1000,"已结算",赛事明细!$E$4:$E$1000,$A54)</x:f>
        <x:v>13</x:v>
      </x:c>
      <x:c r="C54" s="41" t="n">
        <x:f>COUNTIFS(赛事明细!$P$4:$P$1000,"已结算",赛事明细!$E$4:$E$1000,$A54,赛事明细!$Q$4:$Q$1000,"红")</x:f>
        <x:v>5</x:v>
      </x:c>
      <x:c r="D54" s="41" t="n">
        <x:f>COUNTIFS(赛事明细!$P$4:$P$1000,"已结算",赛事明细!$E$4:$E$1000,$A54,赛事明细!$Q$4:$Q$1000,"半红")</x:f>
        <x:v>1</x:v>
      </x:c>
      <x:c r="E54" s="41" t="n">
        <x:f>COUNTIFS(赛事明细!$P$4:$P$1000,"已结算",赛事明细!$E$4:$E$1000,$A54,赛事明细!$Q$4:$Q$1000,"走")</x:f>
        <x:v>1</x:v>
      </x:c>
      <x:c r="F54" s="41" t="n">
        <x:f>COUNTIFS(赛事明细!$P$4:$P$1000,"已结算",赛事明细!$E$4:$E$1000,$A54,赛事明细!$Q$4:$Q$1000,"半黑")</x:f>
        <x:v>1</x:v>
      </x:c>
      <x:c r="G54" s="41" t="n">
        <x:f>COUNTIFS(赛事明细!$P$4:$P$1000,"已结算",赛事明细!$E$4:$E$1000,$A54,赛事明细!$Q$4:$Q$1000,"黑")</x:f>
        <x:v>5</x:v>
      </x:c>
      <x:c r="H54" s="42">
        <x:f t="shared" si="1"/>
        <x:v>0.5</x:v>
      </x:c>
      <x:c r="I54" s="43" t="n">
        <x:f>SUMIFS(赛事明细!$S$4:$S$1000,赛事明细!$P$4:$P$1000,"已结算",赛事明细!$E$4:$E$1000,$A54)</x:f>
        <x:v>-0.3800000000000001</x:v>
      </x:c>
      <x:c r="J54" s="42">
        <x:f t="shared" si="2"/>
        <x:v>-0.0292307692307692</x:v>
      </x:c>
      <x:c r="K54" s="41" t="str">
        <x:f t="shared" si="3"/>
      </x:c>
    </x:row>
    <x:row r="55" ht="24" customHeight="1">
      <x:c r="A55" s="41" t="s">
        <x:v>548</x:v>
      </x:c>
      <x:c r="B55" s="41" t="n">
        <x:f>COUNTIFS(赛事明细!$P$4:$P$1000,"已结算",赛事明细!$E$4:$E$1000,$A55)</x:f>
        <x:v>1</x:v>
      </x:c>
      <x:c r="C55" s="41" t="n">
        <x:f>COUNTIFS(赛事明细!$P$4:$P$1000,"已结算",赛事明细!$E$4:$E$1000,$A55,赛事明细!$Q$4:$Q$1000,"红")</x:f>
        <x:v>1</x:v>
      </x:c>
      <x:c r="D55" s="41" t="n">
        <x:f>COUNTIFS(赛事明细!$P$4:$P$1000,"已结算",赛事明细!$E$4:$E$1000,$A55,赛事明细!$Q$4:$Q$1000,"半红")</x:f>
        <x:v>0</x:v>
      </x:c>
      <x:c r="E55" s="41" t="n">
        <x:f>COUNTIFS(赛事明细!$P$4:$P$1000,"已结算",赛事明细!$E$4:$E$1000,$A55,赛事明细!$Q$4:$Q$1000,"走")</x:f>
        <x:v>0</x:v>
      </x:c>
      <x:c r="F55" s="41" t="n">
        <x:f>COUNTIFS(赛事明细!$P$4:$P$1000,"已结算",赛事明细!$E$4:$E$1000,$A55,赛事明细!$Q$4:$Q$1000,"半黑")</x:f>
        <x:v>0</x:v>
      </x:c>
      <x:c r="G55" s="41" t="n">
        <x:f>COUNTIFS(赛事明细!$P$4:$P$1000,"已结算",赛事明细!$E$4:$E$1000,$A55,赛事明细!$Q$4:$Q$1000,"黑")</x:f>
        <x:v>0</x:v>
      </x:c>
      <x:c r="H55" s="42">
        <x:f t="shared" si="1"/>
        <x:v>1</x:v>
      </x:c>
      <x:c r="I55" s="43" t="n">
        <x:f>SUMIFS(赛事明细!$S$4:$S$1000,赛事明细!$P$4:$P$1000,"已结算",赛事明细!$E$4:$E$1000,$A55)</x:f>
        <x:v>0.76</x:v>
      </x:c>
      <x:c r="J55" s="42">
        <x:f t="shared" si="2"/>
        <x:v>0.76</x:v>
      </x:c>
      <x:c r="K55" s="41" t="str">
        <x:f t="shared" si="3"/>
        <x:v>样本&lt;5，谨慎解读</x:v>
      </x:c>
    </x:row>
    <x:row r="56" ht="24" customHeight="1">
      <x:c r="A56" s="41" t="s">
        <x:v>553</x:v>
      </x:c>
      <x:c r="B56" s="41" t="n">
        <x:f>COUNTIFS(赛事明细!$P$4:$P$1000,"已结算",赛事明细!$E$4:$E$1000,$A56)</x:f>
        <x:v>6</x:v>
      </x:c>
      <x:c r="C56" s="41" t="n">
        <x:f>COUNTIFS(赛事明细!$P$4:$P$1000,"已结算",赛事明细!$E$4:$E$1000,$A56,赛事明细!$Q$4:$Q$1000,"红")</x:f>
        <x:v>2</x:v>
      </x:c>
      <x:c r="D56" s="41" t="n">
        <x:f>COUNTIFS(赛事明细!$P$4:$P$1000,"已结算",赛事明细!$E$4:$E$1000,$A56,赛事明细!$Q$4:$Q$1000,"半红")</x:f>
        <x:v>0</x:v>
      </x:c>
      <x:c r="E56" s="41" t="n">
        <x:f>COUNTIFS(赛事明细!$P$4:$P$1000,"已结算",赛事明细!$E$4:$E$1000,$A56,赛事明细!$Q$4:$Q$1000,"走")</x:f>
        <x:v>1</x:v>
      </x:c>
      <x:c r="F56" s="41" t="n">
        <x:f>COUNTIFS(赛事明细!$P$4:$P$1000,"已结算",赛事明细!$E$4:$E$1000,$A56,赛事明细!$Q$4:$Q$1000,"半黑")</x:f>
        <x:v>1</x:v>
      </x:c>
      <x:c r="G56" s="41" t="n">
        <x:f>COUNTIFS(赛事明细!$P$4:$P$1000,"已结算",赛事明细!$E$4:$E$1000,$A56,赛事明细!$Q$4:$Q$1000,"黑")</x:f>
        <x:v>2</x:v>
      </x:c>
      <x:c r="H56" s="42">
        <x:f t="shared" si="1"/>
        <x:v>0.444444444444444</x:v>
      </x:c>
      <x:c r="I56" s="43" t="n">
        <x:f>SUMIFS(赛事明细!$S$4:$S$1000,赛事明细!$P$4:$P$1000,"已结算",赛事明细!$E$4:$E$1000,$A56)</x:f>
        <x:v>-0.68</x:v>
      </x:c>
      <x:c r="J56" s="42">
        <x:f t="shared" si="2"/>
        <x:v>-0.113333333333333</x:v>
      </x:c>
      <x:c r="K56" s="41" t="str">
        <x:f t="shared" si="3"/>
      </x:c>
    </x:row>
    <x:row r="57" ht="24" customHeight="1">
      <x:c r="A57" s="41" t="s">
        <x:v>563</x:v>
      </x:c>
      <x:c r="B57" s="41" t="n">
        <x:f>COUNTIFS(赛事明细!$P$4:$P$1000,"已结算",赛事明细!$E$4:$E$1000,$A57)</x:f>
        <x:v>6</x:v>
      </x:c>
      <x:c r="C57" s="41" t="n">
        <x:f>COUNTIFS(赛事明细!$P$4:$P$1000,"已结算",赛事明细!$E$4:$E$1000,$A57,赛事明细!$Q$4:$Q$1000,"红")</x:f>
        <x:v>2</x:v>
      </x:c>
      <x:c r="D57" s="41" t="n">
        <x:f>COUNTIFS(赛事明细!$P$4:$P$1000,"已结算",赛事明细!$E$4:$E$1000,$A57,赛事明细!$Q$4:$Q$1000,"半红")</x:f>
        <x:v>0</x:v>
      </x:c>
      <x:c r="E57" s="41" t="n">
        <x:f>COUNTIFS(赛事明细!$P$4:$P$1000,"已结算",赛事明细!$E$4:$E$1000,$A57,赛事明细!$Q$4:$Q$1000,"走")</x:f>
        <x:v>1</x:v>
      </x:c>
      <x:c r="F57" s="41" t="n">
        <x:f>COUNTIFS(赛事明细!$P$4:$P$1000,"已结算",赛事明细!$E$4:$E$1000,$A57,赛事明细!$Q$4:$Q$1000,"半黑")</x:f>
        <x:v>1</x:v>
      </x:c>
      <x:c r="G57" s="41" t="n">
        <x:f>COUNTIFS(赛事明细!$P$4:$P$1000,"已结算",赛事明细!$E$4:$E$1000,$A57,赛事明细!$Q$4:$Q$1000,"黑")</x:f>
        <x:v>2</x:v>
      </x:c>
      <x:c r="H57" s="42">
        <x:f t="shared" si="1"/>
        <x:v>0.444444444444444</x:v>
      </x:c>
      <x:c r="I57" s="43" t="n">
        <x:f>SUMIFS(赛事明细!$S$4:$S$1000,赛事明细!$P$4:$P$1000,"已结算",赛事明细!$E$4:$E$1000,$A57)</x:f>
        <x:v>-0.86</x:v>
      </x:c>
      <x:c r="J57" s="42">
        <x:f t="shared" si="2"/>
        <x:v>-0.143333333333333</x:v>
      </x:c>
      <x:c r="K57" s="41" t="str">
        <x:f t="shared" si="3"/>
      </x:c>
    </x:row>
    <x:row r="58" ht="24" customHeight="1">
      <x:c r="A58" s="41" t="s">
        <x:v>568</x:v>
      </x:c>
      <x:c r="B58" s="41" t="n">
        <x:f>COUNTIFS(赛事明细!$P$4:$P$1000,"已结算",赛事明细!$E$4:$E$1000,$A58)</x:f>
        <x:v>9</x:v>
      </x:c>
      <x:c r="C58" s="41" t="n">
        <x:f>COUNTIFS(赛事明细!$P$4:$P$1000,"已结算",赛事明细!$E$4:$E$1000,$A58,赛事明细!$Q$4:$Q$1000,"红")</x:f>
        <x:v>3</x:v>
      </x:c>
      <x:c r="D58" s="41" t="n">
        <x:f>COUNTIFS(赛事明细!$P$4:$P$1000,"已结算",赛事明细!$E$4:$E$1000,$A58,赛事明细!$Q$4:$Q$1000,"半红")</x:f>
        <x:v>1</x:v>
      </x:c>
      <x:c r="E58" s="41" t="n">
        <x:f>COUNTIFS(赛事明细!$P$4:$P$1000,"已结算",赛事明细!$E$4:$E$1000,$A58,赛事明细!$Q$4:$Q$1000,"走")</x:f>
        <x:v>1</x:v>
      </x:c>
      <x:c r="F58" s="41" t="n">
        <x:f>COUNTIFS(赛事明细!$P$4:$P$1000,"已结算",赛事明细!$E$4:$E$1000,$A58,赛事明细!$Q$4:$Q$1000,"半黑")</x:f>
        <x:v>2</x:v>
      </x:c>
      <x:c r="G58" s="41" t="n">
        <x:f>COUNTIFS(赛事明细!$P$4:$P$1000,"已结算",赛事明细!$E$4:$E$1000,$A58,赛事明细!$Q$4:$Q$1000,"黑")</x:f>
        <x:v>2</x:v>
      </x:c>
      <x:c r="H58" s="42">
        <x:f t="shared" si="1"/>
        <x:v>0.538461538461538</x:v>
      </x:c>
      <x:c r="I58" s="43" t="n">
        <x:f>SUMIFS(赛事明细!$S$4:$S$1000,赛事明细!$P$4:$P$1000,"已结算",赛事明细!$E$4:$E$1000,$A58)</x:f>
        <x:v>0.09999999999999998</x:v>
      </x:c>
      <x:c r="J58" s="42">
        <x:f t="shared" si="2"/>
        <x:v>0.0111111111111111</x:v>
      </x:c>
      <x:c r="K58" s="41" t="str">
        <x:f t="shared" si="3"/>
      </x:c>
    </x:row>
    <x:row r="59" ht="24" customHeight="1">
      <x:c r="A59" s="41" t="s">
        <x:v>573</x:v>
      </x:c>
      <x:c r="B59" s="41" t="n">
        <x:f>COUNTIFS(赛事明细!$P$4:$P$1000,"已结算",赛事明细!$E$4:$E$1000,$A59)</x:f>
        <x:v>2</x:v>
      </x:c>
      <x:c r="C59" s="41" t="n">
        <x:f>COUNTIFS(赛事明细!$P$4:$P$1000,"已结算",赛事明细!$E$4:$E$1000,$A59,赛事明细!$Q$4:$Q$1000,"红")</x:f>
        <x:v>0</x:v>
      </x:c>
      <x:c r="D59" s="41" t="n">
        <x:f>COUNTIFS(赛事明细!$P$4:$P$1000,"已结算",赛事明细!$E$4:$E$1000,$A59,赛事明细!$Q$4:$Q$1000,"半红")</x:f>
        <x:v>0</x:v>
      </x:c>
      <x:c r="E59" s="41" t="n">
        <x:f>COUNTIFS(赛事明细!$P$4:$P$1000,"已结算",赛事明细!$E$4:$E$1000,$A59,赛事明细!$Q$4:$Q$1000,"走")</x:f>
        <x:v>1</x:v>
      </x:c>
      <x:c r="F59" s="41" t="n">
        <x:f>COUNTIFS(赛事明细!$P$4:$P$1000,"已结算",赛事明细!$E$4:$E$1000,$A59,赛事明细!$Q$4:$Q$1000,"半黑")</x:f>
        <x:v>1</x:v>
      </x:c>
      <x:c r="G59" s="41" t="n">
        <x:f>COUNTIFS(赛事明细!$P$4:$P$1000,"已结算",赛事明细!$E$4:$E$1000,$A59,赛事明细!$Q$4:$Q$1000,"黑")</x:f>
        <x:v>0</x:v>
      </x:c>
      <x:c r="H59" s="42">
        <x:f t="shared" si="1"/>
        <x:v>0</x:v>
      </x:c>
      <x:c r="I59" s="43" t="n">
        <x:f>SUMIFS(赛事明细!$S$4:$S$1000,赛事明细!$P$4:$P$1000,"已结算",赛事明细!$E$4:$E$1000,$A59)</x:f>
        <x:v>-0.5</x:v>
      </x:c>
      <x:c r="J59" s="42">
        <x:f t="shared" si="2"/>
        <x:v>-0.5</x:v>
      </x:c>
      <x:c r="K59" s="41" t="str">
        <x:f t="shared" si="3"/>
        <x:v>样本&lt;5，谨慎解读</x:v>
      </x:c>
    </x:row>
    <x:row r="60" ht="24" customHeight="1">
      <x:c r="A60" s="41" t="s">
        <x:v>580</x:v>
      </x:c>
      <x:c r="B60" s="41" t="n">
        <x:f>COUNTIFS(赛事明细!$P$4:$P$1000,"已结算",赛事明细!$E$4:$E$1000,$A60)</x:f>
        <x:v>6</x:v>
      </x:c>
      <x:c r="C60" s="41" t="n">
        <x:f>COUNTIFS(赛事明细!$P$4:$P$1000,"已结算",赛事明细!$E$4:$E$1000,$A60,赛事明细!$Q$4:$Q$1000,"红")</x:f>
        <x:v>3</x:v>
      </x:c>
      <x:c r="D60" s="41" t="n">
        <x:f>COUNTIFS(赛事明细!$P$4:$P$1000,"已结算",赛事明细!$E$4:$E$1000,$A60,赛事明细!$Q$4:$Q$1000,"半红")</x:f>
        <x:v>0</x:v>
      </x:c>
      <x:c r="E60" s="41" t="n">
        <x:f>COUNTIFS(赛事明细!$P$4:$P$1000,"已结算",赛事明细!$E$4:$E$1000,$A60,赛事明细!$Q$4:$Q$1000,"走")</x:f>
        <x:v>1</x:v>
      </x:c>
      <x:c r="F60" s="41" t="n">
        <x:f>COUNTIFS(赛事明细!$P$4:$P$1000,"已结算",赛事明细!$E$4:$E$1000,$A60,赛事明细!$Q$4:$Q$1000,"半黑")</x:f>
        <x:v>0</x:v>
      </x:c>
      <x:c r="G60" s="41" t="n">
        <x:f>COUNTIFS(赛事明细!$P$4:$P$1000,"已结算",赛事明细!$E$4:$E$1000,$A60,赛事明细!$Q$4:$Q$1000,"黑")</x:f>
        <x:v>2</x:v>
      </x:c>
      <x:c r="H60" s="42">
        <x:f t="shared" si="1"/>
        <x:v>0.6</x:v>
      </x:c>
      <x:c r="I60" s="43" t="n">
        <x:f>SUMIFS(赛事明细!$S$4:$S$1000,赛事明细!$P$4:$P$1000,"已结算",赛事明细!$E$4:$E$1000,$A60)</x:f>
        <x:v>0.5700000000000001</x:v>
      </x:c>
      <x:c r="J60" s="42">
        <x:f t="shared" si="2"/>
        <x:v>0.095</x:v>
      </x:c>
      <x:c r="K60" s="41" t="str">
        <x:f t="shared" si="3"/>
      </x:c>
    </x:row>
    <x:row r="61" ht="24" customHeight="1">
      <x:c r="A61" s="41" t="s">
        <x:v>587</x:v>
      </x:c>
      <x:c r="B61" s="41" t="n">
        <x:f>COUNTIFS(赛事明细!$P$4:$P$1000,"已结算",赛事明细!$E$4:$E$1000,$A61)</x:f>
        <x:v>7</x:v>
      </x:c>
      <x:c r="C61" s="41" t="n">
        <x:f>COUNTIFS(赛事明细!$P$4:$P$1000,"已结算",赛事明细!$E$4:$E$1000,$A61,赛事明细!$Q$4:$Q$1000,"红")</x:f>
        <x:v>2</x:v>
      </x:c>
      <x:c r="D61" s="41" t="n">
        <x:f>COUNTIFS(赛事明细!$P$4:$P$1000,"已结算",赛事明细!$E$4:$E$1000,$A61,赛事明细!$Q$4:$Q$1000,"半红")</x:f>
        <x:v>1</x:v>
      </x:c>
      <x:c r="E61" s="41" t="n">
        <x:f>COUNTIFS(赛事明细!$P$4:$P$1000,"已结算",赛事明细!$E$4:$E$1000,$A61,赛事明细!$Q$4:$Q$1000,"走")</x:f>
        <x:v>1</x:v>
      </x:c>
      <x:c r="F61" s="41" t="n">
        <x:f>COUNTIFS(赛事明细!$P$4:$P$1000,"已结算",赛事明细!$E$4:$E$1000,$A61,赛事明细!$Q$4:$Q$1000,"半黑")</x:f>
        <x:v>0</x:v>
      </x:c>
      <x:c r="G61" s="41" t="n">
        <x:f>COUNTIFS(赛事明细!$P$4:$P$1000,"已结算",赛事明细!$E$4:$E$1000,$A61,赛事明细!$Q$4:$Q$1000,"黑")</x:f>
        <x:v>3</x:v>
      </x:c>
      <x:c r="H61" s="42">
        <x:f t="shared" si="1"/>
        <x:v>0.454545454545455</x:v>
      </x:c>
      <x:c r="I61" s="43" t="n">
        <x:f>SUMIFS(赛事明细!$S$4:$S$1000,赛事明细!$P$4:$P$1000,"已结算",赛事明细!$E$4:$E$1000,$A61)</x:f>
        <x:v>-0.8200000000000003</x:v>
      </x:c>
      <x:c r="J61" s="42">
        <x:f t="shared" si="2"/>
        <x:v>-0.117142857142857</x:v>
      </x:c>
      <x:c r="K61" s="41" t="str">
        <x:f t="shared" si="3"/>
      </x:c>
    </x:row>
    <x:row r="62" ht="24" customHeight="1">
      <x:c r="A62" s="41" t="s">
        <x:v>592</x:v>
      </x:c>
      <x:c r="B62" s="41" t="n">
        <x:f>COUNTIFS(赛事明细!$P$4:$P$1000,"已结算",赛事明细!$E$4:$E$1000,$A62)</x:f>
        <x:v>5</x:v>
      </x:c>
      <x:c r="C62" s="41" t="n">
        <x:f>COUNTIFS(赛事明细!$P$4:$P$1000,"已结算",赛事明细!$E$4:$E$1000,$A62,赛事明细!$Q$4:$Q$1000,"红")</x:f>
        <x:v>2</x:v>
      </x:c>
      <x:c r="D62" s="41" t="n">
        <x:f>COUNTIFS(赛事明细!$P$4:$P$1000,"已结算",赛事明细!$E$4:$E$1000,$A62,赛事明细!$Q$4:$Q$1000,"半红")</x:f>
        <x:v>1</x:v>
      </x:c>
      <x:c r="E62" s="41" t="n">
        <x:f>COUNTIFS(赛事明细!$P$4:$P$1000,"已结算",赛事明细!$E$4:$E$1000,$A62,赛事明细!$Q$4:$Q$1000,"走")</x:f>
        <x:v>0</x:v>
      </x:c>
      <x:c r="F62" s="41" t="n">
        <x:f>COUNTIFS(赛事明细!$P$4:$P$1000,"已结算",赛事明细!$E$4:$E$1000,$A62,赛事明细!$Q$4:$Q$1000,"半黑")</x:f>
        <x:v>1</x:v>
      </x:c>
      <x:c r="G62" s="41" t="n">
        <x:f>COUNTIFS(赛事明细!$P$4:$P$1000,"已结算",赛事明细!$E$4:$E$1000,$A62,赛事明细!$Q$4:$Q$1000,"黑")</x:f>
        <x:v>1</x:v>
      </x:c>
      <x:c r="H62" s="42">
        <x:f t="shared" si="1"/>
        <x:v>0.625</x:v>
      </x:c>
      <x:c r="I62" s="43" t="n">
        <x:f>SUMIFS(赛事明细!$S$4:$S$1000,赛事明细!$P$4:$P$1000,"已结算",赛事明细!$E$4:$E$1000,$A62)</x:f>
        <x:v>0.5149999999999999</x:v>
      </x:c>
      <x:c r="J62" s="42">
        <x:f t="shared" si="2"/>
        <x:v>0.103</x:v>
      </x:c>
      <x:c r="K62" s="41" t="str">
        <x:f t="shared" si="3"/>
      </x:c>
    </x:row>
    <x:row r="63" ht="24" customHeight="1">
      <x:c r="A63" s="41" t="s">
        <x:v>597</x:v>
      </x:c>
      <x:c r="B63" s="41" t="n">
        <x:f>COUNTIFS(赛事明细!$P$4:$P$1000,"已结算",赛事明细!$E$4:$E$1000,$A63)</x:f>
        <x:v>14</x:v>
      </x:c>
      <x:c r="C63" s="41" t="n">
        <x:f>COUNTIFS(赛事明细!$P$4:$P$1000,"已结算",赛事明细!$E$4:$E$1000,$A63,赛事明细!$Q$4:$Q$1000,"红")</x:f>
        <x:v>8</x:v>
      </x:c>
      <x:c r="D63" s="41" t="n">
        <x:f>COUNTIFS(赛事明细!$P$4:$P$1000,"已结算",赛事明细!$E$4:$E$1000,$A63,赛事明细!$Q$4:$Q$1000,"半红")</x:f>
        <x:v>0</x:v>
      </x:c>
      <x:c r="E63" s="41" t="n">
        <x:f>COUNTIFS(赛事明细!$P$4:$P$1000,"已结算",赛事明细!$E$4:$E$1000,$A63,赛事明细!$Q$4:$Q$1000,"走")</x:f>
        <x:v>1</x:v>
      </x:c>
      <x:c r="F63" s="41" t="n">
        <x:f>COUNTIFS(赛事明细!$P$4:$P$1000,"已结算",赛事明细!$E$4:$E$1000,$A63,赛事明细!$Q$4:$Q$1000,"半黑")</x:f>
        <x:v>0</x:v>
      </x:c>
      <x:c r="G63" s="41" t="n">
        <x:f>COUNTIFS(赛事明细!$P$4:$P$1000,"已结算",赛事明细!$E$4:$E$1000,$A63,赛事明细!$Q$4:$Q$1000,"黑")</x:f>
        <x:v>5</x:v>
      </x:c>
      <x:c r="H63" s="42">
        <x:f t="shared" si="1"/>
        <x:v>0.615384615384615</x:v>
      </x:c>
      <x:c r="I63" s="43" t="n">
        <x:f>SUMIFS(赛事明细!$S$4:$S$1000,赛事明细!$P$4:$P$1000,"已结算",赛事明细!$E$4:$E$1000,$A63)</x:f>
        <x:v>2.37</x:v>
      </x:c>
      <x:c r="J63" s="42">
        <x:f t="shared" si="2"/>
        <x:v>0.169285714285714</x:v>
      </x:c>
      <x:c r="K63" s="41" t="str">
        <x:f t="shared" si="3"/>
      </x:c>
    </x:row>
    <x:row r="64" ht="24" customHeight="1">
      <x:c r="A64" s="41" t="s">
        <x:v>602</x:v>
      </x:c>
      <x:c r="B64" s="41" t="n">
        <x:f>COUNTIFS(赛事明细!$P$4:$P$1000,"已结算",赛事明细!$E$4:$E$1000,$A64)</x:f>
        <x:v>17</x:v>
      </x:c>
      <x:c r="C64" s="41" t="n">
        <x:f>COUNTIFS(赛事明细!$P$4:$P$1000,"已结算",赛事明细!$E$4:$E$1000,$A64,赛事明细!$Q$4:$Q$1000,"红")</x:f>
        <x:v>6</x:v>
      </x:c>
      <x:c r="D64" s="41" t="n">
        <x:f>COUNTIFS(赛事明细!$P$4:$P$1000,"已结算",赛事明细!$E$4:$E$1000,$A64,赛事明细!$Q$4:$Q$1000,"半红")</x:f>
        <x:v>1</x:v>
      </x:c>
      <x:c r="E64" s="41" t="n">
        <x:f>COUNTIFS(赛事明细!$P$4:$P$1000,"已结算",赛事明细!$E$4:$E$1000,$A64,赛事明细!$Q$4:$Q$1000,"走")</x:f>
        <x:v>1</x:v>
      </x:c>
      <x:c r="F64" s="41" t="n">
        <x:f>COUNTIFS(赛事明细!$P$4:$P$1000,"已结算",赛事明细!$E$4:$E$1000,$A64,赛事明细!$Q$4:$Q$1000,"半黑")</x:f>
        <x:v>3</x:v>
      </x:c>
      <x:c r="G64" s="41" t="n">
        <x:f>COUNTIFS(赛事明细!$P$4:$P$1000,"已结算",赛事明细!$E$4:$E$1000,$A64,赛事明细!$Q$4:$Q$1000,"黑")</x:f>
        <x:v>6</x:v>
      </x:c>
      <x:c r="H64" s="42">
        <x:f t="shared" si="1"/>
        <x:v>0.464285714285714</x:v>
      </x:c>
      <x:c r="I64" s="43" t="n">
        <x:f>SUMIFS(赛事明细!$S$4:$S$1000,赛事明细!$P$4:$P$1000,"已结算",赛事明细!$E$4:$E$1000,$A64)</x:f>
        <x:v>-1.7600000000000002</x:v>
      </x:c>
      <x:c r="J64" s="42">
        <x:f t="shared" si="2"/>
        <x:v>-0.103529411764706</x:v>
      </x:c>
      <x:c r="K64" s="41" t="str">
        <x:f t="shared" si="3"/>
      </x:c>
    </x:row>
    <x:row r="65" ht="24" customHeight="1">
      <x:c r="A65" s="41" t="s">
        <x:v>609</x:v>
      </x:c>
      <x:c r="B65" s="41" t="n">
        <x:f>COUNTIFS(赛事明细!$P$4:$P$1000,"已结算",赛事明细!$E$4:$E$1000,$A65)</x:f>
        <x:v>14</x:v>
      </x:c>
      <x:c r="C65" s="41" t="n">
        <x:f>COUNTIFS(赛事明细!$P$4:$P$1000,"已结算",赛事明细!$E$4:$E$1000,$A65,赛事明细!$Q$4:$Q$1000,"红")</x:f>
        <x:v>5</x:v>
      </x:c>
      <x:c r="D65" s="41" t="n">
        <x:f>COUNTIFS(赛事明细!$P$4:$P$1000,"已结算",赛事明细!$E$4:$E$1000,$A65,赛事明细!$Q$4:$Q$1000,"半红")</x:f>
        <x:v>0</x:v>
      </x:c>
      <x:c r="E65" s="41" t="n">
        <x:f>COUNTIFS(赛事明细!$P$4:$P$1000,"已结算",赛事明细!$E$4:$E$1000,$A65,赛事明细!$Q$4:$Q$1000,"走")</x:f>
        <x:v>2</x:v>
      </x:c>
      <x:c r="F65" s="41" t="n">
        <x:f>COUNTIFS(赛事明细!$P$4:$P$1000,"已结算",赛事明细!$E$4:$E$1000,$A65,赛事明细!$Q$4:$Q$1000,"半黑")</x:f>
        <x:v>2</x:v>
      </x:c>
      <x:c r="G65" s="41" t="n">
        <x:f>COUNTIFS(赛事明细!$P$4:$P$1000,"已结算",赛事明细!$E$4:$E$1000,$A65,赛事明细!$Q$4:$Q$1000,"黑")</x:f>
        <x:v>5</x:v>
      </x:c>
      <x:c r="H65" s="42">
        <x:f t="shared" si="1"/>
        <x:v>0.454545454545455</x:v>
      </x:c>
      <x:c r="I65" s="43" t="n">
        <x:f>SUMIFS(赛事明细!$S$4:$S$1000,赛事明细!$P$4:$P$1000,"已结算",赛事明细!$E$4:$E$1000,$A65)</x:f>
        <x:v>-1.1799999999999997</x:v>
      </x:c>
      <x:c r="J65" s="42">
        <x:f t="shared" si="2"/>
        <x:v>-0.0842857142857143</x:v>
      </x:c>
      <x:c r="K65" s="41" t="str">
        <x:f t="shared" si="3"/>
      </x:c>
    </x:row>
    <x:row r="66" ht="24" customHeight="1">
      <x:c r="A66" s="41" t="s">
        <x:v>613</x:v>
      </x:c>
      <x:c r="B66" s="41" t="n">
        <x:f>COUNTIFS(赛事明细!$P$4:$P$1000,"已结算",赛事明细!$E$4:$E$1000,$A66)</x:f>
        <x:v>21</x:v>
      </x:c>
      <x:c r="C66" s="41" t="n">
        <x:f>COUNTIFS(赛事明细!$P$4:$P$1000,"已结算",赛事明细!$E$4:$E$1000,$A66,赛事明细!$Q$4:$Q$1000,"红")</x:f>
        <x:v>7</x:v>
      </x:c>
      <x:c r="D66" s="41" t="n">
        <x:f>COUNTIFS(赛事明细!$P$4:$P$1000,"已结算",赛事明细!$E$4:$E$1000,$A66,赛事明细!$Q$4:$Q$1000,"半红")</x:f>
        <x:v>1</x:v>
      </x:c>
      <x:c r="E66" s="41" t="n">
        <x:f>COUNTIFS(赛事明细!$P$4:$P$1000,"已结算",赛事明细!$E$4:$E$1000,$A66,赛事明细!$Q$4:$Q$1000,"走")</x:f>
        <x:v>1</x:v>
      </x:c>
      <x:c r="F66" s="41" t="n">
        <x:f>COUNTIFS(赛事明细!$P$4:$P$1000,"已结算",赛事明细!$E$4:$E$1000,$A66,赛事明细!$Q$4:$Q$1000,"半黑")</x:f>
        <x:v>3</x:v>
      </x:c>
      <x:c r="G66" s="41" t="n">
        <x:f>COUNTIFS(赛事明细!$P$4:$P$1000,"已结算",赛事明细!$E$4:$E$1000,$A66,赛事明细!$Q$4:$Q$1000,"黑")</x:f>
        <x:v>9</x:v>
      </x:c>
      <x:c r="H66" s="42">
        <x:f t="shared" si="1"/>
        <x:v>0.416666666666667</x:v>
      </x:c>
      <x:c r="I66" s="43" t="n">
        <x:f>SUMIFS(赛事明细!$S$4:$S$1000,赛事明细!$P$4:$P$1000,"已结算",赛事明细!$E$4:$E$1000,$A66)</x:f>
        <x:v>-3.044999999999999</x:v>
      </x:c>
      <x:c r="J66" s="42">
        <x:f t="shared" si="2"/>
        <x:v>-0.145</x:v>
      </x:c>
      <x:c r="K66" s="41" t="str">
        <x:f t="shared" si="3"/>
      </x:c>
    </x:row>
    <x:row r="67" ht="24" customHeight="1">
      <x:c r="A67" s="41" t="s">
        <x:v>622</x:v>
      </x:c>
      <x:c r="B67" s="41" t="n">
        <x:f>COUNTIFS(赛事明细!$P$4:$P$1000,"已结算",赛事明细!$E$4:$E$1000,$A67)</x:f>
        <x:v>6</x:v>
      </x:c>
      <x:c r="C67" s="41" t="n">
        <x:f>COUNTIFS(赛事明细!$P$4:$P$1000,"已结算",赛事明细!$E$4:$E$1000,$A67,赛事明细!$Q$4:$Q$1000,"红")</x:f>
        <x:v>2</x:v>
      </x:c>
      <x:c r="D67" s="41" t="n">
        <x:f>COUNTIFS(赛事明细!$P$4:$P$1000,"已结算",赛事明细!$E$4:$E$1000,$A67,赛事明细!$Q$4:$Q$1000,"半红")</x:f>
        <x:v>0</x:v>
      </x:c>
      <x:c r="E67" s="41" t="n">
        <x:f>COUNTIFS(赛事明细!$P$4:$P$1000,"已结算",赛事明细!$E$4:$E$1000,$A67,赛事明细!$Q$4:$Q$1000,"走")</x:f>
        <x:v>1</x:v>
      </x:c>
      <x:c r="F67" s="41" t="n">
        <x:f>COUNTIFS(赛事明细!$P$4:$P$1000,"已结算",赛事明细!$E$4:$E$1000,$A67,赛事明细!$Q$4:$Q$1000,"半黑")</x:f>
        <x:v>1</x:v>
      </x:c>
      <x:c r="G67" s="41" t="n">
        <x:f>COUNTIFS(赛事明细!$P$4:$P$1000,"已结算",赛事明细!$E$4:$E$1000,$A67,赛事明细!$Q$4:$Q$1000,"黑")</x:f>
        <x:v>2</x:v>
      </x:c>
      <x:c r="H67" s="42">
        <x:f t="shared" si="1"/>
        <x:v>0.444444444444444</x:v>
      </x:c>
      <x:c r="I67" s="43" t="n">
        <x:f>SUMIFS(赛事明细!$S$4:$S$1000,赛事明细!$P$4:$P$1000,"已结算",赛事明细!$E$4:$E$1000,$A67)</x:f>
        <x:v>-0.5699999999999998</x:v>
      </x:c>
      <x:c r="J67" s="42">
        <x:f t="shared" si="2"/>
        <x:v>-0.095</x:v>
      </x:c>
      <x:c r="K67" s="41" t="str">
        <x:f t="shared" si="3"/>
      </x:c>
    </x:row>
    <x:row r="68" ht="24" customHeight="1">
      <x:c r="A68" s="41" t="s">
        <x:v>628</x:v>
      </x:c>
      <x:c r="B68" s="41" t="n">
        <x:f>COUNTIFS(赛事明细!$P$4:$P$1000,"已结算",赛事明细!$E$4:$E$1000,$A68)</x:f>
        <x:v>2</x:v>
      </x:c>
      <x:c r="C68" s="41" t="n">
        <x:f>COUNTIFS(赛事明细!$P$4:$P$1000,"已结算",赛事明细!$E$4:$E$1000,$A68,赛事明细!$Q$4:$Q$1000,"红")</x:f>
        <x:v>2</x:v>
      </x:c>
      <x:c r="D68" s="41" t="n">
        <x:f>COUNTIFS(赛事明细!$P$4:$P$1000,"已结算",赛事明细!$E$4:$E$1000,$A68,赛事明细!$Q$4:$Q$1000,"半红")</x:f>
        <x:v>0</x:v>
      </x:c>
      <x:c r="E68" s="41" t="n">
        <x:f>COUNTIFS(赛事明细!$P$4:$P$1000,"已结算",赛事明细!$E$4:$E$1000,$A68,赛事明细!$Q$4:$Q$1000,"走")</x:f>
        <x:v>0</x:v>
      </x:c>
      <x:c r="F68" s="41" t="n">
        <x:f>COUNTIFS(赛事明细!$P$4:$P$1000,"已结算",赛事明细!$E$4:$E$1000,$A68,赛事明细!$Q$4:$Q$1000,"半黑")</x:f>
        <x:v>0</x:v>
      </x:c>
      <x:c r="G68" s="41" t="n">
        <x:f>COUNTIFS(赛事明细!$P$4:$P$1000,"已结算",赛事明细!$E$4:$E$1000,$A68,赛事明细!$Q$4:$Q$1000,"黑")</x:f>
        <x:v>0</x:v>
      </x:c>
      <x:c r="H68" s="42">
        <x:f t="shared" si="1"/>
        <x:v>1</x:v>
      </x:c>
      <x:c r="I68" s="43" t="n">
        <x:f>SUMIFS(赛事明细!$S$4:$S$1000,赛事明细!$P$4:$P$1000,"已结算",赛事明细!$E$4:$E$1000,$A68)</x:f>
        <x:v>1.76</x:v>
      </x:c>
      <x:c r="J68" s="42">
        <x:f t="shared" si="2"/>
        <x:v>0.88</x:v>
      </x:c>
      <x:c r="K68" s="41" t="str">
        <x:f t="shared" si="3"/>
        <x:v>样本&lt;5，谨慎解读</x:v>
      </x:c>
    </x:row>
    <x:row r="69" ht="24" customHeight="1">
      <x:c r="A69" s="41" t="s">
        <x:v>634</x:v>
      </x:c>
      <x:c r="B69" s="41" t="n">
        <x:f>COUNTIFS(赛事明细!$P$4:$P$1000,"已结算",赛事明细!$E$4:$E$1000,$A69)</x:f>
        <x:v>1</x:v>
      </x:c>
      <x:c r="C69" s="41" t="n">
        <x:f>COUNTIFS(赛事明细!$P$4:$P$1000,"已结算",赛事明细!$E$4:$E$1000,$A69,赛事明细!$Q$4:$Q$1000,"红")</x:f>
        <x:v>1</x:v>
      </x:c>
      <x:c r="D69" s="41" t="n">
        <x:f>COUNTIFS(赛事明细!$P$4:$P$1000,"已结算",赛事明细!$E$4:$E$1000,$A69,赛事明细!$Q$4:$Q$1000,"半红")</x:f>
        <x:v>0</x:v>
      </x:c>
      <x:c r="E69" s="41" t="n">
        <x:f>COUNTIFS(赛事明细!$P$4:$P$1000,"已结算",赛事明细!$E$4:$E$1000,$A69,赛事明细!$Q$4:$Q$1000,"走")</x:f>
        <x:v>0</x:v>
      </x:c>
      <x:c r="F69" s="41" t="n">
        <x:f>COUNTIFS(赛事明细!$P$4:$P$1000,"已结算",赛事明细!$E$4:$E$1000,$A69,赛事明细!$Q$4:$Q$1000,"半黑")</x:f>
        <x:v>0</x:v>
      </x:c>
      <x:c r="G69" s="41" t="n">
        <x:f>COUNTIFS(赛事明细!$P$4:$P$1000,"已结算",赛事明细!$E$4:$E$1000,$A69,赛事明细!$Q$4:$Q$1000,"黑")</x:f>
        <x:v>0</x:v>
      </x:c>
      <x:c r="H69" s="42">
        <x:f t="shared" si="1"/>
        <x:v>1</x:v>
      </x:c>
      <x:c r="I69" s="43" t="n">
        <x:f>SUMIFS(赛事明细!$S$4:$S$1000,赛事明细!$P$4:$P$1000,"已结算",赛事明细!$E$4:$E$1000,$A69)</x:f>
        <x:v>0.83</x:v>
      </x:c>
      <x:c r="J69" s="42">
        <x:f t="shared" si="2"/>
        <x:v>0.83</x:v>
      </x:c>
      <x:c r="K69" s="41" t="str">
        <x:f t="shared" si="3"/>
        <x:v>样本&lt;5，谨慎解读</x:v>
      </x:c>
    </x:row>
    <x:row r="70" ht="24" customHeight="1">
      <x:c r="A70" s="41" t="s">
        <x:v>645</x:v>
      </x:c>
      <x:c r="B70" s="41" t="n">
        <x:f>COUNTIFS(赛事明细!$P$4:$P$1000,"已结算",赛事明细!$E$4:$E$1000,$A70)</x:f>
        <x:v>10</x:v>
      </x:c>
      <x:c r="C70" s="41" t="n">
        <x:f>COUNTIFS(赛事明细!$P$4:$P$1000,"已结算",赛事明细!$E$4:$E$1000,$A70,赛事明细!$Q$4:$Q$1000,"红")</x:f>
        <x:v>4</x:v>
      </x:c>
      <x:c r="D70" s="41" t="n">
        <x:f>COUNTIFS(赛事明细!$P$4:$P$1000,"已结算",赛事明细!$E$4:$E$1000,$A70,赛事明细!$Q$4:$Q$1000,"半红")</x:f>
        <x:v>0</x:v>
      </x:c>
      <x:c r="E70" s="41" t="n">
        <x:f>COUNTIFS(赛事明细!$P$4:$P$1000,"已结算",赛事明细!$E$4:$E$1000,$A70,赛事明细!$Q$4:$Q$1000,"走")</x:f>
        <x:v>0</x:v>
      </x:c>
      <x:c r="F70" s="41" t="n">
        <x:f>COUNTIFS(赛事明细!$P$4:$P$1000,"已结算",赛事明细!$E$4:$E$1000,$A70,赛事明细!$Q$4:$Q$1000,"半黑")</x:f>
        <x:v>1</x:v>
      </x:c>
      <x:c r="G70" s="41" t="n">
        <x:f>COUNTIFS(赛事明细!$P$4:$P$1000,"已结算",赛事明细!$E$4:$E$1000,$A70,赛事明细!$Q$4:$Q$1000,"黑")</x:f>
        <x:v>5</x:v>
      </x:c>
      <x:c r="H70" s="42">
        <x:f t="shared" si="1"/>
        <x:v>0.307692307692308</x:v>
      </x:c>
      <x:c r="I70" s="43" t="n">
        <x:f>SUMIFS(赛事明细!$S$4:$S$1000,赛事明细!$P$4:$P$1000,"已结算",赛事明细!$E$4:$E$1000,$A70)</x:f>
        <x:v>-2.2499999999999996</x:v>
      </x:c>
      <x:c r="J70" s="42">
        <x:f t="shared" si="2"/>
        <x:v>-0.412857142857143</x:v>
      </x:c>
      <x:c r="K70" s="41" t="str">
        <x:f t="shared" si="3"/>
      </x:c>
    </x:row>
    <x:row r="71" ht="24" customHeight="1">
      <x:c r="A71" s="41" t="s">
        <x:v>656</x:v>
      </x:c>
      <x:c r="B71" s="41" t="n">
        <x:f>COUNTIFS(赛事明细!$P$4:$P$1000,"已结算",赛事明细!$E$4:$E$1000,$A71)</x:f>
        <x:v>9</x:v>
      </x:c>
      <x:c r="C71" s="41" t="n">
        <x:f>COUNTIFS(赛事明细!$P$4:$P$1000,"已结算",赛事明细!$E$4:$E$1000,$A71,赛事明细!$Q$4:$Q$1000,"红")</x:f>
        <x:v>3</x:v>
      </x:c>
      <x:c r="D71" s="41" t="n">
        <x:f>COUNTIFS(赛事明细!$P$4:$P$1000,"已结算",赛事明细!$E$4:$E$1000,$A71,赛事明细!$Q$4:$Q$1000,"半红")</x:f>
        <x:v>0</x:v>
      </x:c>
      <x:c r="E71" s="41" t="n">
        <x:f>COUNTIFS(赛事明细!$P$4:$P$1000,"已结算",赛事明细!$E$4:$E$1000,$A71,赛事明细!$Q$4:$Q$1000,"走")</x:f>
        <x:v>2</x:v>
      </x:c>
      <x:c r="F71" s="41" t="n">
        <x:f>COUNTIFS(赛事明细!$P$4:$P$1000,"已结算",赛事明细!$E$4:$E$1000,$A71,赛事明细!$Q$4:$Q$1000,"半黑")</x:f>
        <x:v>1</x:v>
      </x:c>
      <x:c r="G71" s="41" t="n">
        <x:f>COUNTIFS(赛事明细!$P$4:$P$1000,"已结算",赛事明细!$E$4:$E$1000,$A71,赛事明细!$Q$4:$Q$1000,"黑")</x:f>
        <x:v>3</x:v>
      </x:c>
      <x:c r="H71" s="42">
        <x:f t="shared" si="1"/>
        <x:v>0.363636363636364</x:v>
      </x:c>
      <x:c r="I71" s="43" t="n">
        <x:f>SUMIFS(赛事明细!$S$4:$S$1000,赛事明细!$P$4:$P$1000,"已结算",赛事明细!$E$4:$E$1000,$A71)</x:f>
        <x:v>-0.9599999999999999</x:v>
      </x:c>
      <x:c r="J71" s="42">
        <x:f t="shared" si="2"/>
        <x:v>-0.3</x:v>
      </x:c>
      <x:c r="K71" s="41" t="str">
        <x:f t="shared" si="3"/>
      </x:c>
    </x:row>
    <x:row r="72" ht="24" customHeight="1">
      <x:c r="A72" s="41" t="s">
        <x:v>659</x:v>
      </x:c>
      <x:c r="B72" s="41" t="n">
        <x:f>COUNTIFS(赛事明细!$P$4:$P$1000,"已结算",赛事明细!$E$4:$E$1000,$A72)</x:f>
        <x:v>7</x:v>
      </x:c>
      <x:c r="C72" s="41" t="n">
        <x:f>COUNTIFS(赛事明细!$P$4:$P$1000,"已结算",赛事明细!$E$4:$E$1000,$A72,赛事明细!$Q$4:$Q$1000,"红")</x:f>
        <x:v>4</x:v>
      </x:c>
      <x:c r="D72" s="41" t="n">
        <x:f>COUNTIFS(赛事明细!$P$4:$P$1000,"已结算",赛事明细!$E$4:$E$1000,$A72,赛事明细!$Q$4:$Q$1000,"半红")</x:f>
        <x:v>0</x:v>
      </x:c>
      <x:c r="E72" s="41" t="n">
        <x:f>COUNTIFS(赛事明细!$P$4:$P$1000,"已结算",赛事明细!$E$4:$E$1000,$A72,赛事明细!$Q$4:$Q$1000,"走")</x:f>
        <x:v>1</x:v>
      </x:c>
      <x:c r="F72" s="41" t="n">
        <x:f>COUNTIFS(赛事明细!$P$4:$P$1000,"已结算",赛事明细!$E$4:$E$1000,$A72,赛事明细!$Q$4:$Q$1000,"半黑")</x:f>
        <x:v>1</x:v>
      </x:c>
      <x:c r="G72" s="41" t="n">
        <x:f>COUNTIFS(赛事明细!$P$4:$P$1000,"已结算",赛事明细!$E$4:$E$1000,$A72,赛事明细!$Q$4:$Q$1000,"黑")</x:f>
        <x:v>1</x:v>
      </x:c>
      <x:c r="H72" s="42">
        <x:f t="shared" si="1"/>
        <x:v>0.727272727272727</x:v>
      </x:c>
      <x:c r="I72" s="43" t="n">
        <x:f>SUMIFS(赛事明细!$S$4:$S$1000,赛事明细!$P$4:$P$1000,"已结算",赛事明细!$E$4:$E$1000,$A72)</x:f>
        <x:v>1.75</x:v>
      </x:c>
      <x:c r="J72" s="42">
        <x:f t="shared" si="2"/>
        <x:v>0.25</x:v>
      </x:c>
      <x:c r="K72" s="41" t="str">
        <x:f t="shared" si="3"/>
      </x:c>
    </x:row>
    <x:row r="73" ht="24" customHeight="1">
      <x:c r="A73" s="41" t="s">
        <x:v>669</x:v>
      </x:c>
      <x:c r="B73" s="41" t="n">
        <x:f>COUNTIFS(赛事明细!$P$4:$P$1000,"已结算",赛事明细!$E$4:$E$1000,$A73)</x:f>
        <x:v>8</x:v>
      </x:c>
      <x:c r="C73" s="41" t="n">
        <x:f>COUNTIFS(赛事明细!$P$4:$P$1000,"已结算",赛事明细!$E$4:$E$1000,$A73,赛事明细!$Q$4:$Q$1000,"红")</x:f>
        <x:v>3</x:v>
      </x:c>
      <x:c r="D73" s="41" t="n">
        <x:f>COUNTIFS(赛事明细!$P$4:$P$1000,"已结算",赛事明细!$E$4:$E$1000,$A73,赛事明细!$Q$4:$Q$1000,"半红")</x:f>
        <x:v>0</x:v>
      </x:c>
      <x:c r="E73" s="41" t="n">
        <x:f>COUNTIFS(赛事明细!$P$4:$P$1000,"已结算",赛事明细!$E$4:$E$1000,$A73,赛事明细!$Q$4:$Q$1000,"走")</x:f>
        <x:v>3</x:v>
      </x:c>
      <x:c r="F73" s="41" t="n">
        <x:f>COUNTIFS(赛事明细!$P$4:$P$1000,"已结算",赛事明细!$E$4:$E$1000,$A73,赛事明细!$Q$4:$Q$1000,"半黑")</x:f>
        <x:v>1</x:v>
      </x:c>
      <x:c r="G73" s="41" t="n">
        <x:f>COUNTIFS(赛事明细!$P$4:$P$1000,"已结算",赛事明细!$E$4:$E$1000,$A73,赛事明细!$Q$4:$Q$1000,"黑")</x:f>
        <x:v>1</x:v>
      </x:c>
      <x:c r="H73" s="42">
        <x:f t="shared" si="1"/>
        <x:v>0.666666666666667</x:v>
      </x:c>
      <x:c r="I73" s="43" t="n">
        <x:f>SUMIFS(赛事明细!$S$4:$S$1000,赛事明细!$P$4:$P$1000,"已结算",赛事明细!$E$4:$E$1000,$A73)</x:f>
        <x:v>1.1400000000000001</x:v>
      </x:c>
      <x:c r="J73" s="42">
        <x:f t="shared" si="2"/>
        <x:v>0.1425</x:v>
      </x:c>
      <x:c r="K73" s="41" t="str">
        <x:f t="shared" si="3"/>
      </x:c>
    </x:row>
    <x:row r="74" ht="24" customHeight="1">
      <x:c r="A74" s="41" t="s">
        <x:v>674</x:v>
      </x:c>
      <x:c r="B74" s="41" t="n">
        <x:f>COUNTIFS(赛事明细!$P$4:$P$1000,"已结算",赛事明细!$E$4:$E$1000,$A74)</x:f>
        <x:v>11</x:v>
      </x:c>
      <x:c r="C74" s="41" t="n">
        <x:f>COUNTIFS(赛事明细!$P$4:$P$1000,"已结算",赛事明细!$E$4:$E$1000,$A74,赛事明细!$Q$4:$Q$1000,"红")</x:f>
        <x:v>3</x:v>
      </x:c>
      <x:c r="D74" s="41" t="n">
        <x:f>COUNTIFS(赛事明细!$P$4:$P$1000,"已结算",赛事明细!$E$4:$E$1000,$A74,赛事明细!$Q$4:$Q$1000,"半红")</x:f>
        <x:v>2</x:v>
      </x:c>
      <x:c r="E74" s="41" t="n">
        <x:f>COUNTIFS(赛事明细!$P$4:$P$1000,"已结算",赛事明细!$E$4:$E$1000,$A74,赛事明细!$Q$4:$Q$1000,"走")</x:f>
        <x:v>0</x:v>
      </x:c>
      <x:c r="F74" s="41" t="n">
        <x:f>COUNTIFS(赛事明细!$P$4:$P$1000,"已结算",赛事明细!$E$4:$E$1000,$A74,赛事明细!$Q$4:$Q$1000,"半黑")</x:f>
        <x:v>2</x:v>
      </x:c>
      <x:c r="G74" s="41" t="n">
        <x:f>COUNTIFS(赛事明细!$P$4:$P$1000,"已结算",赛事明细!$E$4:$E$1000,$A74,赛事明细!$Q$4:$Q$1000,"黑")</x:f>
        <x:v>4</x:v>
      </x:c>
      <x:c r="H74" s="42">
        <x:f t="shared" si="1"/>
        <x:v>0.4</x:v>
      </x:c>
      <x:c r="I74" s="43" t="n">
        <x:f>SUMIFS(赛事明细!$S$4:$S$1000,赛事明细!$P$4:$P$1000,"已结算",赛事明细!$E$4:$E$1000,$A74)</x:f>
        <x:v>-1.6249999999999996</x:v>
      </x:c>
      <x:c r="J74" s="42">
        <x:f t="shared" si="2"/>
        <x:v>-0.210555555555555</x:v>
      </x:c>
      <x:c r="K74" s="41" t="str">
        <x:f t="shared" si="3"/>
      </x:c>
    </x:row>
    <x:row r="75" ht="24" customHeight="1">
      <x:c r="A75" s="41" t="s">
        <x:v>678</x:v>
      </x:c>
      <x:c r="B75" s="41" t="n">
        <x:f>COUNTIFS(赛事明细!$P$4:$P$1000,"已结算",赛事明细!$E$4:$E$1000,$A75)</x:f>
        <x:v>6</x:v>
      </x:c>
      <x:c r="C75" s="41" t="n">
        <x:f>COUNTIFS(赛事明细!$P$4:$P$1000,"已结算",赛事明细!$E$4:$E$1000,$A75,赛事明细!$Q$4:$Q$1000,"红")</x:f>
        <x:v>1</x:v>
      </x:c>
      <x:c r="D75" s="41" t="n">
        <x:f>COUNTIFS(赛事明细!$P$4:$P$1000,"已结算",赛事明细!$E$4:$E$1000,$A75,赛事明细!$Q$4:$Q$1000,"半红")</x:f>
        <x:v>0</x:v>
      </x:c>
      <x:c r="E75" s="41" t="n">
        <x:f>COUNTIFS(赛事明细!$P$4:$P$1000,"已结算",赛事明细!$E$4:$E$1000,$A75,赛事明细!$Q$4:$Q$1000,"走")</x:f>
        <x:v>1</x:v>
      </x:c>
      <x:c r="F75" s="41" t="n">
        <x:f>COUNTIFS(赛事明细!$P$4:$P$1000,"已结算",赛事明细!$E$4:$E$1000,$A75,赛事明细!$Q$4:$Q$1000,"半黑")</x:f>
        <x:v>1</x:v>
      </x:c>
      <x:c r="G75" s="41" t="n">
        <x:f>COUNTIFS(赛事明细!$P$4:$P$1000,"已结算",赛事明细!$E$4:$E$1000,$A75,赛事明细!$Q$4:$Q$1000,"黑")</x:f>
        <x:v>3</x:v>
      </x:c>
      <x:c r="H75" s="42">
        <x:f t="shared" si="1"/>
        <x:v>0.222222222222222</x:v>
      </x:c>
      <x:c r="I75" s="43" t="n">
        <x:f>SUMIFS(赛事明细!$S$4:$S$1000,赛事明细!$P$4:$P$1000,"已结算",赛事明细!$E$4:$E$1000,$A75)</x:f>
        <x:v>-2.68</x:v>
      </x:c>
      <x:c r="J75" s="42">
        <x:f t="shared" si="2"/>
        <x:v>-0.446666666666667</x:v>
      </x:c>
      <x:c r="K75" s="41" t="str">
        <x:f t="shared" si="3"/>
      </x:c>
    </x:row>
    <x:row r="76" ht="24" customHeight="1">
      <x:c r="A76" s="41" t="s">
        <x:v>687</x:v>
      </x:c>
      <x:c r="B76" s="41" t="n">
        <x:f>COUNTIFS(赛事明细!$P$4:$P$1000,"已结算",赛事明细!$E$4:$E$1000,$A76)</x:f>
        <x:v>13</x:v>
      </x:c>
      <x:c r="C76" s="41" t="n">
        <x:f>COUNTIFS(赛事明细!$P$4:$P$1000,"已结算",赛事明细!$E$4:$E$1000,$A76,赛事明细!$Q$4:$Q$1000,"红")</x:f>
        <x:v>5</x:v>
      </x:c>
      <x:c r="D76" s="41" t="n">
        <x:f>COUNTIFS(赛事明细!$P$4:$P$1000,"已结算",赛事明细!$E$4:$E$1000,$A76,赛事明细!$Q$4:$Q$1000,"半红")</x:f>
        <x:v>3</x:v>
      </x:c>
      <x:c r="E76" s="41" t="n">
        <x:f>COUNTIFS(赛事明细!$P$4:$P$1000,"已结算",赛事明细!$E$4:$E$1000,$A76,赛事明细!$Q$4:$Q$1000,"走")</x:f>
        <x:v>0</x:v>
      </x:c>
      <x:c r="F76" s="41" t="n">
        <x:f>COUNTIFS(赛事明细!$P$4:$P$1000,"已结算",赛事明细!$E$4:$E$1000,$A76,赛事明细!$Q$4:$Q$1000,"半黑")</x:f>
        <x:v>0</x:v>
      </x:c>
      <x:c r="G76" s="41" t="n">
        <x:f>COUNTIFS(赛事明细!$P$4:$P$1000,"已结算",赛事明细!$E$4:$E$1000,$A76,赛事明细!$Q$4:$Q$1000,"黑")</x:f>
        <x:v>5</x:v>
      </x:c>
      <x:c r="H76" s="42">
        <x:f t="shared" si="1"/>
        <x:v>0.692307692307692</x:v>
      </x:c>
      <x:c r="I76" s="43" t="n">
        <x:f>SUMIFS(赛事明细!$S$4:$S$1000,赛事明细!$P$4:$P$1000,"已结算",赛事明细!$E$4:$E$1000,$A76)</x:f>
        <x:v>1.7799999999999998</x:v>
      </x:c>
      <x:c r="J76" s="42">
        <x:f t="shared" si="2"/>
        <x:v>0.2125</x:v>
      </x:c>
      <x:c r="K76" s="41" t="str">
        <x:f t="shared" si="3"/>
      </x:c>
    </x:row>
    <x:row r="77" ht="24" customHeight="1">
      <x:c r="A77" s="41" t="s">
        <x:v>726</x:v>
      </x:c>
      <x:c r="B77" s="41" t="n">
        <x:f>COUNTIFS(赛事明细!$P$4:$P$1000,"已结算",赛事明细!$E$4:$E$1000,$A77)</x:f>
        <x:v>2</x:v>
      </x:c>
      <x:c r="C77" s="41" t="n">
        <x:f>COUNTIFS(赛事明细!$P$4:$P$1000,"已结算",赛事明细!$E$4:$E$1000,$A77,赛事明细!$Q$4:$Q$1000,"红")</x:f>
        <x:v>1</x:v>
      </x:c>
      <x:c r="D77" s="41" t="n">
        <x:f>COUNTIFS(赛事明细!$P$4:$P$1000,"已结算",赛事明细!$E$4:$E$1000,$A77,赛事明细!$Q$4:$Q$1000,"半红")</x:f>
        <x:v>0</x:v>
      </x:c>
      <x:c r="E77" s="41" t="n">
        <x:f>COUNTIFS(赛事明细!$P$4:$P$1000,"已结算",赛事明细!$E$4:$E$1000,$A77,赛事明细!$Q$4:$Q$1000,"走")</x:f>
        <x:v>0</x:v>
      </x:c>
      <x:c r="F77" s="41" t="n">
        <x:f>COUNTIFS(赛事明细!$P$4:$P$1000,"已结算",赛事明细!$E$4:$E$1000,$A77,赛事明细!$Q$4:$Q$1000,"半黑")</x:f>
        <x:v>0</x:v>
      </x:c>
      <x:c r="G77" s="41" t="n">
        <x:f>COUNTIFS(赛事明细!$P$4:$P$1000,"已结算",赛事明细!$E$4:$E$1000,$A77,赛事明细!$Q$4:$Q$1000,"黑")</x:f>
        <x:v>1</x:v>
      </x:c>
      <x:c r="H77" s="42" t="n">
        <x:f t="shared" ref="H77:H140" si="4">IFERROR((C77+0.5*D77)/(C77+0.5*D77+G77+0.5*F77),0)</x:f>
        <x:v>0.5</x:v>
      </x:c>
      <x:c r="I77" s="43" t="n">
        <x:f>SUMIFS(赛事明细!$S$4:$S$1000,赛事明细!$P$4:$P$1000,"已结算",赛事明细!$E$4:$E$1000,$A77)</x:f>
        <x:v>0.06000000000000005</x:v>
      </x:c>
      <x:c r="J77" s="42" t="n">
        <x:f t="shared" ref="J77:J140" si="5">IFERROR(I77/B77,0)</x:f>
        <x:v>0.030000000000000027</x:v>
      </x:c>
      <x:c r="K77" s="41" t="str">
        <x:f t="shared" ref="K77:K140" si="6">IF(B77&lt;5,"样本&lt;5，谨慎解读","")</x:f>
        <x:v>样本&lt;5，谨慎解读</x:v>
      </x:c>
    </x:row>
    <x:row r="78" ht="24" customHeight="1">
      <x:c r="A78" s="41" t="s">
        <x:v>730</x:v>
      </x:c>
      <x:c r="B78" s="41" t="n">
        <x:f>COUNTIFS(赛事明细!$P$4:$P$1000,"已结算",赛事明细!$E$4:$E$1000,$A78)</x:f>
        <x:v>10</x:v>
      </x:c>
      <x:c r="C78" s="41" t="n">
        <x:f>COUNTIFS(赛事明细!$P$4:$P$1000,"已结算",赛事明细!$E$4:$E$1000,$A78,赛事明细!$Q$4:$Q$1000,"红")</x:f>
        <x:v>5</x:v>
      </x:c>
      <x:c r="D78" s="41" t="n">
        <x:f>COUNTIFS(赛事明细!$P$4:$P$1000,"已结算",赛事明细!$E$4:$E$1000,$A78,赛事明细!$Q$4:$Q$1000,"半红")</x:f>
        <x:v>1</x:v>
      </x:c>
      <x:c r="E78" s="41" t="n">
        <x:f>COUNTIFS(赛事明细!$P$4:$P$1000,"已结算",赛事明细!$E$4:$E$1000,$A78,赛事明细!$Q$4:$Q$1000,"走")</x:f>
        <x:v>1</x:v>
      </x:c>
      <x:c r="F78" s="41" t="n">
        <x:f>COUNTIFS(赛事明细!$P$4:$P$1000,"已结算",赛事明细!$E$4:$E$1000,$A78,赛事明细!$Q$4:$Q$1000,"半黑")</x:f>
        <x:v>1</x:v>
      </x:c>
      <x:c r="G78" s="41" t="n">
        <x:f>COUNTIFS(赛事明细!$P$4:$P$1000,"已结算",赛事明细!$E$4:$E$1000,$A78,赛事明细!$Q$4:$Q$1000,"黑")</x:f>
        <x:v>2</x:v>
      </x:c>
      <x:c r="H78" s="42">
        <x:f t="shared" si="4"/>
        <x:v>0.6875</x:v>
      </x:c>
      <x:c r="I78" s="43" t="n">
        <x:f>SUMIFS(赛事明细!$S$4:$S$1000,赛事明细!$P$4:$P$1000,"已结算",赛事明细!$E$4:$E$1000,$A78)</x:f>
        <x:v>2.205</x:v>
      </x:c>
      <x:c r="J78" s="42">
        <x:f t="shared" si="5"/>
        <x:v>0.2205</x:v>
      </x:c>
      <x:c r="K78" s="41" t="str">
        <x:f t="shared" si="6"/>
      </x:c>
    </x:row>
    <x:row r="79" ht="24" customHeight="1">
      <x:c r="A79" s="41" t="s">
        <x:v>747</x:v>
      </x:c>
      <x:c r="B79" s="41" t="n">
        <x:f>COUNTIFS(赛事明细!$P$4:$P$1000,"已结算",赛事明细!$E$4:$E$1000,$A79)</x:f>
        <x:v>6</x:v>
      </x:c>
      <x:c r="C79" s="41" t="n">
        <x:f>COUNTIFS(赛事明细!$P$4:$P$1000,"已结算",赛事明细!$E$4:$E$1000,$A79,赛事明细!$Q$4:$Q$1000,"红")</x:f>
        <x:v>5</x:v>
      </x:c>
      <x:c r="D79" s="41" t="n">
        <x:f>COUNTIFS(赛事明细!$P$4:$P$1000,"已结算",赛事明细!$E$4:$E$1000,$A79,赛事明细!$Q$4:$Q$1000,"半红")</x:f>
        <x:v>0</x:v>
      </x:c>
      <x:c r="E79" s="41" t="n">
        <x:f>COUNTIFS(赛事明细!$P$4:$P$1000,"已结算",赛事明细!$E$4:$E$1000,$A79,赛事明细!$Q$4:$Q$1000,"走")</x:f>
        <x:v>0</x:v>
      </x:c>
      <x:c r="F79" s="41" t="n">
        <x:f>COUNTIFS(赛事明细!$P$4:$P$1000,"已结算",赛事明细!$E$4:$E$1000,$A79,赛事明细!$Q$4:$Q$1000,"半黑")</x:f>
        <x:v>1</x:v>
      </x:c>
      <x:c r="G79" s="41" t="n">
        <x:f>COUNTIFS(赛事明细!$P$4:$P$1000,"已结算",赛事明细!$E$4:$E$1000,$A79,赛事明细!$Q$4:$Q$1000,"黑")</x:f>
        <x:v>0</x:v>
      </x:c>
      <x:c r="H79" s="42">
        <x:f t="shared" si="4"/>
        <x:v>0.909090909090909</x:v>
      </x:c>
      <x:c r="I79" s="43" t="n">
        <x:f>SUMIFS(赛事明细!$S$4:$S$1000,赛事明细!$P$4:$P$1000,"已结算",赛事明细!$E$4:$E$1000,$A79)</x:f>
        <x:v>3.9400000000000004</x:v>
      </x:c>
      <x:c r="J79" s="42">
        <x:f t="shared" si="5"/>
        <x:v>0.656666666666667</x:v>
      </x:c>
      <x:c r="K79" s="41" t="str">
        <x:f t="shared" si="6"/>
      </x:c>
    </x:row>
    <x:row r="80" ht="24" customHeight="1">
      <x:c r="A80" s="41" t="s">
        <x:v>755</x:v>
      </x:c>
      <x:c r="B80" s="41" t="n">
        <x:f>COUNTIFS(赛事明细!$P$4:$P$1000,"已结算",赛事明细!$E$4:$E$1000,$A80)</x:f>
        <x:v>2</x:v>
      </x:c>
      <x:c r="C80" s="41" t="n">
        <x:f>COUNTIFS(赛事明细!$P$4:$P$1000,"已结算",赛事明细!$E$4:$E$1000,$A80,赛事明细!$Q$4:$Q$1000,"红")</x:f>
        <x:v>1</x:v>
      </x:c>
      <x:c r="D80" s="41" t="n">
        <x:f>COUNTIFS(赛事明细!$P$4:$P$1000,"已结算",赛事明细!$E$4:$E$1000,$A80,赛事明细!$Q$4:$Q$1000,"半红")</x:f>
        <x:v>0</x:v>
      </x:c>
      <x:c r="E80" s="41" t="n">
        <x:f>COUNTIFS(赛事明细!$P$4:$P$1000,"已结算",赛事明细!$E$4:$E$1000,$A80,赛事明细!$Q$4:$Q$1000,"走")</x:f>
        <x:v>0</x:v>
      </x:c>
      <x:c r="F80" s="41" t="n">
        <x:f>COUNTIFS(赛事明细!$P$4:$P$1000,"已结算",赛事明细!$E$4:$E$1000,$A80,赛事明细!$Q$4:$Q$1000,"半黑")</x:f>
        <x:v>1</x:v>
      </x:c>
      <x:c r="G80" s="41" t="n">
        <x:f>COUNTIFS(赛事明细!$P$4:$P$1000,"已结算",赛事明细!$E$4:$E$1000,$A80,赛事明细!$Q$4:$Q$1000,"黑")</x:f>
        <x:v>0</x:v>
      </x:c>
      <x:c r="H80" s="42">
        <x:f t="shared" si="4"/>
        <x:v>0.666666666666667</x:v>
      </x:c>
      <x:c r="I80" s="43" t="n">
        <x:f>SUMIFS(赛事明细!$S$4:$S$1000,赛事明细!$P$4:$P$1000,"已结算",赛事明细!$E$4:$E$1000,$A80)</x:f>
        <x:v>0.36</x:v>
      </x:c>
      <x:c r="J80" s="42">
        <x:f t="shared" si="5"/>
        <x:v>0.18</x:v>
      </x:c>
      <x:c r="K80" s="41" t="str">
        <x:f t="shared" si="6"/>
        <x:v>样本&lt;5，谨慎解读</x:v>
      </x:c>
    </x:row>
    <x:row r="81" ht="24" customHeight="1">
      <x:c r="A81" s="41" t="s">
        <x:v>759</x:v>
      </x:c>
      <x:c r="B81" s="41" t="n">
        <x:f>COUNTIFS(赛事明细!$P$4:$P$1000,"已结算",赛事明细!$E$4:$E$1000,$A81)</x:f>
        <x:v>4</x:v>
      </x:c>
      <x:c r="C81" s="41" t="n">
        <x:f>COUNTIFS(赛事明细!$P$4:$P$1000,"已结算",赛事明细!$E$4:$E$1000,$A81,赛事明细!$Q$4:$Q$1000,"红")</x:f>
        <x:v>3</x:v>
      </x:c>
      <x:c r="D81" s="41" t="n">
        <x:f>COUNTIFS(赛事明细!$P$4:$P$1000,"已结算",赛事明细!$E$4:$E$1000,$A81,赛事明细!$Q$4:$Q$1000,"半红")</x:f>
        <x:v>1</x:v>
      </x:c>
      <x:c r="E81" s="41" t="n">
        <x:f>COUNTIFS(赛事明细!$P$4:$P$1000,"已结算",赛事明细!$E$4:$E$1000,$A81,赛事明细!$Q$4:$Q$1000,"走")</x:f>
        <x:v>0</x:v>
      </x:c>
      <x:c r="F81" s="41" t="n">
        <x:f>COUNTIFS(赛事明细!$P$4:$P$1000,"已结算",赛事明细!$E$4:$E$1000,$A81,赛事明细!$Q$4:$Q$1000,"半黑")</x:f>
        <x:v>0</x:v>
      </x:c>
      <x:c r="G81" s="41" t="n">
        <x:f>COUNTIFS(赛事明细!$P$4:$P$1000,"已结算",赛事明细!$E$4:$E$1000,$A81,赛事明细!$Q$4:$Q$1000,"黑")</x:f>
        <x:v>0</x:v>
      </x:c>
      <x:c r="H81" s="42">
        <x:f t="shared" si="4"/>
        <x:v>1</x:v>
      </x:c>
      <x:c r="I81" s="43" t="n">
        <x:f>SUMIFS(赛事明细!$S$4:$S$1000,赛事明细!$P$4:$P$1000,"已结算",赛事明细!$E$4:$E$1000,$A81)</x:f>
        <x:v>2.88</x:v>
      </x:c>
      <x:c r="J81" s="42">
        <x:f t="shared" si="5"/>
        <x:v>0.72</x:v>
      </x:c>
      <x:c r="K81" s="41" t="str">
        <x:f t="shared" si="6"/>
        <x:v>样本&lt;5，谨慎解读</x:v>
      </x:c>
    </x:row>
    <x:row r="82" ht="24" customHeight="1">
      <x:c r="A82" s="41" t="s">
        <x:v>764</x:v>
      </x:c>
      <x:c r="B82" s="41" t="n">
        <x:f>COUNTIFS(赛事明细!$P$4:$P$1000,"已结算",赛事明细!$E$4:$E$1000,$A82)</x:f>
        <x:v>12</x:v>
      </x:c>
      <x:c r="C82" s="41" t="n">
        <x:f>COUNTIFS(赛事明细!$P$4:$P$1000,"已结算",赛事明细!$E$4:$E$1000,$A82,赛事明细!$Q$4:$Q$1000,"红")</x:f>
        <x:v>7</x:v>
      </x:c>
      <x:c r="D82" s="41" t="n">
        <x:f>COUNTIFS(赛事明细!$P$4:$P$1000,"已结算",赛事明细!$E$4:$E$1000,$A82,赛事明细!$Q$4:$Q$1000,"半红")</x:f>
        <x:v>0</x:v>
      </x:c>
      <x:c r="E82" s="41" t="n">
        <x:f>COUNTIFS(赛事明细!$P$4:$P$1000,"已结算",赛事明细!$E$4:$E$1000,$A82,赛事明细!$Q$4:$Q$1000,"走")</x:f>
        <x:v>1</x:v>
      </x:c>
      <x:c r="F82" s="41" t="n">
        <x:f>COUNTIFS(赛事明细!$P$4:$P$1000,"已结算",赛事明细!$E$4:$E$1000,$A82,赛事明细!$Q$4:$Q$1000,"半黑")</x:f>
        <x:v>1</x:v>
      </x:c>
      <x:c r="G82" s="41" t="n">
        <x:f>COUNTIFS(赛事明细!$P$4:$P$1000,"已结算",赛事明细!$E$4:$E$1000,$A82,赛事明细!$Q$4:$Q$1000,"黑")</x:f>
        <x:v>3</x:v>
      </x:c>
      <x:c r="H82" s="42">
        <x:f t="shared" si="4"/>
        <x:v>0.588235294117647</x:v>
      </x:c>
      <x:c r="I82" s="43" t="n">
        <x:f>SUMIFS(赛事明细!$S$4:$S$1000,赛事明细!$P$4:$P$1000,"已结算",赛事明细!$E$4:$E$1000,$A82)</x:f>
        <x:v>2.15</x:v>
      </x:c>
      <x:c r="J82" s="42">
        <x:f t="shared" si="5"/>
        <x:v>0.053</x:v>
      </x:c>
      <x:c r="K82" s="41" t="str">
        <x:f t="shared" si="6"/>
      </x:c>
    </x:row>
    <x:row r="83" ht="24" customHeight="1">
      <x:c r="A83" s="41" t="s">
        <x:v>769</x:v>
      </x:c>
      <x:c r="B83" s="41" t="n">
        <x:f>COUNTIFS(赛事明细!$P$4:$P$1000,"已结算",赛事明细!$E$4:$E$1000,$A83)</x:f>
        <x:v>3</x:v>
      </x:c>
      <x:c r="C83" s="41" t="n">
        <x:f>COUNTIFS(赛事明细!$P$4:$P$1000,"已结算",赛事明细!$E$4:$E$1000,$A83,赛事明细!$Q$4:$Q$1000,"红")</x:f>
        <x:v>1</x:v>
      </x:c>
      <x:c r="D83" s="41" t="n">
        <x:f>COUNTIFS(赛事明细!$P$4:$P$1000,"已结算",赛事明细!$E$4:$E$1000,$A83,赛事明细!$Q$4:$Q$1000,"半红")</x:f>
        <x:v>0</x:v>
      </x:c>
      <x:c r="E83" s="41" t="n">
        <x:f>COUNTIFS(赛事明细!$P$4:$P$1000,"已结算",赛事明细!$E$4:$E$1000,$A83,赛事明细!$Q$4:$Q$1000,"走")</x:f>
        <x:v>1</x:v>
      </x:c>
      <x:c r="F83" s="41" t="n">
        <x:f>COUNTIFS(赛事明细!$P$4:$P$1000,"已结算",赛事明细!$E$4:$E$1000,$A83,赛事明细!$Q$4:$Q$1000,"半黑")</x:f>
        <x:v>1</x:v>
      </x:c>
      <x:c r="G83" s="41" t="n">
        <x:f>COUNTIFS(赛事明细!$P$4:$P$1000,"已结算",赛事明细!$E$4:$E$1000,$A83,赛事明细!$Q$4:$Q$1000,"黑")</x:f>
        <x:v>0</x:v>
      </x:c>
      <x:c r="H83" s="42">
        <x:f t="shared" si="4"/>
        <x:v>0.666666666666667</x:v>
      </x:c>
      <x:c r="I83" s="43" t="n">
        <x:f>SUMIFS(赛事明细!$S$4:$S$1000,赛事明细!$P$4:$P$1000,"已结算",赛事明细!$E$4:$E$1000,$A83)</x:f>
        <x:v>0.5</x:v>
      </x:c>
      <x:c r="J83" s="42">
        <x:f t="shared" si="5"/>
        <x:v>0.166666666666667</x:v>
      </x:c>
      <x:c r="K83" s="41" t="str">
        <x:f t="shared" si="6"/>
        <x:v>样本&lt;5，谨慎解读</x:v>
      </x:c>
    </x:row>
    <x:row r="84" ht="24" customHeight="1">
      <x:c r="A84" s="41" t="s">
        <x:v>773</x:v>
      </x:c>
      <x:c r="B84" s="41" t="n">
        <x:f>COUNTIFS(赛事明细!$P$4:$P$1000,"已结算",赛事明细!$E$4:$E$1000,$A84)</x:f>
        <x:v>6</x:v>
      </x:c>
      <x:c r="C84" s="41" t="n">
        <x:f>COUNTIFS(赛事明细!$P$4:$P$1000,"已结算",赛事明细!$E$4:$E$1000,$A84,赛事明细!$Q$4:$Q$1000,"红")</x:f>
        <x:v>1</x:v>
      </x:c>
      <x:c r="D84" s="41" t="n">
        <x:f>COUNTIFS(赛事明细!$P$4:$P$1000,"已结算",赛事明细!$E$4:$E$1000,$A84,赛事明细!$Q$4:$Q$1000,"半红")</x:f>
        <x:v>0</x:v>
      </x:c>
      <x:c r="E84" s="41" t="n">
        <x:f>COUNTIFS(赛事明细!$P$4:$P$1000,"已结算",赛事明细!$E$4:$E$1000,$A84,赛事明细!$Q$4:$Q$1000,"走")</x:f>
        <x:v>2</x:v>
      </x:c>
      <x:c r="F84" s="41" t="n">
        <x:f>COUNTIFS(赛事明细!$P$4:$P$1000,"已结算",赛事明细!$E$4:$E$1000,$A84,赛事明细!$Q$4:$Q$1000,"半黑")</x:f>
        <x:v>1</x:v>
      </x:c>
      <x:c r="G84" s="41" t="n">
        <x:f>COUNTIFS(赛事明细!$P$4:$P$1000,"已结算",赛事明细!$E$4:$E$1000,$A84,赛事明细!$Q$4:$Q$1000,"黑")</x:f>
        <x:v>2</x:v>
      </x:c>
      <x:c r="H84" s="42">
        <x:f t="shared" si="4"/>
        <x:v>0.285714285714286</x:v>
      </x:c>
      <x:c r="I84" s="43" t="n">
        <x:f>SUMIFS(赛事明细!$S$4:$S$1000,赛事明细!$P$4:$P$1000,"已结算",赛事明细!$E$4:$E$1000,$A84)</x:f>
        <x:v>-1.71</x:v>
      </x:c>
      <x:c r="J84" s="42">
        <x:f t="shared" si="5"/>
        <x:v>-0.285</x:v>
      </x:c>
      <x:c r="K84" s="41" t="str">
        <x:f t="shared" si="6"/>
      </x:c>
    </x:row>
    <x:row r="85" ht="24" customHeight="1">
      <x:c r="A85" s="41" t="s">
        <x:v>784</x:v>
      </x:c>
      <x:c r="B85" s="41" t="n">
        <x:f>COUNTIFS(赛事明细!$P$4:$P$1000,"已结算",赛事明细!$E$4:$E$1000,$A85)</x:f>
        <x:v>3</x:v>
      </x:c>
      <x:c r="C85" s="41" t="n">
        <x:f>COUNTIFS(赛事明细!$P$4:$P$1000,"已结算",赛事明细!$E$4:$E$1000,$A85,赛事明细!$Q$4:$Q$1000,"红")</x:f>
        <x:v>1</x:v>
      </x:c>
      <x:c r="D85" s="41" t="n">
        <x:f>COUNTIFS(赛事明细!$P$4:$P$1000,"已结算",赛事明细!$E$4:$E$1000,$A85,赛事明细!$Q$4:$Q$1000,"半红")</x:f>
        <x:v>0</x:v>
      </x:c>
      <x:c r="E85" s="41" t="n">
        <x:f>COUNTIFS(赛事明细!$P$4:$P$1000,"已结算",赛事明细!$E$4:$E$1000,$A85,赛事明细!$Q$4:$Q$1000,"走")</x:f>
        <x:v>1</x:v>
      </x:c>
      <x:c r="F85" s="41" t="n">
        <x:f>COUNTIFS(赛事明细!$P$4:$P$1000,"已结算",赛事明细!$E$4:$E$1000,$A85,赛事明细!$Q$4:$Q$1000,"半黑")</x:f>
        <x:v>0</x:v>
      </x:c>
      <x:c r="G85" s="41" t="n">
        <x:f>COUNTIFS(赛事明细!$P$4:$P$1000,"已结算",赛事明细!$E$4:$E$1000,$A85,赛事明细!$Q$4:$Q$1000,"黑")</x:f>
        <x:v>1</x:v>
      </x:c>
      <x:c r="H85" s="42">
        <x:f t="shared" si="4"/>
        <x:v>0.5</x:v>
      </x:c>
      <x:c r="I85" s="43" t="n">
        <x:f>SUMIFS(赛事明细!$S$4:$S$1000,赛事明细!$P$4:$P$1000,"已结算",赛事明细!$E$4:$E$1000,$A85)</x:f>
        <x:v>-0.020000000000000018</x:v>
      </x:c>
      <x:c r="J85" s="42">
        <x:f t="shared" si="5"/>
        <x:v>-0.00666666666666667</x:v>
      </x:c>
      <x:c r="K85" s="41" t="str">
        <x:f t="shared" si="6"/>
        <x:v>样本&lt;5，谨慎解读</x:v>
      </x:c>
    </x:row>
    <x:row r="86" ht="24" customHeight="1">
      <x:c r="A86" s="41" t="s">
        <x:v>789</x:v>
      </x:c>
      <x:c r="B86" s="41" t="n">
        <x:f>COUNTIFS(赛事明细!$P$4:$P$1000,"已结算",赛事明细!$E$4:$E$1000,$A86)</x:f>
        <x:v>7</x:v>
      </x:c>
      <x:c r="C86" s="41" t="n">
        <x:f>COUNTIFS(赛事明细!$P$4:$P$1000,"已结算",赛事明细!$E$4:$E$1000,$A86,赛事明细!$Q$4:$Q$1000,"红")</x:f>
        <x:v>2</x:v>
      </x:c>
      <x:c r="D86" s="41" t="n">
        <x:f>COUNTIFS(赛事明细!$P$4:$P$1000,"已结算",赛事明细!$E$4:$E$1000,$A86,赛事明细!$Q$4:$Q$1000,"半红")</x:f>
        <x:v>1</x:v>
      </x:c>
      <x:c r="E86" s="41" t="n">
        <x:f>COUNTIFS(赛事明细!$P$4:$P$1000,"已结算",赛事明细!$E$4:$E$1000,$A86,赛事明细!$Q$4:$Q$1000,"走")</x:f>
        <x:v>0</x:v>
      </x:c>
      <x:c r="F86" s="41" t="n">
        <x:f>COUNTIFS(赛事明细!$P$4:$P$1000,"已结算",赛事明细!$E$4:$E$1000,$A86,赛事明细!$Q$4:$Q$1000,"半黑")</x:f>
        <x:v>1</x:v>
      </x:c>
      <x:c r="G86" s="41" t="n">
        <x:f>COUNTIFS(赛事明细!$P$4:$P$1000,"已结算",赛事明细!$E$4:$E$1000,$A86,赛事明细!$Q$4:$Q$1000,"黑")</x:f>
        <x:v>3</x:v>
      </x:c>
      <x:c r="H86" s="42">
        <x:f t="shared" si="4"/>
        <x:v>0.416666666666667</x:v>
      </x:c>
      <x:c r="I86" s="43" t="n">
        <x:f>SUMIFS(赛事明细!$S$4:$S$1000,赛事明细!$P$4:$P$1000,"已结算",赛事明细!$E$4:$E$1000,$A86)</x:f>
        <x:v>-1.3049999999999997</x:v>
      </x:c>
      <x:c r="J86" s="42">
        <x:f t="shared" si="5"/>
        <x:v>-0.186428571428571</x:v>
      </x:c>
      <x:c r="K86" s="41" t="str">
        <x:f t="shared" si="6"/>
      </x:c>
    </x:row>
    <x:row r="87" ht="24" customHeight="1">
      <x:c r="A87" s="41" t="s">
        <x:v>812</x:v>
      </x:c>
      <x:c r="B87" s="41" t="n">
        <x:f>COUNTIFS(赛事明细!$P$4:$P$1000,"已结算",赛事明细!$E$4:$E$1000,$A87)</x:f>
        <x:v>6</x:v>
      </x:c>
      <x:c r="C87" s="41" t="n">
        <x:f>COUNTIFS(赛事明细!$P$4:$P$1000,"已结算",赛事明细!$E$4:$E$1000,$A87,赛事明细!$Q$4:$Q$1000,"红")</x:f>
        <x:v>2</x:v>
      </x:c>
      <x:c r="D87" s="41" t="n">
        <x:f>COUNTIFS(赛事明细!$P$4:$P$1000,"已结算",赛事明细!$E$4:$E$1000,$A87,赛事明细!$Q$4:$Q$1000,"半红")</x:f>
        <x:v>1</x:v>
      </x:c>
      <x:c r="E87" s="41" t="n">
        <x:f>COUNTIFS(赛事明细!$P$4:$P$1000,"已结算",赛事明细!$E$4:$E$1000,$A87,赛事明细!$Q$4:$Q$1000,"走")</x:f>
        <x:v>1</x:v>
      </x:c>
      <x:c r="F87" s="41" t="n">
        <x:f>COUNTIFS(赛事明细!$P$4:$P$1000,"已结算",赛事明细!$E$4:$E$1000,$A87,赛事明细!$Q$4:$Q$1000,"半黑")</x:f>
        <x:v>0</x:v>
      </x:c>
      <x:c r="G87" s="41" t="n">
        <x:f>COUNTIFS(赛事明细!$P$4:$P$1000,"已结算",赛事明细!$E$4:$E$1000,$A87,赛事明细!$Q$4:$Q$1000,"黑")</x:f>
        <x:v>2</x:v>
      </x:c>
      <x:c r="H87" s="42">
        <x:f t="shared" si="4"/>
        <x:v>0.555555555555556</x:v>
      </x:c>
      <x:c r="I87" s="43" t="n">
        <x:f>SUMIFS(赛事明细!$S$4:$S$1000,赛事明细!$P$4:$P$1000,"已结算",赛事明细!$E$4:$E$1000,$A87)</x:f>
        <x:v>0.33000000000000007</x:v>
      </x:c>
      <x:c r="J87" s="42">
        <x:f t="shared" si="5"/>
        <x:v>0.055</x:v>
      </x:c>
      <x:c r="K87" s="41" t="str">
        <x:f t="shared" si="6"/>
      </x:c>
    </x:row>
    <x:row r="88" ht="24" customHeight="1">
      <x:c r="A88" s="41" t="s">
        <x:v>816</x:v>
      </x:c>
      <x:c r="B88" s="41" t="n">
        <x:f>COUNTIFS(赛事明细!$P$4:$P$1000,"已结算",赛事明细!$E$4:$E$1000,$A88)</x:f>
        <x:v>5</x:v>
      </x:c>
      <x:c r="C88" s="41" t="n">
        <x:f>COUNTIFS(赛事明细!$P$4:$P$1000,"已结算",赛事明细!$E$4:$E$1000,$A88,赛事明细!$Q$4:$Q$1000,"红")</x:f>
        <x:v>2</x:v>
      </x:c>
      <x:c r="D88" s="41" t="n">
        <x:f>COUNTIFS(赛事明细!$P$4:$P$1000,"已结算",赛事明细!$E$4:$E$1000,$A88,赛事明细!$Q$4:$Q$1000,"半红")</x:f>
        <x:v>0</x:v>
      </x:c>
      <x:c r="E88" s="41" t="n">
        <x:f>COUNTIFS(赛事明细!$P$4:$P$1000,"已结算",赛事明细!$E$4:$E$1000,$A88,赛事明细!$Q$4:$Q$1000,"走")</x:f>
        <x:v>0</x:v>
      </x:c>
      <x:c r="F88" s="41" t="n">
        <x:f>COUNTIFS(赛事明细!$P$4:$P$1000,"已结算",赛事明细!$E$4:$E$1000,$A88,赛事明细!$Q$4:$Q$1000,"半黑")</x:f>
        <x:v>0</x:v>
      </x:c>
      <x:c r="G88" s="41" t="n">
        <x:f>COUNTIFS(赛事明细!$P$4:$P$1000,"已结算",赛事明细!$E$4:$E$1000,$A88,赛事明细!$Q$4:$Q$1000,"黑")</x:f>
        <x:v>3</x:v>
      </x:c>
      <x:c r="H88" s="42">
        <x:f t="shared" si="4"/>
        <x:v>0.4</x:v>
      </x:c>
      <x:c r="I88" s="43" t="n">
        <x:f>SUMIFS(赛事明细!$S$4:$S$1000,赛事明细!$P$4:$P$1000,"已结算",赛事明细!$E$4:$E$1000,$A88)</x:f>
        <x:v>-1.4100000000000001</x:v>
      </x:c>
      <x:c r="J88" s="42">
        <x:f t="shared" si="5"/>
        <x:v>-0.282</x:v>
      </x:c>
      <x:c r="K88" s="41" t="str">
        <x:f t="shared" si="6"/>
      </x:c>
    </x:row>
    <x:row r="89" ht="24" customHeight="1">
      <x:c r="A89" s="41" t="s">
        <x:v>831</x:v>
      </x:c>
      <x:c r="B89" s="41" t="n">
        <x:f>COUNTIFS(赛事明细!$P$4:$P$1000,"已结算",赛事明细!$E$4:$E$1000,$A89)</x:f>
        <x:v>11</x:v>
      </x:c>
      <x:c r="C89" s="41" t="n">
        <x:f>COUNTIFS(赛事明细!$P$4:$P$1000,"已结算",赛事明细!$E$4:$E$1000,$A89,赛事明细!$Q$4:$Q$1000,"红")</x:f>
        <x:v>2</x:v>
      </x:c>
      <x:c r="D89" s="41" t="n">
        <x:f>COUNTIFS(赛事明细!$P$4:$P$1000,"已结算",赛事明细!$E$4:$E$1000,$A89,赛事明细!$Q$4:$Q$1000,"半红")</x:f>
        <x:v>2</x:v>
      </x:c>
      <x:c r="E89" s="41" t="n">
        <x:f>COUNTIFS(赛事明细!$P$4:$P$1000,"已结算",赛事明细!$E$4:$E$1000,$A89,赛事明细!$Q$4:$Q$1000,"走")</x:f>
        <x:v>0</x:v>
      </x:c>
      <x:c r="F89" s="41" t="n">
        <x:f>COUNTIFS(赛事明细!$P$4:$P$1000,"已结算",赛事明细!$E$4:$E$1000,$A89,赛事明细!$Q$4:$Q$1000,"半黑")</x:f>
        <x:v>0</x:v>
      </x:c>
      <x:c r="G89" s="41" t="n">
        <x:f>COUNTIFS(赛事明细!$P$4:$P$1000,"已结算",赛事明细!$E$4:$E$1000,$A89,赛事明细!$Q$4:$Q$1000,"黑")</x:f>
        <x:v>7</x:v>
      </x:c>
      <x:c r="H89" s="42">
        <x:f t="shared" si="4"/>
        <x:v>0.25</x:v>
      </x:c>
      <x:c r="I89" s="43" t="n">
        <x:f>SUMIFS(赛事明细!$S$4:$S$1000,赛事明细!$P$4:$P$1000,"已结算",赛事明细!$E$4:$E$1000,$A89)</x:f>
        <x:v>-4.465</x:v>
      </x:c>
      <x:c r="J89" s="42">
        <x:f t="shared" si="5"/>
        <x:v>-0.477222222222222</x:v>
      </x:c>
      <x:c r="K89" s="41" t="str">
        <x:f t="shared" si="6"/>
      </x:c>
    </x:row>
    <x:row r="90" ht="24" customHeight="1">
      <x:c r="A90" s="41" t="s">
        <x:v>865</x:v>
      </x:c>
      <x:c r="B90" s="41" t="n">
        <x:f>COUNTIFS(赛事明细!$P$4:$P$1000,"已结算",赛事明细!$E$4:$E$1000,$A90)</x:f>
        <x:v>11</x:v>
      </x:c>
      <x:c r="C90" s="41" t="n">
        <x:f>COUNTIFS(赛事明细!$P$4:$P$1000,"已结算",赛事明细!$E$4:$E$1000,$A90,赛事明细!$Q$4:$Q$1000,"红")</x:f>
        <x:v>3</x:v>
      </x:c>
      <x:c r="D90" s="41" t="n">
        <x:f>COUNTIFS(赛事明细!$P$4:$P$1000,"已结算",赛事明细!$E$4:$E$1000,$A90,赛事明细!$Q$4:$Q$1000,"半红")</x:f>
        <x:v>0</x:v>
      </x:c>
      <x:c r="E90" s="41" t="n">
        <x:f>COUNTIFS(赛事明细!$P$4:$P$1000,"已结算",赛事明细!$E$4:$E$1000,$A90,赛事明细!$Q$4:$Q$1000,"走")</x:f>
        <x:v>1</x:v>
      </x:c>
      <x:c r="F90" s="41" t="n">
        <x:f>COUNTIFS(赛事明细!$P$4:$P$1000,"已结算",赛事明细!$E$4:$E$1000,$A90,赛事明细!$Q$4:$Q$1000,"半黑")</x:f>
        <x:v>2</x:v>
      </x:c>
      <x:c r="G90" s="41" t="n">
        <x:f>COUNTIFS(赛事明细!$P$4:$P$1000,"已结算",赛事明细!$E$4:$E$1000,$A90,赛事明细!$Q$4:$Q$1000,"黑")</x:f>
        <x:v>5</x:v>
      </x:c>
      <x:c r="H90" s="42">
        <x:f t="shared" si="4"/>
        <x:v>0.428571428571429</x:v>
      </x:c>
      <x:c r="I90" s="43" t="n">
        <x:f>SUMIFS(赛事明细!$S$4:$S$1000,赛事明细!$P$4:$P$1000,"已结算",赛事明细!$E$4:$E$1000,$A90)</x:f>
        <x:v>-1.4</x:v>
      </x:c>
      <x:c r="J90" s="42">
        <x:f t="shared" si="5"/>
        <x:v>-0.1025</x:v>
      </x:c>
      <x:c r="K90" s="41" t="str">
        <x:f t="shared" si="6"/>
      </x:c>
    </x:row>
    <x:row r="91" ht="24" customHeight="1">
      <x:c r="A91" s="41" t="s">
        <x:v>883</x:v>
      </x:c>
      <x:c r="B91" s="41" t="n">
        <x:f>COUNTIFS(赛事明细!$P$4:$P$1000,"已结算",赛事明细!$E$4:$E$1000,$A91)</x:f>
        <x:v>6</x:v>
      </x:c>
      <x:c r="C91" s="41" t="n">
        <x:f>COUNTIFS(赛事明细!$P$4:$P$1000,"已结算",赛事明细!$E$4:$E$1000,$A91,赛事明细!$Q$4:$Q$1000,"红")</x:f>
        <x:v>1</x:v>
      </x:c>
      <x:c r="D91" s="41" t="n">
        <x:f>COUNTIFS(赛事明细!$P$4:$P$1000,"已结算",赛事明细!$E$4:$E$1000,$A91,赛事明细!$Q$4:$Q$1000,"半红")</x:f>
        <x:v>0</x:v>
      </x:c>
      <x:c r="E91" s="41" t="n">
        <x:f>COUNTIFS(赛事明细!$P$4:$P$1000,"已结算",赛事明细!$E$4:$E$1000,$A91,赛事明细!$Q$4:$Q$1000,"走")</x:f>
        <x:v>0</x:v>
      </x:c>
      <x:c r="F91" s="41" t="n">
        <x:f>COUNTIFS(赛事明细!$P$4:$P$1000,"已结算",赛事明细!$E$4:$E$1000,$A91,赛事明细!$Q$4:$Q$1000,"半黑")</x:f>
        <x:v>1</x:v>
      </x:c>
      <x:c r="G91" s="41" t="n">
        <x:f>COUNTIFS(赛事明细!$P$4:$P$1000,"已结算",赛事明细!$E$4:$E$1000,$A91,赛事明细!$Q$4:$Q$1000,"黑")</x:f>
        <x:v>4</x:v>
      </x:c>
      <x:c r="H91" s="42">
        <x:f t="shared" si="4"/>
        <x:v>0.181818181818182</x:v>
      </x:c>
      <x:c r="I91" s="43" t="n">
        <x:f>SUMIFS(赛事明细!$S$4:$S$1000,赛事明细!$P$4:$P$1000,"已结算",赛事明细!$E$4:$E$1000,$A91)</x:f>
        <x:v>-3.66</x:v>
      </x:c>
      <x:c r="J91" s="42">
        <x:f t="shared" si="5"/>
        <x:v>-0.61</x:v>
      </x:c>
      <x:c r="K91" s="41" t="str">
        <x:f t="shared" si="6"/>
      </x:c>
    </x:row>
    <x:row r="92" ht="24" customHeight="1">
      <x:c r="A92" s="41" t="s">
        <x:v>894</x:v>
      </x:c>
      <x:c r="B92" s="41" t="n">
        <x:f>COUNTIFS(赛事明细!$P$4:$P$1000,"已结算",赛事明细!$E$4:$E$1000,$A92)</x:f>
        <x:v>7</x:v>
      </x:c>
      <x:c r="C92" s="41" t="n">
        <x:f>COUNTIFS(赛事明细!$P$4:$P$1000,"已结算",赛事明细!$E$4:$E$1000,$A92,赛事明细!$Q$4:$Q$1000,"红")</x:f>
        <x:v>4</x:v>
      </x:c>
      <x:c r="D92" s="41" t="n">
        <x:f>COUNTIFS(赛事明细!$P$4:$P$1000,"已结算",赛事明细!$E$4:$E$1000,$A92,赛事明细!$Q$4:$Q$1000,"半红")</x:f>
        <x:v>1</x:v>
      </x:c>
      <x:c r="E92" s="41" t="n">
        <x:f>COUNTIFS(赛事明细!$P$4:$P$1000,"已结算",赛事明细!$E$4:$E$1000,$A92,赛事明细!$Q$4:$Q$1000,"走")</x:f>
        <x:v>0</x:v>
      </x:c>
      <x:c r="F92" s="41" t="n">
        <x:f>COUNTIFS(赛事明细!$P$4:$P$1000,"已结算",赛事明细!$E$4:$E$1000,$A92,赛事明细!$Q$4:$Q$1000,"半黑")</x:f>
        <x:v>1</x:v>
      </x:c>
      <x:c r="G92" s="41" t="n">
        <x:f>COUNTIFS(赛事明细!$P$4:$P$1000,"已结算",赛事明细!$E$4:$E$1000,$A92,赛事明细!$Q$4:$Q$1000,"黑")</x:f>
        <x:v>1</x:v>
      </x:c>
      <x:c r="H92" s="42">
        <x:f t="shared" si="4"/>
        <x:v>0.75</x:v>
      </x:c>
      <x:c r="I92" s="43" t="n">
        <x:f>SUMIFS(赛事明细!$S$4:$S$1000,赛事明细!$P$4:$P$1000,"已结算",赛事明细!$E$4:$E$1000,$A92)</x:f>
        <x:v>2.2399999999999998</x:v>
      </x:c>
      <x:c r="J92" s="42">
        <x:f t="shared" si="5"/>
        <x:v>0.32</x:v>
      </x:c>
      <x:c r="K92" s="41" t="str">
        <x:f t="shared" si="6"/>
      </x:c>
    </x:row>
    <x:row r="93" ht="24" customHeight="1">
      <x:c r="A93" s="41" t="s">
        <x:v>910</x:v>
      </x:c>
      <x:c r="B93" s="41" t="n">
        <x:f>COUNTIFS(赛事明细!$P$4:$P$1000,"已结算",赛事明细!$E$4:$E$1000,$A93)</x:f>
        <x:v>2</x:v>
      </x:c>
      <x:c r="C93" s="41" t="n">
        <x:f>COUNTIFS(赛事明细!$P$4:$P$1000,"已结算",赛事明细!$E$4:$E$1000,$A93,赛事明细!$Q$4:$Q$1000,"红")</x:f>
        <x:v>0</x:v>
      </x:c>
      <x:c r="D93" s="41" t="n">
        <x:f>COUNTIFS(赛事明细!$P$4:$P$1000,"已结算",赛事明细!$E$4:$E$1000,$A93,赛事明细!$Q$4:$Q$1000,"半红")</x:f>
        <x:v>1</x:v>
      </x:c>
      <x:c r="E93" s="41" t="n">
        <x:f>COUNTIFS(赛事明细!$P$4:$P$1000,"已结算",赛事明细!$E$4:$E$1000,$A93,赛事明细!$Q$4:$Q$1000,"走")</x:f>
        <x:v>0</x:v>
      </x:c>
      <x:c r="F93" s="41" t="n">
        <x:f>COUNTIFS(赛事明细!$P$4:$P$1000,"已结算",赛事明细!$E$4:$E$1000,$A93,赛事明细!$Q$4:$Q$1000,"半黑")</x:f>
        <x:v>0</x:v>
      </x:c>
      <x:c r="G93" s="41" t="n">
        <x:f>COUNTIFS(赛事明细!$P$4:$P$1000,"已结算",赛事明细!$E$4:$E$1000,$A93,赛事明细!$Q$4:$Q$1000,"黑")</x:f>
        <x:v>1</x:v>
      </x:c>
      <x:c r="H93" s="42">
        <x:f t="shared" si="4"/>
        <x:v>0.333333333333333</x:v>
      </x:c>
      <x:c r="I93" s="43" t="n">
        <x:f>SUMIFS(赛事明细!$S$4:$S$1000,赛事明细!$P$4:$P$1000,"已结算",赛事明细!$E$4:$E$1000,$A93)</x:f>
        <x:v>-0.5800000000000001</x:v>
      </x:c>
      <x:c r="J93" s="42">
        <x:f t="shared" si="5"/>
        <x:v>-0.29</x:v>
      </x:c>
      <x:c r="K93" s="41" t="str">
        <x:f t="shared" si="6"/>
        <x:v>样本&lt;5，谨慎解读</x:v>
      </x:c>
    </x:row>
    <x:row r="94" ht="24" customHeight="1">
      <x:c r="A94" s="41" t="s">
        <x:v>923</x:v>
      </x:c>
      <x:c r="B94" s="41" t="n">
        <x:f>COUNTIFS(赛事明细!$P$4:$P$1000,"已结算",赛事明细!$E$4:$E$1000,$A94)</x:f>
        <x:v>5</x:v>
      </x:c>
      <x:c r="C94" s="41" t="n">
        <x:f>COUNTIFS(赛事明细!$P$4:$P$1000,"已结算",赛事明细!$E$4:$E$1000,$A94,赛事明细!$Q$4:$Q$1000,"红")</x:f>
        <x:v>3</x:v>
      </x:c>
      <x:c r="D94" s="41" t="n">
        <x:f>COUNTIFS(赛事明细!$P$4:$P$1000,"已结算",赛事明细!$E$4:$E$1000,$A94,赛事明细!$Q$4:$Q$1000,"半红")</x:f>
        <x:v>0</x:v>
      </x:c>
      <x:c r="E94" s="41" t="n">
        <x:f>COUNTIFS(赛事明细!$P$4:$P$1000,"已结算",赛事明细!$E$4:$E$1000,$A94,赛事明细!$Q$4:$Q$1000,"走")</x:f>
        <x:v>0</x:v>
      </x:c>
      <x:c r="F94" s="41" t="n">
        <x:f>COUNTIFS(赛事明细!$P$4:$P$1000,"已结算",赛事明细!$E$4:$E$1000,$A94,赛事明细!$Q$4:$Q$1000,"半黑")</x:f>
        <x:v>0</x:v>
      </x:c>
      <x:c r="G94" s="41" t="n">
        <x:f>COUNTIFS(赛事明细!$P$4:$P$1000,"已结算",赛事明细!$E$4:$E$1000,$A94,赛事明细!$Q$4:$Q$1000,"黑")</x:f>
        <x:v>2</x:v>
      </x:c>
      <x:c r="H94" s="42">
        <x:f t="shared" si="4"/>
        <x:v>0.6</x:v>
      </x:c>
      <x:c r="I94" s="43" t="n">
        <x:f>SUMIFS(赛事明细!$S$4:$S$1000,赛事明细!$P$4:$P$1000,"已结算",赛事明细!$E$4:$E$1000,$A94)</x:f>
        <x:v>0.6499999999999999</x:v>
      </x:c>
      <x:c r="J94" s="42">
        <x:f t="shared" si="5"/>
        <x:v>0.13</x:v>
      </x:c>
      <x:c r="K94" s="41" t="str">
        <x:f t="shared" si="6"/>
      </x:c>
    </x:row>
    <x:row r="95" ht="24" customHeight="1">
      <x:c r="A95" s="41" t="s">
        <x:v>927</x:v>
      </x:c>
      <x:c r="B95" s="41" t="n">
        <x:f>COUNTIFS(赛事明细!$P$4:$P$1000,"已结算",赛事明细!$E$4:$E$1000,$A95)</x:f>
        <x:v>34</x:v>
      </x:c>
      <x:c r="C95" s="41" t="n">
        <x:f>COUNTIFS(赛事明细!$P$4:$P$1000,"已结算",赛事明细!$E$4:$E$1000,$A95,赛事明细!$Q$4:$Q$1000,"红")</x:f>
        <x:v>9</x:v>
      </x:c>
      <x:c r="D95" s="41" t="n">
        <x:f>COUNTIFS(赛事明细!$P$4:$P$1000,"已结算",赛事明细!$E$4:$E$1000,$A95,赛事明细!$Q$4:$Q$1000,"半红")</x:f>
        <x:v>3</x:v>
      </x:c>
      <x:c r="E95" s="41" t="n">
        <x:f>COUNTIFS(赛事明细!$P$4:$P$1000,"已结算",赛事明细!$E$4:$E$1000,$A95,赛事明细!$Q$4:$Q$1000,"走")</x:f>
        <x:v>5</x:v>
      </x:c>
      <x:c r="F95" s="41" t="n">
        <x:f>COUNTIFS(赛事明细!$P$4:$P$1000,"已结算",赛事明细!$E$4:$E$1000,$A95,赛事明细!$Q$4:$Q$1000,"半黑")</x:f>
        <x:v>7</x:v>
      </x:c>
      <x:c r="G95" s="41" t="n">
        <x:f>COUNTIFS(赛事明细!$P$4:$P$1000,"已结算",赛事明细!$E$4:$E$1000,$A95,赛事明细!$Q$4:$Q$1000,"黑")</x:f>
        <x:v>10</x:v>
      </x:c>
      <x:c r="H95" s="42">
        <x:f t="shared" si="4"/>
        <x:v>0.472222222222222</x:v>
      </x:c>
      <x:c r="I95" s="43" t="n">
        <x:f>SUMIFS(赛事明细!$S$4:$S$1000,赛事明细!$P$4:$P$1000,"已结算",赛事明细!$E$4:$E$1000,$A95)</x:f>
        <x:v>-2.1400000000000006</x:v>
      </x:c>
      <x:c r="J95" s="42">
        <x:f t="shared" si="5"/>
        <x:v>-0.0933928571428572</x:v>
      </x:c>
      <x:c r="K95" s="41" t="str">
        <x:f t="shared" si="6"/>
      </x:c>
    </x:row>
    <x:row r="96" ht="24" customHeight="1">
      <x:c r="A96" s="41" t="s">
        <x:v>938</x:v>
      </x:c>
      <x:c r="B96" s="41" t="n">
        <x:f>COUNTIFS(赛事明细!$P$4:$P$1000,"已结算",赛事明细!$E$4:$E$1000,$A96)</x:f>
        <x:v>3</x:v>
      </x:c>
      <x:c r="C96" s="41" t="n">
        <x:f>COUNTIFS(赛事明细!$P$4:$P$1000,"已结算",赛事明细!$E$4:$E$1000,$A96,赛事明细!$Q$4:$Q$1000,"红")</x:f>
        <x:v>3</x:v>
      </x:c>
      <x:c r="D96" s="41" t="n">
        <x:f>COUNTIFS(赛事明细!$P$4:$P$1000,"已结算",赛事明细!$E$4:$E$1000,$A96,赛事明细!$Q$4:$Q$1000,"半红")</x:f>
        <x:v>0</x:v>
      </x:c>
      <x:c r="E96" s="41" t="n">
        <x:f>COUNTIFS(赛事明细!$P$4:$P$1000,"已结算",赛事明细!$E$4:$E$1000,$A96,赛事明细!$Q$4:$Q$1000,"走")</x:f>
        <x:v>0</x:v>
      </x:c>
      <x:c r="F96" s="41" t="n">
        <x:f>COUNTIFS(赛事明细!$P$4:$P$1000,"已结算",赛事明细!$E$4:$E$1000,$A96,赛事明细!$Q$4:$Q$1000,"半黑")</x:f>
        <x:v>0</x:v>
      </x:c>
      <x:c r="G96" s="41" t="n">
        <x:f>COUNTIFS(赛事明细!$P$4:$P$1000,"已结算",赛事明细!$E$4:$E$1000,$A96,赛事明细!$Q$4:$Q$1000,"黑")</x:f>
        <x:v>0</x:v>
      </x:c>
      <x:c r="H96" s="42">
        <x:f t="shared" si="4"/>
        <x:v>1</x:v>
      </x:c>
      <x:c r="I96" s="43" t="n">
        <x:f>SUMIFS(赛事明细!$S$4:$S$1000,赛事明细!$P$4:$P$1000,"已结算",赛事明细!$E$4:$E$1000,$A96)</x:f>
        <x:v>2.4899999999999998</x:v>
      </x:c>
      <x:c r="J96" s="42">
        <x:f t="shared" si="5"/>
        <x:v>0.83</x:v>
      </x:c>
      <x:c r="K96" s="41" t="str">
        <x:f t="shared" si="6"/>
        <x:v>样本&lt;5，谨慎解读</x:v>
      </x:c>
    </x:row>
    <x:row r="97" ht="24" customHeight="1">
      <x:c r="A97" s="41" t="s">
        <x:v>953</x:v>
      </x:c>
      <x:c r="B97" s="41" t="n">
        <x:f>COUNTIFS(赛事明细!$P$4:$P$1000,"已结算",赛事明细!$E$4:$E$1000,$A97)</x:f>
        <x:v>22</x:v>
      </x:c>
      <x:c r="C97" s="41" t="n">
        <x:f>COUNTIFS(赛事明细!$P$4:$P$1000,"已结算",赛事明细!$E$4:$E$1000,$A97,赛事明细!$Q$4:$Q$1000,"红")</x:f>
        <x:v>10</x:v>
      </x:c>
      <x:c r="D97" s="41" t="n">
        <x:f>COUNTIFS(赛事明细!$P$4:$P$1000,"已结算",赛事明细!$E$4:$E$1000,$A97,赛事明细!$Q$4:$Q$1000,"半红")</x:f>
        <x:v>1</x:v>
      </x:c>
      <x:c r="E97" s="41" t="n">
        <x:f>COUNTIFS(赛事明细!$P$4:$P$1000,"已结算",赛事明细!$E$4:$E$1000,$A97,赛事明细!$Q$4:$Q$1000,"走")</x:f>
        <x:v>2</x:v>
      </x:c>
      <x:c r="F97" s="41" t="n">
        <x:f>COUNTIFS(赛事明细!$P$4:$P$1000,"已结算",赛事明细!$E$4:$E$1000,$A97,赛事明细!$Q$4:$Q$1000,"半黑")</x:f>
        <x:v>1</x:v>
      </x:c>
      <x:c r="G97" s="41" t="n">
        <x:f>COUNTIFS(赛事明细!$P$4:$P$1000,"已结算",赛事明细!$E$4:$E$1000,$A97,赛事明细!$Q$4:$Q$1000,"黑")</x:f>
        <x:v>8</x:v>
      </x:c>
      <x:c r="H97" s="42">
        <x:f t="shared" si="4"/>
        <x:v>0.551724137931034</x:v>
      </x:c>
      <x:c r="I97" s="43" t="n">
        <x:f>SUMIFS(赛事明细!$S$4:$S$1000,赛事明细!$P$4:$P$1000,"已结算",赛事明细!$E$4:$E$1000,$A97)</x:f>
        <x:v>0.24999999999999978</x:v>
      </x:c>
      <x:c r="J97" s="42">
        <x:f t="shared" si="5"/>
        <x:v>0.00176470588235293</x:v>
      </x:c>
      <x:c r="K97" s="41" t="str">
        <x:f t="shared" si="6"/>
      </x:c>
    </x:row>
    <x:row r="98" ht="24" customHeight="1">
      <x:c r="A98" s="41" t="s">
        <x:v>1006</x:v>
      </x:c>
      <x:c r="B98" s="41" t="n">
        <x:f>COUNTIFS(赛事明细!$P$4:$P$1000,"已结算",赛事明细!$E$4:$E$1000,$A98)</x:f>
        <x:v>16</x:v>
      </x:c>
      <x:c r="C98" s="41" t="n">
        <x:f>COUNTIFS(赛事明细!$P$4:$P$1000,"已结算",赛事明细!$E$4:$E$1000,$A98,赛事明细!$Q$4:$Q$1000,"红")</x:f>
        <x:v>7</x:v>
      </x:c>
      <x:c r="D98" s="41" t="n">
        <x:f>COUNTIFS(赛事明细!$P$4:$P$1000,"已结算",赛事明细!$E$4:$E$1000,$A98,赛事明细!$Q$4:$Q$1000,"半红")</x:f>
        <x:v>0</x:v>
      </x:c>
      <x:c r="E98" s="41" t="n">
        <x:f>COUNTIFS(赛事明细!$P$4:$P$1000,"已结算",赛事明细!$E$4:$E$1000,$A98,赛事明细!$Q$4:$Q$1000,"走")</x:f>
        <x:v>2</x:v>
      </x:c>
      <x:c r="F98" s="41" t="n">
        <x:f>COUNTIFS(赛事明细!$P$4:$P$1000,"已结算",赛事明细!$E$4:$E$1000,$A98,赛事明细!$Q$4:$Q$1000,"半黑")</x:f>
        <x:v>0</x:v>
      </x:c>
      <x:c r="G98" s="41" t="n">
        <x:f>COUNTIFS(赛事明细!$P$4:$P$1000,"已结算",赛事明细!$E$4:$E$1000,$A98,赛事明细!$Q$4:$Q$1000,"黑")</x:f>
        <x:v>7</x:v>
      </x:c>
      <x:c r="H98" s="42">
        <x:f t="shared" si="4"/>
        <x:v>0.5</x:v>
      </x:c>
      <x:c r="I98" s="43" t="n">
        <x:f>SUMIFS(赛事明细!$S$4:$S$1000,赛事明细!$P$4:$P$1000,"已结算",赛事明细!$E$4:$E$1000,$A98)</x:f>
        <x:v>0.010000000000000231</x:v>
      </x:c>
      <x:c r="J98" s="42">
        <x:f t="shared" si="5"/>
        <x:v>0.000625000000000014</x:v>
      </x:c>
      <x:c r="K98" s="41" t="str">
        <x:f t="shared" si="6"/>
      </x:c>
    </x:row>
    <x:row r="99" ht="24" customHeight="1">
      <x:c r="A99" s="41" t="s">
        <x:v>1057</x:v>
      </x:c>
      <x:c r="B99" s="41" t="n">
        <x:f>COUNTIFS(赛事明细!$P$4:$P$1000,"已结算",赛事明细!$E$4:$E$1000,$A99)</x:f>
        <x:v>5</x:v>
      </x:c>
      <x:c r="C99" s="41" t="n">
        <x:f>COUNTIFS(赛事明细!$P$4:$P$1000,"已结算",赛事明细!$E$4:$E$1000,$A99,赛事明细!$Q$4:$Q$1000,"红")</x:f>
        <x:v>1</x:v>
      </x:c>
      <x:c r="D99" s="41" t="n">
        <x:f>COUNTIFS(赛事明细!$P$4:$P$1000,"已结算",赛事明细!$E$4:$E$1000,$A99,赛事明细!$Q$4:$Q$1000,"半红")</x:f>
        <x:v>0</x:v>
      </x:c>
      <x:c r="E99" s="41" t="n">
        <x:f>COUNTIFS(赛事明细!$P$4:$P$1000,"已结算",赛事明细!$E$4:$E$1000,$A99,赛事明细!$Q$4:$Q$1000,"走")</x:f>
        <x:v>1</x:v>
      </x:c>
      <x:c r="F99" s="41" t="n">
        <x:f>COUNTIFS(赛事明细!$P$4:$P$1000,"已结算",赛事明细!$E$4:$E$1000,$A99,赛事明细!$Q$4:$Q$1000,"半黑")</x:f>
        <x:v>1</x:v>
      </x:c>
      <x:c r="G99" s="41" t="n">
        <x:f>COUNTIFS(赛事明细!$P$4:$P$1000,"已结算",赛事明细!$E$4:$E$1000,$A99,赛事明细!$Q$4:$Q$1000,"黑")</x:f>
        <x:v>2</x:v>
      </x:c>
      <x:c r="H99" s="42">
        <x:f t="shared" si="4"/>
        <x:v>0.285714285714286</x:v>
      </x:c>
      <x:c r="I99" s="43" t="n">
        <x:f>SUMIFS(赛事明细!$S$4:$S$1000,赛事明细!$P$4:$P$1000,"已结算",赛事明细!$E$4:$E$1000,$A99)</x:f>
        <x:v>-1.6600000000000001</x:v>
      </x:c>
      <x:c r="J99" s="42">
        <x:f t="shared" si="5"/>
        <x:v>-0.332</x:v>
      </x:c>
      <x:c r="K99" s="41" t="str">
        <x:f t="shared" si="6"/>
      </x:c>
    </x:row>
    <x:row r="100" ht="24" customHeight="1">
      <x:c r="A100" s="41" t="s">
        <x:v>1068</x:v>
      </x:c>
      <x:c r="B100" s="41" t="n">
        <x:f>COUNTIFS(赛事明细!$P$4:$P$1000,"已结算",赛事明细!$E$4:$E$1000,$A100)</x:f>
        <x:v>3</x:v>
      </x:c>
      <x:c r="C100" s="41" t="n">
        <x:f>COUNTIFS(赛事明细!$P$4:$P$1000,"已结算",赛事明细!$E$4:$E$1000,$A100,赛事明细!$Q$4:$Q$1000,"红")</x:f>
        <x:v>2</x:v>
      </x:c>
      <x:c r="D100" s="41" t="n">
        <x:f>COUNTIFS(赛事明细!$P$4:$P$1000,"已结算",赛事明细!$E$4:$E$1000,$A100,赛事明细!$Q$4:$Q$1000,"半红")</x:f>
        <x:v>0</x:v>
      </x:c>
      <x:c r="E100" s="41" t="n">
        <x:f>COUNTIFS(赛事明细!$P$4:$P$1000,"已结算",赛事明细!$E$4:$E$1000,$A100,赛事明细!$Q$4:$Q$1000,"走")</x:f>
        <x:v>0</x:v>
      </x:c>
      <x:c r="F100" s="41" t="n">
        <x:f>COUNTIFS(赛事明细!$P$4:$P$1000,"已结算",赛事明细!$E$4:$E$1000,$A100,赛事明细!$Q$4:$Q$1000,"半黑")</x:f>
        <x:v>0</x:v>
      </x:c>
      <x:c r="G100" s="41" t="n">
        <x:f>COUNTIFS(赛事明细!$P$4:$P$1000,"已结算",赛事明细!$E$4:$E$1000,$A100,赛事明细!$Q$4:$Q$1000,"黑")</x:f>
        <x:v>1</x:v>
      </x:c>
      <x:c r="H100" s="42">
        <x:f t="shared" si="4"/>
        <x:v>0.666666666666667</x:v>
      </x:c>
      <x:c r="I100" s="43" t="n">
        <x:f>SUMIFS(赛事明细!$S$4:$S$1000,赛事明细!$P$4:$P$1000,"已结算",赛事明细!$E$4:$E$1000,$A100)</x:f>
        <x:v>1.04</x:v>
      </x:c>
      <x:c r="J100" s="42">
        <x:f t="shared" si="5"/>
        <x:v>0.346666666666667</x:v>
      </x:c>
      <x:c r="K100" s="41" t="str">
        <x:f t="shared" si="6"/>
        <x:v>样本&lt;5，谨慎解读</x:v>
      </x:c>
    </x:row>
    <x:row r="101" ht="24" customHeight="1">
      <x:c r="A101" s="41" t="s">
        <x:v>1085</x:v>
      </x:c>
      <x:c r="B101" s="41" t="n">
        <x:f>COUNTIFS(赛事明细!$P$4:$P$1000,"已结算",赛事明细!$E$4:$E$1000,$A101)</x:f>
        <x:v>2</x:v>
      </x:c>
      <x:c r="C101" s="41" t="n">
        <x:f>COUNTIFS(赛事明细!$P$4:$P$1000,"已结算",赛事明细!$E$4:$E$1000,$A101,赛事明细!$Q$4:$Q$1000,"红")</x:f>
        <x:v>1</x:v>
      </x:c>
      <x:c r="D101" s="41" t="n">
        <x:f>COUNTIFS(赛事明细!$P$4:$P$1000,"已结算",赛事明细!$E$4:$E$1000,$A101,赛事明细!$Q$4:$Q$1000,"半红")</x:f>
        <x:v>0</x:v>
      </x:c>
      <x:c r="E101" s="41" t="n">
        <x:f>COUNTIFS(赛事明细!$P$4:$P$1000,"已结算",赛事明细!$E$4:$E$1000,$A101,赛事明细!$Q$4:$Q$1000,"走")</x:f>
        <x:v>0</x:v>
      </x:c>
      <x:c r="F101" s="41" t="n">
        <x:f>COUNTIFS(赛事明细!$P$4:$P$1000,"已结算",赛事明细!$E$4:$E$1000,$A101,赛事明细!$Q$4:$Q$1000,"半黑")</x:f>
        <x:v>1</x:v>
      </x:c>
      <x:c r="G101" s="41" t="n">
        <x:f>COUNTIFS(赛事明细!$P$4:$P$1000,"已结算",赛事明细!$E$4:$E$1000,$A101,赛事明细!$Q$4:$Q$1000,"黑")</x:f>
        <x:v>0</x:v>
      </x:c>
      <x:c r="H101" s="42">
        <x:f t="shared" si="4"/>
        <x:v>0.666666666666667</x:v>
      </x:c>
      <x:c r="I101" s="43" t="n">
        <x:f>SUMIFS(赛事明细!$S$4:$S$1000,赛事明细!$P$4:$P$1000,"已结算",赛事明细!$E$4:$E$1000,$A101)</x:f>
        <x:v>0.33999999999999997</x:v>
      </x:c>
      <x:c r="J101" s="42">
        <x:f t="shared" si="5"/>
        <x:v>0.17</x:v>
      </x:c>
      <x:c r="K101" s="41" t="str">
        <x:f t="shared" si="6"/>
        <x:v>样本&lt;5，谨慎解读</x:v>
      </x:c>
    </x:row>
    <x:row r="102" ht="24" customHeight="1">
      <x:c r="A102" s="41" t="s">
        <x:v>1118</x:v>
      </x:c>
      <x:c r="B102" s="41" t="n">
        <x:f>COUNTIFS(赛事明细!$P$4:$P$1000,"已结算",赛事明细!$E$4:$E$1000,$A102)</x:f>
        <x:v>3</x:v>
      </x:c>
      <x:c r="C102" s="41" t="n">
        <x:f>COUNTIFS(赛事明细!$P$4:$P$1000,"已结算",赛事明细!$E$4:$E$1000,$A102,赛事明细!$Q$4:$Q$1000,"红")</x:f>
        <x:v>0</x:v>
      </x:c>
      <x:c r="D102" s="41" t="n">
        <x:f>COUNTIFS(赛事明细!$P$4:$P$1000,"已结算",赛事明细!$E$4:$E$1000,$A102,赛事明细!$Q$4:$Q$1000,"半红")</x:f>
        <x:v>0</x:v>
      </x:c>
      <x:c r="E102" s="41" t="n">
        <x:f>COUNTIFS(赛事明细!$P$4:$P$1000,"已结算",赛事明细!$E$4:$E$1000,$A102,赛事明细!$Q$4:$Q$1000,"走")</x:f>
        <x:v>1</x:v>
      </x:c>
      <x:c r="F102" s="41" t="n">
        <x:f>COUNTIFS(赛事明细!$P$4:$P$1000,"已结算",赛事明细!$E$4:$E$1000,$A102,赛事明细!$Q$4:$Q$1000,"半黑")</x:f>
        <x:v>1</x:v>
      </x:c>
      <x:c r="G102" s="41" t="n">
        <x:f>COUNTIFS(赛事明细!$P$4:$P$1000,"已结算",赛事明细!$E$4:$E$1000,$A102,赛事明细!$Q$4:$Q$1000,"黑")</x:f>
        <x:v>1</x:v>
      </x:c>
      <x:c r="H102" s="42">
        <x:f t="shared" si="4"/>
        <x:v>0</x:v>
      </x:c>
      <x:c r="I102" s="43" t="n">
        <x:f>SUMIFS(赛事明细!$S$4:$S$1000,赛事明细!$P$4:$P$1000,"已结算",赛事明细!$E$4:$E$1000,$A102)</x:f>
        <x:v>-1.5</x:v>
      </x:c>
      <x:c r="J102" s="42">
        <x:f t="shared" si="5"/>
        <x:v>-0.5</x:v>
      </x:c>
      <x:c r="K102" s="41" t="str">
        <x:f t="shared" si="6"/>
        <x:v>样本&lt;5，谨慎解读</x:v>
      </x:c>
    </x:row>
    <x:row r="103" ht="24" customHeight="1">
      <x:c r="A103" s="41" t="s">
        <x:v>1167</x:v>
      </x:c>
      <x:c r="B103" s="41" t="n">
        <x:f>COUNTIFS(赛事明细!$P$4:$P$1000,"已结算",赛事明细!$E$4:$E$1000,$A103)</x:f>
        <x:v>2</x:v>
      </x:c>
      <x:c r="C103" s="41" t="n">
        <x:f>COUNTIFS(赛事明细!$P$4:$P$1000,"已结算",赛事明细!$E$4:$E$1000,$A103,赛事明细!$Q$4:$Q$1000,"红")</x:f>
        <x:v>1</x:v>
      </x:c>
      <x:c r="D103" s="41" t="n">
        <x:f>COUNTIFS(赛事明细!$P$4:$P$1000,"已结算",赛事明细!$E$4:$E$1000,$A103,赛事明细!$Q$4:$Q$1000,"半红")</x:f>
        <x:v>0</x:v>
      </x:c>
      <x:c r="E103" s="41" t="n">
        <x:f>COUNTIFS(赛事明细!$P$4:$P$1000,"已结算",赛事明细!$E$4:$E$1000,$A103,赛事明细!$Q$4:$Q$1000,"走")</x:f>
        <x:v>0</x:v>
      </x:c>
      <x:c r="F103" s="41" t="n">
        <x:f>COUNTIFS(赛事明细!$P$4:$P$1000,"已结算",赛事明细!$E$4:$E$1000,$A103,赛事明细!$Q$4:$Q$1000,"半黑")</x:f>
        <x:v>0</x:v>
      </x:c>
      <x:c r="G103" s="41" t="n">
        <x:f>COUNTIFS(赛事明细!$P$4:$P$1000,"已结算",赛事明细!$E$4:$E$1000,$A103,赛事明细!$Q$4:$Q$1000,"黑")</x:f>
        <x:v>1</x:v>
      </x:c>
      <x:c r="H103" s="42">
        <x:f t="shared" si="4"/>
        <x:v>0.5</x:v>
      </x:c>
      <x:c r="I103" s="43" t="n">
        <x:f>SUMIFS(赛事明细!$S$4:$S$1000,赛事明细!$P$4:$P$1000,"已结算",赛事明细!$E$4:$E$1000,$A103)</x:f>
        <x:v>-0.19999999999999996</x:v>
      </x:c>
      <x:c r="J103" s="42">
        <x:f t="shared" si="5"/>
        <x:v>-0.1</x:v>
      </x:c>
      <x:c r="K103" s="41" t="str">
        <x:f t="shared" si="6"/>
        <x:v>样本&lt;5，谨慎解读</x:v>
      </x:c>
    </x:row>
    <x:row r="104" ht="24" customHeight="1">
      <x:c r="A104" s="41" t="s">
        <x:v>1176</x:v>
      </x:c>
      <x:c r="B104" s="41" t="n">
        <x:f>COUNTIFS(赛事明细!$P$4:$P$1000,"已结算",赛事明细!$E$4:$E$1000,$A104)</x:f>
        <x:v>7</x:v>
      </x:c>
      <x:c r="C104" s="41" t="n">
        <x:f>COUNTIFS(赛事明细!$P$4:$P$1000,"已结算",赛事明细!$E$4:$E$1000,$A104,赛事明细!$Q$4:$Q$1000,"红")</x:f>
        <x:v>5</x:v>
      </x:c>
      <x:c r="D104" s="41" t="n">
        <x:f>COUNTIFS(赛事明细!$P$4:$P$1000,"已结算",赛事明细!$E$4:$E$1000,$A104,赛事明细!$Q$4:$Q$1000,"半红")</x:f>
        <x:v>0</x:v>
      </x:c>
      <x:c r="E104" s="41" t="n">
        <x:f>COUNTIFS(赛事明细!$P$4:$P$1000,"已结算",赛事明细!$E$4:$E$1000,$A104,赛事明细!$Q$4:$Q$1000,"走")</x:f>
        <x:v>0</x:v>
      </x:c>
      <x:c r="F104" s="41" t="n">
        <x:f>COUNTIFS(赛事明细!$P$4:$P$1000,"已结算",赛事明细!$E$4:$E$1000,$A104,赛事明细!$Q$4:$Q$1000,"半黑")</x:f>
        <x:v>1</x:v>
      </x:c>
      <x:c r="G104" s="41" t="n">
        <x:f>COUNTIFS(赛事明细!$P$4:$P$1000,"已结算",赛事明细!$E$4:$E$1000,$A104,赛事明细!$Q$4:$Q$1000,"黑")</x:f>
        <x:v>1</x:v>
      </x:c>
      <x:c r="H104" s="42">
        <x:f t="shared" si="4"/>
        <x:v>0.769230769230769</x:v>
      </x:c>
      <x:c r="I104" s="43" t="n">
        <x:f>SUMIFS(赛事明细!$S$4:$S$1000,赛事明细!$P$4:$P$1000,"已结算",赛事明细!$E$4:$E$1000,$A104)</x:f>
        <x:v>3.17</x:v>
      </x:c>
      <x:c r="J104" s="42">
        <x:f t="shared" si="5"/>
        <x:v>0.452857142857143</x:v>
      </x:c>
      <x:c r="K104" s="41" t="str">
        <x:f t="shared" si="6"/>
      </x:c>
    </x:row>
    <x:row r="105" ht="24" customHeight="1">
      <x:c r="A105" s="41" t="s">
        <x:v>1180</x:v>
      </x:c>
      <x:c r="B105" s="41" t="n">
        <x:f>COUNTIFS(赛事明细!$P$4:$P$1000,"已结算",赛事明细!$E$4:$E$1000,$A105)</x:f>
        <x:v>4</x:v>
      </x:c>
      <x:c r="C105" s="41" t="n">
        <x:f>COUNTIFS(赛事明细!$P$4:$P$1000,"已结算",赛事明细!$E$4:$E$1000,$A105,赛事明细!$Q$4:$Q$1000,"红")</x:f>
        <x:v>2</x:v>
      </x:c>
      <x:c r="D105" s="41" t="n">
        <x:f>COUNTIFS(赛事明细!$P$4:$P$1000,"已结算",赛事明细!$E$4:$E$1000,$A105,赛事明细!$Q$4:$Q$1000,"半红")</x:f>
        <x:v>1</x:v>
      </x:c>
      <x:c r="E105" s="41" t="n">
        <x:f>COUNTIFS(赛事明细!$P$4:$P$1000,"已结算",赛事明细!$E$4:$E$1000,$A105,赛事明细!$Q$4:$Q$1000,"走")</x:f>
        <x:v>0</x:v>
      </x:c>
      <x:c r="F105" s="41" t="n">
        <x:f>COUNTIFS(赛事明细!$P$4:$P$1000,"已结算",赛事明细!$E$4:$E$1000,$A105,赛事明细!$Q$4:$Q$1000,"半黑")</x:f>
        <x:v>1</x:v>
      </x:c>
      <x:c r="G105" s="41" t="n">
        <x:f>COUNTIFS(赛事明细!$P$4:$P$1000,"已结算",赛事明细!$E$4:$E$1000,$A105,赛事明细!$Q$4:$Q$1000,"黑")</x:f>
        <x:v>0</x:v>
      </x:c>
      <x:c r="H105" s="42">
        <x:f t="shared" si="4"/>
        <x:v>0.833333333333333</x:v>
      </x:c>
      <x:c r="I105" s="43" t="n">
        <x:f>SUMIFS(赛事明细!$S$4:$S$1000,赛事明细!$P$4:$P$1000,"已结算",赛事明细!$E$4:$E$1000,$A105)</x:f>
        <x:v>1.935</x:v>
      </x:c>
      <x:c r="J105" s="42">
        <x:f t="shared" si="5"/>
        <x:v>0.48375</x:v>
      </x:c>
      <x:c r="K105" s="41" t="str">
        <x:f t="shared" si="6"/>
        <x:v>样本&lt;5，谨慎解读</x:v>
      </x:c>
    </x:row>
    <x:row r="106" ht="24" customHeight="1">
      <x:c r="A106" s="41" t="s">
        <x:v>1189</x:v>
      </x:c>
      <x:c r="B106" s="41" t="n">
        <x:f>COUNTIFS(赛事明细!$P$4:$P$1000,"已结算",赛事明细!$E$4:$E$1000,$A106)</x:f>
        <x:v>8</x:v>
      </x:c>
      <x:c r="C106" s="41" t="n">
        <x:f>COUNTIFS(赛事明细!$P$4:$P$1000,"已结算",赛事明细!$E$4:$E$1000,$A106,赛事明细!$Q$4:$Q$1000,"红")</x:f>
        <x:v>5</x:v>
      </x:c>
      <x:c r="D106" s="41" t="n">
        <x:f>COUNTIFS(赛事明细!$P$4:$P$1000,"已结算",赛事明细!$E$4:$E$1000,$A106,赛事明细!$Q$4:$Q$1000,"半红")</x:f>
        <x:v>0</x:v>
      </x:c>
      <x:c r="E106" s="41" t="n">
        <x:f>COUNTIFS(赛事明细!$P$4:$P$1000,"已结算",赛事明细!$E$4:$E$1000,$A106,赛事明细!$Q$4:$Q$1000,"走")</x:f>
        <x:v>2</x:v>
      </x:c>
      <x:c r="F106" s="41" t="n">
        <x:f>COUNTIFS(赛事明细!$P$4:$P$1000,"已结算",赛事明细!$E$4:$E$1000,$A106,赛事明细!$Q$4:$Q$1000,"半黑")</x:f>
        <x:v>1</x:v>
      </x:c>
      <x:c r="G106" s="41" t="n">
        <x:f>COUNTIFS(赛事明细!$P$4:$P$1000,"已结算",赛事明细!$E$4:$E$1000,$A106,赛事明细!$Q$4:$Q$1000,"黑")</x:f>
        <x:v>0</x:v>
      </x:c>
      <x:c r="H106" s="42">
        <x:f t="shared" si="4"/>
        <x:v>0.909090909090909</x:v>
      </x:c>
      <x:c r="I106" s="43" t="n">
        <x:f>SUMIFS(赛事明细!$S$4:$S$1000,赛事明细!$P$4:$P$1000,"已结算",赛事明细!$E$4:$E$1000,$A106)</x:f>
        <x:v>3.66</x:v>
      </x:c>
      <x:c r="J106" s="42">
        <x:f t="shared" si="5"/>
        <x:v>0.4575</x:v>
      </x:c>
      <x:c r="K106" s="41" t="str">
        <x:f t="shared" si="6"/>
      </x:c>
    </x:row>
    <x:row r="107" ht="24" customHeight="1">
      <x:c r="A107" s="41" t="s">
        <x:v>1195</x:v>
      </x:c>
      <x:c r="B107" s="41" t="n">
        <x:f>COUNTIFS(赛事明细!$P$4:$P$1000,"已结算",赛事明细!$E$4:$E$1000,$A107)</x:f>
        <x:v>3</x:v>
      </x:c>
      <x:c r="C107" s="41" t="n">
        <x:f>COUNTIFS(赛事明细!$P$4:$P$1000,"已结算",赛事明细!$E$4:$E$1000,$A107,赛事明细!$Q$4:$Q$1000,"红")</x:f>
        <x:v>2</x:v>
      </x:c>
      <x:c r="D107" s="41" t="n">
        <x:f>COUNTIFS(赛事明细!$P$4:$P$1000,"已结算",赛事明细!$E$4:$E$1000,$A107,赛事明细!$Q$4:$Q$1000,"半红")</x:f>
        <x:v>0</x:v>
      </x:c>
      <x:c r="E107" s="41" t="n">
        <x:f>COUNTIFS(赛事明细!$P$4:$P$1000,"已结算",赛事明细!$E$4:$E$1000,$A107,赛事明细!$Q$4:$Q$1000,"走")</x:f>
        <x:v>0</x:v>
      </x:c>
      <x:c r="F107" s="41" t="n">
        <x:f>COUNTIFS(赛事明细!$P$4:$P$1000,"已结算",赛事明细!$E$4:$E$1000,$A107,赛事明细!$Q$4:$Q$1000,"半黑")</x:f>
        <x:v>1</x:v>
      </x:c>
      <x:c r="G107" s="41" t="n">
        <x:f>COUNTIFS(赛事明细!$P$4:$P$1000,"已结算",赛事明细!$E$4:$E$1000,$A107,赛事明细!$Q$4:$Q$1000,"黑")</x:f>
        <x:v>0</x:v>
      </x:c>
      <x:c r="H107" s="42">
        <x:f t="shared" si="4"/>
        <x:v>0.8</x:v>
      </x:c>
      <x:c r="I107" s="43" t="n">
        <x:f>SUMIFS(赛事明细!$S$4:$S$1000,赛事明细!$P$4:$P$1000,"已结算",赛事明细!$E$4:$E$1000,$A107)</x:f>
        <x:v>1.4700000000000002</x:v>
      </x:c>
      <x:c r="J107" s="42">
        <x:f t="shared" si="5"/>
        <x:v>0.49</x:v>
      </x:c>
      <x:c r="K107" s="41" t="str">
        <x:f t="shared" si="6"/>
        <x:v>样本&lt;5，谨慎解读</x:v>
      </x:c>
    </x:row>
    <x:row r="108" ht="24" customHeight="1">
      <x:c r="A108" s="41" t="s">
        <x:v>1200</x:v>
      </x:c>
      <x:c r="B108" s="41" t="n">
        <x:f>COUNTIFS(赛事明细!$P$4:$P$1000,"已结算",赛事明细!$E$4:$E$1000,$A108)</x:f>
        <x:v>4</x:v>
      </x:c>
      <x:c r="C108" s="41" t="n">
        <x:f>COUNTIFS(赛事明细!$P$4:$P$1000,"已结算",赛事明细!$E$4:$E$1000,$A108,赛事明细!$Q$4:$Q$1000,"红")</x:f>
        <x:v>1</x:v>
      </x:c>
      <x:c r="D108" s="41" t="n">
        <x:f>COUNTIFS(赛事明细!$P$4:$P$1000,"已结算",赛事明细!$E$4:$E$1000,$A108,赛事明细!$Q$4:$Q$1000,"半红")</x:f>
        <x:v>0</x:v>
      </x:c>
      <x:c r="E108" s="41" t="n">
        <x:f>COUNTIFS(赛事明细!$P$4:$P$1000,"已结算",赛事明细!$E$4:$E$1000,$A108,赛事明细!$Q$4:$Q$1000,"走")</x:f>
        <x:v>1</x:v>
      </x:c>
      <x:c r="F108" s="41" t="n">
        <x:f>COUNTIFS(赛事明细!$P$4:$P$1000,"已结算",赛事明细!$E$4:$E$1000,$A108,赛事明细!$Q$4:$Q$1000,"半黑")</x:f>
        <x:v>1</x:v>
      </x:c>
      <x:c r="G108" s="41" t="n">
        <x:f>COUNTIFS(赛事明细!$P$4:$P$1000,"已结算",赛事明细!$E$4:$E$1000,$A108,赛事明细!$Q$4:$Q$1000,"黑")</x:f>
        <x:v>1</x:v>
      </x:c>
      <x:c r="H108" s="42">
        <x:f t="shared" si="4"/>
        <x:v>0.4</x:v>
      </x:c>
      <x:c r="I108" s="43" t="n">
        <x:f>SUMIFS(赛事明细!$S$4:$S$1000,赛事明细!$P$4:$P$1000,"已结算",赛事明细!$E$4:$E$1000,$A108)</x:f>
        <x:v>-0.53</x:v>
      </x:c>
      <x:c r="J108" s="42">
        <x:f t="shared" si="5"/>
        <x:v>-0.1325</x:v>
      </x:c>
      <x:c r="K108" s="41" t="str">
        <x:f t="shared" si="6"/>
        <x:v>样本&lt;5，谨慎解读</x:v>
      </x:c>
    </x:row>
    <x:row r="109" ht="24" customHeight="1">
      <x:c r="A109" s="41" t="s">
        <x:v>1206</x:v>
      </x:c>
      <x:c r="B109" s="41" t="n">
        <x:f>COUNTIFS(赛事明细!$P$4:$P$1000,"已结算",赛事明细!$E$4:$E$1000,$A109)</x:f>
        <x:v>1</x:v>
      </x:c>
      <x:c r="C109" s="41" t="n">
        <x:f>COUNTIFS(赛事明细!$P$4:$P$1000,"已结算",赛事明细!$E$4:$E$1000,$A109,赛事明细!$Q$4:$Q$1000,"红")</x:f>
        <x:v>0</x:v>
      </x:c>
      <x:c r="D109" s="41" t="n">
        <x:f>COUNTIFS(赛事明细!$P$4:$P$1000,"已结算",赛事明细!$E$4:$E$1000,$A109,赛事明细!$Q$4:$Q$1000,"半红")</x:f>
        <x:v>0</x:v>
      </x:c>
      <x:c r="E109" s="41" t="n">
        <x:f>COUNTIFS(赛事明细!$P$4:$P$1000,"已结算",赛事明细!$E$4:$E$1000,$A109,赛事明细!$Q$4:$Q$1000,"走")</x:f>
        <x:v>0</x:v>
      </x:c>
      <x:c r="F109" s="41" t="n">
        <x:f>COUNTIFS(赛事明细!$P$4:$P$1000,"已结算",赛事明细!$E$4:$E$1000,$A109,赛事明细!$Q$4:$Q$1000,"半黑")</x:f>
        <x:v>0</x:v>
      </x:c>
      <x:c r="G109" s="41" t="n">
        <x:f>COUNTIFS(赛事明细!$P$4:$P$1000,"已结算",赛事明细!$E$4:$E$1000,$A109,赛事明细!$Q$4:$Q$1000,"黑")</x:f>
        <x:v>1</x:v>
      </x:c>
      <x:c r="H109" s="42">
        <x:f t="shared" si="4"/>
        <x:v>0</x:v>
      </x:c>
      <x:c r="I109" s="43" t="n">
        <x:f>SUMIFS(赛事明细!$S$4:$S$1000,赛事明细!$P$4:$P$1000,"已结算",赛事明细!$E$4:$E$1000,$A109)</x:f>
        <x:v>-1</x:v>
      </x:c>
      <x:c r="J109" s="42">
        <x:f t="shared" si="5"/>
        <x:v>-1</x:v>
      </x:c>
      <x:c r="K109" s="41" t="str">
        <x:f t="shared" si="6"/>
        <x:v>样本&lt;5，谨慎解读</x:v>
      </x:c>
    </x:row>
    <x:row r="110" ht="24" customHeight="1">
      <x:c r="A110" s="41" t="s">
        <x:v>1245</x:v>
      </x:c>
      <x:c r="B110" s="41" t="n">
        <x:f>COUNTIFS(赛事明细!$P$4:$P$1000,"已结算",赛事明细!$E$4:$E$1000,$A110)</x:f>
        <x:v>6</x:v>
      </x:c>
      <x:c r="C110" s="41" t="n">
        <x:f>COUNTIFS(赛事明细!$P$4:$P$1000,"已结算",赛事明细!$E$4:$E$1000,$A110,赛事明细!$Q$4:$Q$1000,"红")</x:f>
        <x:v>1</x:v>
      </x:c>
      <x:c r="D110" s="41" t="n">
        <x:f>COUNTIFS(赛事明细!$P$4:$P$1000,"已结算",赛事明细!$E$4:$E$1000,$A110,赛事明细!$Q$4:$Q$1000,"半红")</x:f>
        <x:v>0</x:v>
      </x:c>
      <x:c r="E110" s="41" t="n">
        <x:f>COUNTIFS(赛事明细!$P$4:$P$1000,"已结算",赛事明细!$E$4:$E$1000,$A110,赛事明细!$Q$4:$Q$1000,"走")</x:f>
        <x:v>0</x:v>
      </x:c>
      <x:c r="F110" s="41" t="n">
        <x:f>COUNTIFS(赛事明细!$P$4:$P$1000,"已结算",赛事明细!$E$4:$E$1000,$A110,赛事明细!$Q$4:$Q$1000,"半黑")</x:f>
        <x:v>0</x:v>
      </x:c>
      <x:c r="G110" s="41" t="n">
        <x:f>COUNTIFS(赛事明细!$P$4:$P$1000,"已结算",赛事明细!$E$4:$E$1000,$A110,赛事明细!$Q$4:$Q$1000,"黑")</x:f>
        <x:v>5</x:v>
      </x:c>
      <x:c r="H110" s="42">
        <x:f t="shared" si="4"/>
        <x:v>0.166666666666667</x:v>
      </x:c>
      <x:c r="I110" s="43" t="n">
        <x:f>SUMIFS(赛事明细!$S$4:$S$1000,赛事明细!$P$4:$P$1000,"已结算",赛事明细!$E$4:$E$1000,$A110)</x:f>
        <x:v>-4.16</x:v>
      </x:c>
      <x:c r="J110" s="42">
        <x:f t="shared" si="5"/>
        <x:v>-0.693333333333333</x:v>
      </x:c>
      <x:c r="K110" s="41" t="str">
        <x:f t="shared" si="6"/>
      </x:c>
    </x:row>
    <x:row r="111" ht="24" customHeight="1">
      <x:c r="A111" s="41" t="s">
        <x:v>1262</x:v>
      </x:c>
      <x:c r="B111" s="41" t="n">
        <x:f>COUNTIFS(赛事明细!$P$4:$P$1000,"已结算",赛事明细!$E$4:$E$1000,$A111)</x:f>
        <x:v>2</x:v>
      </x:c>
      <x:c r="C111" s="41" t="n">
        <x:f>COUNTIFS(赛事明细!$P$4:$P$1000,"已结算",赛事明细!$E$4:$E$1000,$A111,赛事明细!$Q$4:$Q$1000,"红")</x:f>
        <x:v>0</x:v>
      </x:c>
      <x:c r="D111" s="41" t="n">
        <x:f>COUNTIFS(赛事明细!$P$4:$P$1000,"已结算",赛事明细!$E$4:$E$1000,$A111,赛事明细!$Q$4:$Q$1000,"半红")</x:f>
        <x:v>0</x:v>
      </x:c>
      <x:c r="E111" s="41" t="n">
        <x:f>COUNTIFS(赛事明细!$P$4:$P$1000,"已结算",赛事明细!$E$4:$E$1000,$A111,赛事明细!$Q$4:$Q$1000,"走")</x:f>
        <x:v>0</x:v>
      </x:c>
      <x:c r="F111" s="41" t="n">
        <x:f>COUNTIFS(赛事明细!$P$4:$P$1000,"已结算",赛事明细!$E$4:$E$1000,$A111,赛事明细!$Q$4:$Q$1000,"半黑")</x:f>
        <x:v>1</x:v>
      </x:c>
      <x:c r="G111" s="41" t="n">
        <x:f>COUNTIFS(赛事明细!$P$4:$P$1000,"已结算",赛事明细!$E$4:$E$1000,$A111,赛事明细!$Q$4:$Q$1000,"黑")</x:f>
        <x:v>1</x:v>
      </x:c>
      <x:c r="H111" s="42">
        <x:f t="shared" si="4"/>
        <x:v>0</x:v>
      </x:c>
      <x:c r="I111" s="43" t="n">
        <x:f>SUMIFS(赛事明细!$S$4:$S$1000,赛事明细!$P$4:$P$1000,"已结算",赛事明细!$E$4:$E$1000,$A111)</x:f>
        <x:v>-1.5</x:v>
      </x:c>
      <x:c r="J111" s="42">
        <x:f t="shared" si="5"/>
        <x:v>-0.5</x:v>
      </x:c>
      <x:c r="K111" s="41" t="str">
        <x:f t="shared" si="6"/>
        <x:v>样本&lt;5，谨慎解读</x:v>
      </x:c>
    </x:row>
    <x:row r="112" ht="24" customHeight="1">
      <x:c r="A112" s="41" t="s">
        <x:v>1281</x:v>
      </x:c>
      <x:c r="B112" s="41" t="n">
        <x:f>COUNTIFS(赛事明细!$P$4:$P$1000,"已结算",赛事明细!$E$4:$E$1000,$A112)</x:f>
        <x:v>3</x:v>
      </x:c>
      <x:c r="C112" s="41" t="n">
        <x:f>COUNTIFS(赛事明细!$P$4:$P$1000,"已结算",赛事明细!$E$4:$E$1000,$A112,赛事明细!$Q$4:$Q$1000,"红")</x:f>
        <x:v>2</x:v>
      </x:c>
      <x:c r="D112" s="41" t="n">
        <x:f>COUNTIFS(赛事明细!$P$4:$P$1000,"已结算",赛事明细!$E$4:$E$1000,$A112,赛事明细!$Q$4:$Q$1000,"半红")</x:f>
        <x:v>0</x:v>
      </x:c>
      <x:c r="E112" s="41" t="n">
        <x:f>COUNTIFS(赛事明细!$P$4:$P$1000,"已结算",赛事明细!$E$4:$E$1000,$A112,赛事明细!$Q$4:$Q$1000,"走")</x:f>
        <x:v>0</x:v>
      </x:c>
      <x:c r="F112" s="41" t="n">
        <x:f>COUNTIFS(赛事明细!$P$4:$P$1000,"已结算",赛事明细!$E$4:$E$1000,$A112,赛事明细!$Q$4:$Q$1000,"半黑")</x:f>
        <x:v>1</x:v>
      </x:c>
      <x:c r="G112" s="41" t="n">
        <x:f>COUNTIFS(赛事明细!$P$4:$P$1000,"已结算",赛事明细!$E$4:$E$1000,$A112,赛事明细!$Q$4:$Q$1000,"黑")</x:f>
        <x:v>0</x:v>
      </x:c>
      <x:c r="H112" s="42">
        <x:f t="shared" si="4"/>
        <x:v>0.8</x:v>
      </x:c>
      <x:c r="I112" s="43" t="n">
        <x:f>SUMIFS(赛事明细!$S$4:$S$1000,赛事明细!$P$4:$P$1000,"已结算",赛事明细!$E$4:$E$1000,$A112)</x:f>
        <x:v>1.07</x:v>
      </x:c>
      <x:c r="J112" s="42">
        <x:f t="shared" si="5"/>
        <x:v>0.356666666666667</x:v>
      </x:c>
      <x:c r="K112" s="41" t="str">
        <x:f t="shared" si="6"/>
        <x:v>样本&lt;5，谨慎解读</x:v>
      </x:c>
    </x:row>
    <x:row r="113" ht="24" customHeight="1">
      <x:c r="A113" s="41" t="s">
        <x:v>1288</x:v>
      </x:c>
      <x:c r="B113" s="41" t="n">
        <x:f>COUNTIFS(赛事明细!$P$4:$P$1000,"已结算",赛事明细!$E$4:$E$1000,$A113)</x:f>
        <x:v>3</x:v>
      </x:c>
      <x:c r="C113" s="41" t="n">
        <x:f>COUNTIFS(赛事明细!$P$4:$P$1000,"已结算",赛事明细!$E$4:$E$1000,$A113,赛事明细!$Q$4:$Q$1000,"红")</x:f>
        <x:v>1</x:v>
      </x:c>
      <x:c r="D113" s="41" t="n">
        <x:f>COUNTIFS(赛事明细!$P$4:$P$1000,"已结算",赛事明细!$E$4:$E$1000,$A113,赛事明细!$Q$4:$Q$1000,"半红")</x:f>
        <x:v>0</x:v>
      </x:c>
      <x:c r="E113" s="41" t="n">
        <x:f>COUNTIFS(赛事明细!$P$4:$P$1000,"已结算",赛事明细!$E$4:$E$1000,$A113,赛事明细!$Q$4:$Q$1000,"走")</x:f>
        <x:v>0</x:v>
      </x:c>
      <x:c r="F113" s="41" t="n">
        <x:f>COUNTIFS(赛事明细!$P$4:$P$1000,"已结算",赛事明细!$E$4:$E$1000,$A113,赛事明细!$Q$4:$Q$1000,"半黑")</x:f>
        <x:v>1</x:v>
      </x:c>
      <x:c r="G113" s="41" t="n">
        <x:f>COUNTIFS(赛事明细!$P$4:$P$1000,"已结算",赛事明细!$E$4:$E$1000,$A113,赛事明细!$Q$4:$Q$1000,"黑")</x:f>
        <x:v>1</x:v>
      </x:c>
      <x:c r="H113" s="42">
        <x:f t="shared" si="4"/>
        <x:v>0.4</x:v>
      </x:c>
      <x:c r="I113" s="43" t="n">
        <x:f>SUMIFS(赛事明细!$S$4:$S$1000,赛事明细!$P$4:$P$1000,"已结算",赛事明细!$E$4:$E$1000,$A113)</x:f>
        <x:v>-0.51</x:v>
      </x:c>
      <x:c r="J113" s="42">
        <x:f t="shared" si="5"/>
        <x:v>-0.17</x:v>
      </x:c>
      <x:c r="K113" s="41" t="str">
        <x:f t="shared" si="6"/>
        <x:v>样本&lt;5，谨慎解读</x:v>
      </x:c>
    </x:row>
    <x:row r="114" ht="24" customHeight="1">
      <x:c r="A114" s="41" t="s">
        <x:v>1297</x:v>
      </x:c>
      <x:c r="B114" s="41" t="n">
        <x:f>COUNTIFS(赛事明细!$P$4:$P$1000,"已结算",赛事明细!$E$4:$E$1000,$A114)</x:f>
        <x:v>2</x:v>
      </x:c>
      <x:c r="C114" s="41" t="n">
        <x:f>COUNTIFS(赛事明细!$P$4:$P$1000,"已结算",赛事明细!$E$4:$E$1000,$A114,赛事明细!$Q$4:$Q$1000,"红")</x:f>
        <x:v>2</x:v>
      </x:c>
      <x:c r="D114" s="41" t="n">
        <x:f>COUNTIFS(赛事明细!$P$4:$P$1000,"已结算",赛事明细!$E$4:$E$1000,$A114,赛事明细!$Q$4:$Q$1000,"半红")</x:f>
        <x:v>0</x:v>
      </x:c>
      <x:c r="E114" s="41" t="n">
        <x:f>COUNTIFS(赛事明细!$P$4:$P$1000,"已结算",赛事明细!$E$4:$E$1000,$A114,赛事明细!$Q$4:$Q$1000,"走")</x:f>
        <x:v>0</x:v>
      </x:c>
      <x:c r="F114" s="41" t="n">
        <x:f>COUNTIFS(赛事明细!$P$4:$P$1000,"已结算",赛事明细!$E$4:$E$1000,$A114,赛事明细!$Q$4:$Q$1000,"半黑")</x:f>
        <x:v>0</x:v>
      </x:c>
      <x:c r="G114" s="41" t="n">
        <x:f>COUNTIFS(赛事明细!$P$4:$P$1000,"已结算",赛事明细!$E$4:$E$1000,$A114,赛事明细!$Q$4:$Q$1000,"黑")</x:f>
        <x:v>0</x:v>
      </x:c>
      <x:c r="H114" s="42">
        <x:f t="shared" si="4"/>
        <x:v>1</x:v>
      </x:c>
      <x:c r="I114" s="43" t="n">
        <x:f>SUMIFS(赛事明细!$S$4:$S$1000,赛事明细!$P$4:$P$1000,"已结算",赛事明细!$E$4:$E$1000,$A114)</x:f>
        <x:v>1.86</x:v>
      </x:c>
      <x:c r="J114" s="42">
        <x:f t="shared" si="5"/>
        <x:v>0.93</x:v>
      </x:c>
      <x:c r="K114" s="41" t="str">
        <x:f t="shared" si="6"/>
        <x:v>样本&lt;5，谨慎解读</x:v>
      </x:c>
    </x:row>
    <x:row r="115" ht="24" customHeight="1">
      <x:c r="A115" s="41" t="s">
        <x:v>1306</x:v>
      </x:c>
      <x:c r="B115" s="41" t="n">
        <x:f>COUNTIFS(赛事明细!$P$4:$P$1000,"已结算",赛事明细!$E$4:$E$1000,$A115)</x:f>
        <x:v>1</x:v>
      </x:c>
      <x:c r="C115" s="41" t="n">
        <x:f>COUNTIFS(赛事明细!$P$4:$P$1000,"已结算",赛事明细!$E$4:$E$1000,$A115,赛事明细!$Q$4:$Q$1000,"红")</x:f>
        <x:v>0</x:v>
      </x:c>
      <x:c r="D115" s="41" t="n">
        <x:f>COUNTIFS(赛事明细!$P$4:$P$1000,"已结算",赛事明细!$E$4:$E$1000,$A115,赛事明细!$Q$4:$Q$1000,"半红")</x:f>
        <x:v>0</x:v>
      </x:c>
      <x:c r="E115" s="41" t="n">
        <x:f>COUNTIFS(赛事明细!$P$4:$P$1000,"已结算",赛事明细!$E$4:$E$1000,$A115,赛事明细!$Q$4:$Q$1000,"走")</x:f>
        <x:v>0</x:v>
      </x:c>
      <x:c r="F115" s="41" t="n">
        <x:f>COUNTIFS(赛事明细!$P$4:$P$1000,"已结算",赛事明细!$E$4:$E$1000,$A115,赛事明细!$Q$4:$Q$1000,"半黑")</x:f>
        <x:v>1</x:v>
      </x:c>
      <x:c r="G115" s="41" t="n">
        <x:f>COUNTIFS(赛事明细!$P$4:$P$1000,"已结算",赛事明细!$E$4:$E$1000,$A115,赛事明细!$Q$4:$Q$1000,"黑")</x:f>
        <x:v>0</x:v>
      </x:c>
      <x:c r="H115" s="42">
        <x:f t="shared" si="4"/>
        <x:v>0</x:v>
      </x:c>
      <x:c r="I115" s="43" t="n">
        <x:f>SUMIFS(赛事明细!$S$4:$S$1000,赛事明细!$P$4:$P$1000,"已结算",赛事明细!$E$4:$E$1000,$A115)</x:f>
        <x:v>-0.5</x:v>
      </x:c>
      <x:c r="J115" s="42">
        <x:f t="shared" si="5"/>
        <x:v>-0.5</x:v>
      </x:c>
      <x:c r="K115" s="41" t="str">
        <x:f t="shared" si="6"/>
        <x:v>样本&lt;5，谨慎解读</x:v>
      </x:c>
    </x:row>
    <x:row r="116" ht="24" customHeight="1">
      <x:c r="A116" s="41" t="s">
        <x:v>1311</x:v>
      </x:c>
      <x:c r="B116" s="41" t="n">
        <x:f>COUNTIFS(赛事明细!$P$4:$P$1000,"已结算",赛事明细!$E$4:$E$1000,$A116)</x:f>
        <x:v>3</x:v>
      </x:c>
      <x:c r="C116" s="41" t="n">
        <x:f>COUNTIFS(赛事明细!$P$4:$P$1000,"已结算",赛事明细!$E$4:$E$1000,$A116,赛事明细!$Q$4:$Q$1000,"红")</x:f>
        <x:v>2</x:v>
      </x:c>
      <x:c r="D116" s="41" t="n">
        <x:f>COUNTIFS(赛事明细!$P$4:$P$1000,"已结算",赛事明细!$E$4:$E$1000,$A116,赛事明细!$Q$4:$Q$1000,"半红")</x:f>
        <x:v>0</x:v>
      </x:c>
      <x:c r="E116" s="41" t="n">
        <x:f>COUNTIFS(赛事明细!$P$4:$P$1000,"已结算",赛事明细!$E$4:$E$1000,$A116,赛事明细!$Q$4:$Q$1000,"走")</x:f>
        <x:v>1</x:v>
      </x:c>
      <x:c r="F116" s="41" t="n">
        <x:f>COUNTIFS(赛事明细!$P$4:$P$1000,"已结算",赛事明细!$E$4:$E$1000,$A116,赛事明细!$Q$4:$Q$1000,"半黑")</x:f>
        <x:v>0</x:v>
      </x:c>
      <x:c r="G116" s="41" t="n">
        <x:f>COUNTIFS(赛事明细!$P$4:$P$1000,"已结算",赛事明细!$E$4:$E$1000,$A116,赛事明细!$Q$4:$Q$1000,"黑")</x:f>
        <x:v>0</x:v>
      </x:c>
      <x:c r="H116" s="42">
        <x:f t="shared" si="4"/>
        <x:v>1</x:v>
      </x:c>
      <x:c r="I116" s="43" t="n">
        <x:f>SUMIFS(赛事明细!$S$4:$S$1000,赛事明细!$P$4:$P$1000,"已结算",赛事明细!$E$4:$E$1000,$A116)</x:f>
        <x:v>1.8399999999999999</x:v>
      </x:c>
      <x:c r="J116" s="42">
        <x:f t="shared" si="5"/>
        <x:v>0.613333333333333</x:v>
      </x:c>
      <x:c r="K116" s="41" t="str">
        <x:f t="shared" si="6"/>
        <x:v>样本&lt;5，谨慎解读</x:v>
      </x:c>
    </x:row>
    <x:row r="117" ht="24" customHeight="1">
      <x:c r="A117" s="41" t="s">
        <x:v>1339</x:v>
      </x:c>
      <x:c r="B117" s="41" t="n">
        <x:f>COUNTIFS(赛事明细!$P$4:$P$1000,"已结算",赛事明细!$E$4:$E$1000,$A117)</x:f>
        <x:v>2</x:v>
      </x:c>
      <x:c r="C117" s="41" t="n">
        <x:f>COUNTIFS(赛事明细!$P$4:$P$1000,"已结算",赛事明细!$E$4:$E$1000,$A117,赛事明细!$Q$4:$Q$1000,"红")</x:f>
        <x:v>1</x:v>
      </x:c>
      <x:c r="D117" s="41" t="n">
        <x:f>COUNTIFS(赛事明细!$P$4:$P$1000,"已结算",赛事明细!$E$4:$E$1000,$A117,赛事明细!$Q$4:$Q$1000,"半红")</x:f>
        <x:v>0</x:v>
      </x:c>
      <x:c r="E117" s="41" t="n">
        <x:f>COUNTIFS(赛事明细!$P$4:$P$1000,"已结算",赛事明细!$E$4:$E$1000,$A117,赛事明细!$Q$4:$Q$1000,"走")</x:f>
        <x:v>0</x:v>
      </x:c>
      <x:c r="F117" s="41" t="n">
        <x:f>COUNTIFS(赛事明细!$P$4:$P$1000,"已结算",赛事明细!$E$4:$E$1000,$A117,赛事明细!$Q$4:$Q$1000,"半黑")</x:f>
        <x:v>0</x:v>
      </x:c>
      <x:c r="G117" s="41" t="n">
        <x:f>COUNTIFS(赛事明细!$P$4:$P$1000,"已结算",赛事明细!$E$4:$E$1000,$A117,赛事明细!$Q$4:$Q$1000,"黑")</x:f>
        <x:v>1</x:v>
      </x:c>
      <x:c r="H117" s="42">
        <x:f t="shared" si="4"/>
        <x:v>0.5</x:v>
      </x:c>
      <x:c r="I117" s="43" t="n">
        <x:f>SUMIFS(赛事明细!$S$4:$S$1000,赛事明细!$P$4:$P$1000,"已结算",赛事明细!$E$4:$E$1000,$A117)</x:f>
        <x:v>-0.08999999999999997</x:v>
      </x:c>
      <x:c r="J117" s="42">
        <x:f t="shared" si="5"/>
        <x:v>-0.045</x:v>
      </x:c>
      <x:c r="K117" s="41" t="str">
        <x:f t="shared" si="6"/>
        <x:v>样本&lt;5，谨慎解读</x:v>
      </x:c>
    </x:row>
    <x:row r="118" ht="24" customHeight="1">
      <x:c r="A118" s="41" t="s">
        <x:v>1358</x:v>
      </x:c>
      <x:c r="B118" s="41" t="n">
        <x:f>COUNTIFS(赛事明细!$P$4:$P$1000,"已结算",赛事明细!$E$4:$E$1000,$A118)</x:f>
        <x:v>2</x:v>
      </x:c>
      <x:c r="C118" s="41" t="n">
        <x:f>COUNTIFS(赛事明细!$P$4:$P$1000,"已结算",赛事明细!$E$4:$E$1000,$A118,赛事明细!$Q$4:$Q$1000,"红")</x:f>
        <x:v>1</x:v>
      </x:c>
      <x:c r="D118" s="41" t="n">
        <x:f>COUNTIFS(赛事明细!$P$4:$P$1000,"已结算",赛事明细!$E$4:$E$1000,$A118,赛事明细!$Q$4:$Q$1000,"半红")</x:f>
        <x:v>0</x:v>
      </x:c>
      <x:c r="E118" s="41" t="n">
        <x:f>COUNTIFS(赛事明细!$P$4:$P$1000,"已结算",赛事明细!$E$4:$E$1000,$A118,赛事明细!$Q$4:$Q$1000,"走")</x:f>
        <x:v>0</x:v>
      </x:c>
      <x:c r="F118" s="41" t="n">
        <x:f>COUNTIFS(赛事明细!$P$4:$P$1000,"已结算",赛事明细!$E$4:$E$1000,$A118,赛事明细!$Q$4:$Q$1000,"半黑")</x:f>
        <x:v>1</x:v>
      </x:c>
      <x:c r="G118" s="41" t="n">
        <x:f>COUNTIFS(赛事明细!$P$4:$P$1000,"已结算",赛事明细!$E$4:$E$1000,$A118,赛事明细!$Q$4:$Q$1000,"黑")</x:f>
        <x:v>0</x:v>
      </x:c>
      <x:c r="H118" s="42">
        <x:f t="shared" si="4"/>
        <x:v>0.666666666666667</x:v>
      </x:c>
      <x:c r="I118" s="43" t="n">
        <x:f>SUMIFS(赛事明细!$S$4:$S$1000,赛事明细!$P$4:$P$1000,"已结算",赛事明细!$E$4:$E$1000,$A118)</x:f>
        <x:v>0.5</x:v>
      </x:c>
      <x:c r="J118" s="42">
        <x:f t="shared" si="5"/>
        <x:v>0.25</x:v>
      </x:c>
      <x:c r="K118" s="41" t="str">
        <x:f t="shared" si="6"/>
        <x:v>样本&lt;5，谨慎解读</x:v>
      </x:c>
    </x:row>
    <x:row r="119" ht="24" customHeight="1">
      <x:c r="A119" s="41" t="s">
        <x:v>1373</x:v>
      </x:c>
      <x:c r="B119" s="41" t="n">
        <x:f>COUNTIFS(赛事明细!$P$4:$P$1000,"已结算",赛事明细!$E$4:$E$1000,$A119)</x:f>
        <x:v>3</x:v>
      </x:c>
      <x:c r="C119" s="41" t="n">
        <x:f>COUNTIFS(赛事明细!$P$4:$P$1000,"已结算",赛事明细!$E$4:$E$1000,$A119,赛事明细!$Q$4:$Q$1000,"红")</x:f>
        <x:v>2</x:v>
      </x:c>
      <x:c r="D119" s="41" t="n">
        <x:f>COUNTIFS(赛事明细!$P$4:$P$1000,"已结算",赛事明细!$E$4:$E$1000,$A119,赛事明细!$Q$4:$Q$1000,"半红")</x:f>
        <x:v>0</x:v>
      </x:c>
      <x:c r="E119" s="41" t="n">
        <x:f>COUNTIFS(赛事明细!$P$4:$P$1000,"已结算",赛事明细!$E$4:$E$1000,$A119,赛事明细!$Q$4:$Q$1000,"走")</x:f>
        <x:v>0</x:v>
      </x:c>
      <x:c r="F119" s="41" t="n">
        <x:f>COUNTIFS(赛事明细!$P$4:$P$1000,"已结算",赛事明细!$E$4:$E$1000,$A119,赛事明细!$Q$4:$Q$1000,"半黑")</x:f>
        <x:v>0</x:v>
      </x:c>
      <x:c r="G119" s="41" t="n">
        <x:f>COUNTIFS(赛事明细!$P$4:$P$1000,"已结算",赛事明细!$E$4:$E$1000,$A119,赛事明细!$Q$4:$Q$1000,"黑")</x:f>
        <x:v>1</x:v>
      </x:c>
      <x:c r="H119" s="42">
        <x:f t="shared" si="4"/>
        <x:v>0.666666666666667</x:v>
      </x:c>
      <x:c r="I119" s="43" t="n">
        <x:f>SUMIFS(赛事明细!$S$4:$S$1000,赛事明细!$P$4:$P$1000,"已结算",赛事明细!$E$4:$E$1000,$A119)</x:f>
        <x:v>0.6400000000000001</x:v>
      </x:c>
      <x:c r="J119" s="42">
        <x:f t="shared" si="5"/>
        <x:v>0.213333333333333</x:v>
      </x:c>
      <x:c r="K119" s="41" t="str">
        <x:f t="shared" si="6"/>
        <x:v>样本&lt;5，谨慎解读</x:v>
      </x:c>
    </x:row>
    <x:row r="120" ht="24" customHeight="1">
      <x:c r="A120" s="41" t="s">
        <x:v>1379</x:v>
      </x:c>
      <x:c r="B120" s="41" t="n">
        <x:f>COUNTIFS(赛事明细!$P$4:$P$1000,"已结算",赛事明细!$E$4:$E$1000,$A120)</x:f>
        <x:v>1</x:v>
      </x:c>
      <x:c r="C120" s="41" t="n">
        <x:f>COUNTIFS(赛事明细!$P$4:$P$1000,"已结算",赛事明细!$E$4:$E$1000,$A120,赛事明细!$Q$4:$Q$1000,"红")</x:f>
        <x:v>1</x:v>
      </x:c>
      <x:c r="D120" s="41" t="n">
        <x:f>COUNTIFS(赛事明细!$P$4:$P$1000,"已结算",赛事明细!$E$4:$E$1000,$A120,赛事明细!$Q$4:$Q$1000,"半红")</x:f>
        <x:v>0</x:v>
      </x:c>
      <x:c r="E120" s="41" t="n">
        <x:f>COUNTIFS(赛事明细!$P$4:$P$1000,"已结算",赛事明细!$E$4:$E$1000,$A120,赛事明细!$Q$4:$Q$1000,"走")</x:f>
        <x:v>0</x:v>
      </x:c>
      <x:c r="F120" s="41" t="n">
        <x:f>COUNTIFS(赛事明细!$P$4:$P$1000,"已结算",赛事明细!$E$4:$E$1000,$A120,赛事明细!$Q$4:$Q$1000,"半黑")</x:f>
        <x:v>0</x:v>
      </x:c>
      <x:c r="G120" s="41" t="n">
        <x:f>COUNTIFS(赛事明细!$P$4:$P$1000,"已结算",赛事明细!$E$4:$E$1000,$A120,赛事明细!$Q$4:$Q$1000,"黑")</x:f>
        <x:v>0</x:v>
      </x:c>
      <x:c r="H120" s="42">
        <x:f t="shared" si="4"/>
        <x:v>1</x:v>
      </x:c>
      <x:c r="I120" s="43" t="n">
        <x:f>SUMIFS(赛事明细!$S$4:$S$1000,赛事明细!$P$4:$P$1000,"已结算",赛事明细!$E$4:$E$1000,$A120)</x:f>
        <x:v>0.82</x:v>
      </x:c>
      <x:c r="J120" s="42">
        <x:f t="shared" si="5"/>
        <x:v>0.82</x:v>
      </x:c>
      <x:c r="K120" s="41" t="str">
        <x:f t="shared" si="6"/>
        <x:v>样本&lt;5，谨慎解读</x:v>
      </x:c>
    </x:row>
    <x:row r="121" ht="24" customHeight="1">
      <x:c r="A121" s="41" t="s">
        <x:v>1446</x:v>
      </x:c>
      <x:c r="B121" s="41" t="n">
        <x:f>COUNTIFS(赛事明细!$P$4:$P$1000,"已结算",赛事明细!$E$4:$E$1000,$A121)</x:f>
        <x:v>2</x:v>
      </x:c>
      <x:c r="C121" s="41" t="n">
        <x:f>COUNTIFS(赛事明细!$P$4:$P$1000,"已结算",赛事明细!$E$4:$E$1000,$A121,赛事明细!$Q$4:$Q$1000,"红")</x:f>
        <x:v>2</x:v>
      </x:c>
      <x:c r="D121" s="41" t="n">
        <x:f>COUNTIFS(赛事明细!$P$4:$P$1000,"已结算",赛事明细!$E$4:$E$1000,$A121,赛事明细!$Q$4:$Q$1000,"半红")</x:f>
        <x:v>0</x:v>
      </x:c>
      <x:c r="E121" s="41" t="n">
        <x:f>COUNTIFS(赛事明细!$P$4:$P$1000,"已结算",赛事明细!$E$4:$E$1000,$A121,赛事明细!$Q$4:$Q$1000,"走")</x:f>
        <x:v>0</x:v>
      </x:c>
      <x:c r="F121" s="41" t="n">
        <x:f>COUNTIFS(赛事明细!$P$4:$P$1000,"已结算",赛事明细!$E$4:$E$1000,$A121,赛事明细!$Q$4:$Q$1000,"半黑")</x:f>
        <x:v>0</x:v>
      </x:c>
      <x:c r="G121" s="41" t="n">
        <x:f>COUNTIFS(赛事明细!$P$4:$P$1000,"已结算",赛事明细!$E$4:$E$1000,$A121,赛事明细!$Q$4:$Q$1000,"黑")</x:f>
        <x:v>0</x:v>
      </x:c>
      <x:c r="H121" s="42">
        <x:f t="shared" si="4"/>
        <x:v>1</x:v>
      </x:c>
      <x:c r="I121" s="43" t="n">
        <x:f>SUMIFS(赛事明细!$S$4:$S$1000,赛事明细!$P$4:$P$1000,"已结算",赛事明细!$E$4:$E$1000,$A121)</x:f>
        <x:v>1.61</x:v>
      </x:c>
      <x:c r="J121" s="42">
        <x:f t="shared" si="5"/>
        <x:v>0.805</x:v>
      </x:c>
      <x:c r="K121" s="41" t="str">
        <x:f t="shared" si="6"/>
        <x:v>样本&lt;5，谨慎解读</x:v>
      </x:c>
    </x:row>
    <x:row r="122" ht="24" customHeight="1">
      <x:c r="A122" s="41" t="s">
        <x:v>1479</x:v>
      </x:c>
      <x:c r="B122" s="41" t="n">
        <x:f>COUNTIFS(赛事明细!$P$4:$P$1000,"已结算",赛事明细!$E$4:$E$1000,$A122)</x:f>
        <x:v>6</x:v>
      </x:c>
      <x:c r="C122" s="41" t="n">
        <x:f>COUNTIFS(赛事明细!$P$4:$P$1000,"已结算",赛事明细!$E$4:$E$1000,$A122,赛事明细!$Q$4:$Q$1000,"红")</x:f>
        <x:v>2</x:v>
      </x:c>
      <x:c r="D122" s="41" t="n">
        <x:f>COUNTIFS(赛事明细!$P$4:$P$1000,"已结算",赛事明细!$E$4:$E$1000,$A122,赛事明细!$Q$4:$Q$1000,"半红")</x:f>
        <x:v>0</x:v>
      </x:c>
      <x:c r="E122" s="41" t="n">
        <x:f>COUNTIFS(赛事明细!$P$4:$P$1000,"已结算",赛事明细!$E$4:$E$1000,$A122,赛事明细!$Q$4:$Q$1000,"走")</x:f>
        <x:v>0</x:v>
      </x:c>
      <x:c r="F122" s="41" t="n">
        <x:f>COUNTIFS(赛事明细!$P$4:$P$1000,"已结算",赛事明细!$E$4:$E$1000,$A122,赛事明细!$Q$4:$Q$1000,"半黑")</x:f>
        <x:v>0</x:v>
      </x:c>
      <x:c r="G122" s="41" t="n">
        <x:f>COUNTIFS(赛事明细!$P$4:$P$1000,"已结算",赛事明细!$E$4:$E$1000,$A122,赛事明细!$Q$4:$Q$1000,"黑")</x:f>
        <x:v>4</x:v>
      </x:c>
      <x:c r="H122" s="42">
        <x:f t="shared" si="4"/>
        <x:v>0.2</x:v>
      </x:c>
      <x:c r="I122" s="43" t="n">
        <x:f>SUMIFS(赛事明细!$S$4:$S$1000,赛事明细!$P$4:$P$1000,"已结算",赛事明细!$E$4:$E$1000,$A122)</x:f>
        <x:v>-3.16</x:v>
      </x:c>
      <x:c r="J122" s="42">
        <x:f t="shared" si="5"/>
        <x:v>-0.632</x:v>
      </x:c>
      <x:c r="K122" s="41" t="str">
        <x:f t="shared" si="6"/>
      </x:c>
    </x:row>
    <x:row r="123" ht="24" customHeight="1">
      <x:c r="A123" s="41" t="s">
        <x:v>1483</x:v>
      </x:c>
      <x:c r="B123" s="41" t="n">
        <x:f>COUNTIFS(赛事明细!$P$4:$P$1000,"已结算",赛事明细!$E$4:$E$1000,$A123)</x:f>
        <x:v>6</x:v>
      </x:c>
      <x:c r="C123" s="41" t="n">
        <x:f>COUNTIFS(赛事明细!$P$4:$P$1000,"已结算",赛事明细!$E$4:$E$1000,$A123,赛事明细!$Q$4:$Q$1000,"红")</x:f>
        <x:v>4</x:v>
      </x:c>
      <x:c r="D123" s="41" t="n">
        <x:f>COUNTIFS(赛事明细!$P$4:$P$1000,"已结算",赛事明细!$E$4:$E$1000,$A123,赛事明细!$Q$4:$Q$1000,"半红")</x:f>
        <x:v>1</x:v>
      </x:c>
      <x:c r="E123" s="41" t="n">
        <x:f>COUNTIFS(赛事明细!$P$4:$P$1000,"已结算",赛事明细!$E$4:$E$1000,$A123,赛事明细!$Q$4:$Q$1000,"走")</x:f>
        <x:v>0</x:v>
      </x:c>
      <x:c r="F123" s="41" t="n">
        <x:f>COUNTIFS(赛事明细!$P$4:$P$1000,"已结算",赛事明细!$E$4:$E$1000,$A123,赛事明细!$Q$4:$Q$1000,"半黑")</x:f>
        <x:v>0</x:v>
      </x:c>
      <x:c r="G123" s="41" t="n">
        <x:f>COUNTIFS(赛事明细!$P$4:$P$1000,"已结算",赛事明细!$E$4:$E$1000,$A123,赛事明细!$Q$4:$Q$1000,"黑")</x:f>
        <x:v>1</x:v>
      </x:c>
      <x:c r="H123" s="42">
        <x:f t="shared" si="4"/>
        <x:v>0.818181818181818</x:v>
      </x:c>
      <x:c r="I123" s="43" t="n">
        <x:f>SUMIFS(赛事明细!$S$4:$S$1000,赛事明细!$P$4:$P$1000,"已结算",赛事明细!$E$4:$E$1000,$A123)</x:f>
        <x:v>2.9699999999999998</x:v>
      </x:c>
      <x:c r="J123" s="42">
        <x:f t="shared" si="5"/>
        <x:v>0.495</x:v>
      </x:c>
      <x:c r="K123" s="41" t="str">
        <x:f t="shared" si="6"/>
      </x:c>
    </x:row>
    <x:row r="124" ht="24" customHeight="1">
      <x:c r="A124" s="41" t="s">
        <x:v>1492</x:v>
      </x:c>
      <x:c r="B124" s="41" t="n">
        <x:f>COUNTIFS(赛事明细!$P$4:$P$1000,"已结算",赛事明细!$E$4:$E$1000,$A124)</x:f>
        <x:v>1</x:v>
      </x:c>
      <x:c r="C124" s="41" t="n">
        <x:f>COUNTIFS(赛事明细!$P$4:$P$1000,"已结算",赛事明细!$E$4:$E$1000,$A124,赛事明细!$Q$4:$Q$1000,"红")</x:f>
        <x:v>1</x:v>
      </x:c>
      <x:c r="D124" s="41" t="n">
        <x:f>COUNTIFS(赛事明细!$P$4:$P$1000,"已结算",赛事明细!$E$4:$E$1000,$A124,赛事明细!$Q$4:$Q$1000,"半红")</x:f>
        <x:v>0</x:v>
      </x:c>
      <x:c r="E124" s="41" t="n">
        <x:f>COUNTIFS(赛事明细!$P$4:$P$1000,"已结算",赛事明细!$E$4:$E$1000,$A124,赛事明细!$Q$4:$Q$1000,"走")</x:f>
        <x:v>0</x:v>
      </x:c>
      <x:c r="F124" s="41" t="n">
        <x:f>COUNTIFS(赛事明细!$P$4:$P$1000,"已结算",赛事明细!$E$4:$E$1000,$A124,赛事明细!$Q$4:$Q$1000,"半黑")</x:f>
        <x:v>0</x:v>
      </x:c>
      <x:c r="G124" s="41" t="n">
        <x:f>COUNTIFS(赛事明细!$P$4:$P$1000,"已结算",赛事明细!$E$4:$E$1000,$A124,赛事明细!$Q$4:$Q$1000,"黑")</x:f>
        <x:v>0</x:v>
      </x:c>
      <x:c r="H124" s="42">
        <x:f t="shared" si="4"/>
        <x:v>1</x:v>
      </x:c>
      <x:c r="I124" s="43" t="n">
        <x:f>SUMIFS(赛事明细!$S$4:$S$1000,赛事明细!$P$4:$P$1000,"已结算",赛事明细!$E$4:$E$1000,$A124)</x:f>
        <x:v>0.84</x:v>
      </x:c>
      <x:c r="J124" s="42">
        <x:f t="shared" si="5"/>
        <x:v>0.84</x:v>
      </x:c>
      <x:c r="K124" s="41" t="str">
        <x:f t="shared" si="6"/>
        <x:v>样本&lt;5，谨慎解读</x:v>
      </x:c>
    </x:row>
    <x:row r="125" ht="24" customHeight="1">
      <x:c r="A125" s="41" t="s">
        <x:v>1682</x:v>
      </x:c>
      <x:c r="B125" s="41" t="n">
        <x:f>COUNTIFS(赛事明细!$P$4:$P$1000,"已结算",赛事明细!$E$4:$E$1000,$A125)</x:f>
        <x:v>2</x:v>
      </x:c>
      <x:c r="C125" s="41" t="n">
        <x:f>COUNTIFS(赛事明细!$P$4:$P$1000,"已结算",赛事明细!$E$4:$E$1000,$A125,赛事明细!$Q$4:$Q$1000,"红")</x:f>
        <x:v>1</x:v>
      </x:c>
      <x:c r="D125" s="41" t="n">
        <x:f>COUNTIFS(赛事明细!$P$4:$P$1000,"已结算",赛事明细!$E$4:$E$1000,$A125,赛事明细!$Q$4:$Q$1000,"半红")</x:f>
        <x:v>0</x:v>
      </x:c>
      <x:c r="E125" s="41" t="n">
        <x:f>COUNTIFS(赛事明细!$P$4:$P$1000,"已结算",赛事明细!$E$4:$E$1000,$A125,赛事明细!$Q$4:$Q$1000,"走")</x:f>
        <x:v>0</x:v>
      </x:c>
      <x:c r="F125" s="41" t="n">
        <x:f>COUNTIFS(赛事明细!$P$4:$P$1000,"已结算",赛事明细!$E$4:$E$1000,$A125,赛事明细!$Q$4:$Q$1000,"半黑")</x:f>
        <x:v>0</x:v>
      </x:c>
      <x:c r="G125" s="41" t="n">
        <x:f>COUNTIFS(赛事明细!$P$4:$P$1000,"已结算",赛事明细!$E$4:$E$1000,$A125,赛事明细!$Q$4:$Q$1000,"黑")</x:f>
        <x:v>1</x:v>
      </x:c>
      <x:c r="H125" s="42">
        <x:f t="shared" si="4"/>
        <x:v>0.5</x:v>
      </x:c>
      <x:c r="I125" s="43" t="n">
        <x:f>SUMIFS(赛事明细!$S$4:$S$1000,赛事明细!$P$4:$P$1000,"已结算",赛事明细!$E$4:$E$1000,$A125)</x:f>
        <x:v>-0.19999999999999996</x:v>
      </x:c>
      <x:c r="J125" s="42">
        <x:f t="shared" si="5"/>
        <x:v>-0.1</x:v>
      </x:c>
      <x:c r="K125" s="41" t="str">
        <x:f t="shared" si="6"/>
        <x:v>样本&lt;5，谨慎解读</x:v>
      </x:c>
    </x:row>
    <x:row r="126" ht="24" customHeight="1">
      <x:c r="A126" s="41" t="s">
        <x:v>1754</x:v>
      </x:c>
      <x:c r="B126" s="41" t="n">
        <x:f>COUNTIFS(赛事明细!$P$4:$P$1000,"已结算",赛事明细!$E$4:$E$1000,$A126)</x:f>
        <x:v>5</x:v>
      </x:c>
      <x:c r="C126" s="41" t="n">
        <x:f>COUNTIFS(赛事明细!$P$4:$P$1000,"已结算",赛事明细!$E$4:$E$1000,$A126,赛事明细!$Q$4:$Q$1000,"红")</x:f>
        <x:v>0</x:v>
      </x:c>
      <x:c r="D126" s="41" t="n">
        <x:f>COUNTIFS(赛事明细!$P$4:$P$1000,"已结算",赛事明细!$E$4:$E$1000,$A126,赛事明细!$Q$4:$Q$1000,"半红")</x:f>
        <x:v>0</x:v>
      </x:c>
      <x:c r="E126" s="41" t="n">
        <x:f>COUNTIFS(赛事明细!$P$4:$P$1000,"已结算",赛事明细!$E$4:$E$1000,$A126,赛事明细!$Q$4:$Q$1000,"走")</x:f>
        <x:v>0</x:v>
      </x:c>
      <x:c r="F126" s="41" t="n">
        <x:f>COUNTIFS(赛事明细!$P$4:$P$1000,"已结算",赛事明细!$E$4:$E$1000,$A126,赛事明细!$Q$4:$Q$1000,"半黑")</x:f>
        <x:v>2</x:v>
      </x:c>
      <x:c r="G126" s="41" t="n">
        <x:f>COUNTIFS(赛事明细!$P$4:$P$1000,"已结算",赛事明细!$E$4:$E$1000,$A126,赛事明细!$Q$4:$Q$1000,"黑")</x:f>
        <x:v>3</x:v>
      </x:c>
      <x:c r="H126" s="42">
        <x:f t="shared" si="4"/>
        <x:v>0</x:v>
      </x:c>
      <x:c r="I126" s="43" t="n">
        <x:f>SUMIFS(赛事明细!$S$4:$S$1000,赛事明细!$P$4:$P$1000,"已结算",赛事明细!$E$4:$E$1000,$A126)</x:f>
        <x:v>-4</x:v>
      </x:c>
      <x:c r="J126" s="42">
        <x:f t="shared" si="5"/>
        <x:v>-0.8</x:v>
      </x:c>
      <x:c r="K126" s="41" t="str">
        <x:f t="shared" si="6"/>
      </x:c>
    </x:row>
    <x:row r="127" ht="24" customHeight="1">
      <x:c r="A127" s="41" t="s">
        <x:v>1816</x:v>
      </x:c>
      <x:c r="B127" s="41" t="n">
        <x:f>COUNTIFS(赛事明细!$P$4:$P$1000,"已结算",赛事明细!$E$4:$E$1000,$A127)</x:f>
        <x:v>1</x:v>
      </x:c>
      <x:c r="C127" s="41" t="n">
        <x:f>COUNTIFS(赛事明细!$P$4:$P$1000,"已结算",赛事明细!$E$4:$E$1000,$A127,赛事明细!$Q$4:$Q$1000,"红")</x:f>
        <x:v>1</x:v>
      </x:c>
      <x:c r="D127" s="41" t="n">
        <x:f>COUNTIFS(赛事明细!$P$4:$P$1000,"已结算",赛事明细!$E$4:$E$1000,$A127,赛事明细!$Q$4:$Q$1000,"半红")</x:f>
        <x:v>0</x:v>
      </x:c>
      <x:c r="E127" s="41" t="n">
        <x:f>COUNTIFS(赛事明细!$P$4:$P$1000,"已结算",赛事明细!$E$4:$E$1000,$A127,赛事明细!$Q$4:$Q$1000,"走")</x:f>
        <x:v>0</x:v>
      </x:c>
      <x:c r="F127" s="41" t="n">
        <x:f>COUNTIFS(赛事明细!$P$4:$P$1000,"已结算",赛事明细!$E$4:$E$1000,$A127,赛事明细!$Q$4:$Q$1000,"半黑")</x:f>
        <x:v>0</x:v>
      </x:c>
      <x:c r="G127" s="41" t="n">
        <x:f>COUNTIFS(赛事明细!$P$4:$P$1000,"已结算",赛事明细!$E$4:$E$1000,$A127,赛事明细!$Q$4:$Q$1000,"黑")</x:f>
        <x:v>0</x:v>
      </x:c>
      <x:c r="H127" s="42">
        <x:f t="shared" si="4"/>
        <x:v>1</x:v>
      </x:c>
      <x:c r="I127" s="43" t="n">
        <x:f>SUMIFS(赛事明细!$S$4:$S$1000,赛事明细!$P$4:$P$1000,"已结算",赛事明细!$E$4:$E$1000,$A127)</x:f>
        <x:v>0.8</x:v>
      </x:c>
      <x:c r="J127" s="42">
        <x:f t="shared" si="5"/>
        <x:v>0.8</x:v>
      </x:c>
      <x:c r="K127" s="41" t="str">
        <x:f t="shared" si="6"/>
        <x:v>样本&lt;5，谨慎解读</x:v>
      </x:c>
    </x:row>
    <x:row r="128" ht="24" customHeight="1">
      <x:c r="A128" s="41" t="s">
        <x:v>1863</x:v>
      </x:c>
      <x:c r="B128" s="41" t="n">
        <x:f>COUNTIFS(赛事明细!$P$4:$P$1000,"已结算",赛事明细!$E$4:$E$1000,$A128)</x:f>
        <x:v>3</x:v>
      </x:c>
      <x:c r="C128" s="41" t="n">
        <x:f>COUNTIFS(赛事明细!$P$4:$P$1000,"已结算",赛事明细!$E$4:$E$1000,$A128,赛事明细!$Q$4:$Q$1000,"红")</x:f>
        <x:v>3</x:v>
      </x:c>
      <x:c r="D128" s="41" t="n">
        <x:f>COUNTIFS(赛事明细!$P$4:$P$1000,"已结算",赛事明细!$E$4:$E$1000,$A128,赛事明细!$Q$4:$Q$1000,"半红")</x:f>
        <x:v>0</x:v>
      </x:c>
      <x:c r="E128" s="41" t="n">
        <x:f>COUNTIFS(赛事明细!$P$4:$P$1000,"已结算",赛事明细!$E$4:$E$1000,$A128,赛事明细!$Q$4:$Q$1000,"走")</x:f>
        <x:v>0</x:v>
      </x:c>
      <x:c r="F128" s="41" t="n">
        <x:f>COUNTIFS(赛事明细!$P$4:$P$1000,"已结算",赛事明细!$E$4:$E$1000,$A128,赛事明细!$Q$4:$Q$1000,"半黑")</x:f>
        <x:v>0</x:v>
      </x:c>
      <x:c r="G128" s="41" t="n">
        <x:f>COUNTIFS(赛事明细!$P$4:$P$1000,"已结算",赛事明细!$E$4:$E$1000,$A128,赛事明细!$Q$4:$Q$1000,"黑")</x:f>
        <x:v>0</x:v>
      </x:c>
      <x:c r="H128" s="42">
        <x:f t="shared" si="4"/>
        <x:v>1</x:v>
      </x:c>
      <x:c r="I128" s="43" t="n">
        <x:f>SUMIFS(赛事明细!$S$4:$S$1000,赛事明细!$P$4:$P$1000,"已结算",赛事明细!$E$4:$E$1000,$A128)</x:f>
        <x:v>2.73</x:v>
      </x:c>
      <x:c r="J128" s="42">
        <x:f t="shared" si="5"/>
        <x:v>0.91</x:v>
      </x:c>
      <x:c r="K128" s="41" t="str">
        <x:f t="shared" si="6"/>
        <x:v>样本&lt;5，谨慎解读</x:v>
      </x:c>
    </x:row>
    <x:row r="129" ht="24" customHeight="1">
      <x:c r="A129" s="41" t="s">
        <x:v>2009</x:v>
      </x:c>
      <x:c r="B129" s="41" t="n">
        <x:f>COUNTIFS(赛事明细!$P$4:$P$1000,"已结算",赛事明细!$E$4:$E$1000,$A129)</x:f>
        <x:v>8</x:v>
      </x:c>
      <x:c r="C129" s="41" t="n">
        <x:f>COUNTIFS(赛事明细!$P$4:$P$1000,"已结算",赛事明细!$E$4:$E$1000,$A129,赛事明细!$Q$4:$Q$1000,"红")</x:f>
        <x:v>4</x:v>
      </x:c>
      <x:c r="D129" s="41" t="n">
        <x:f>COUNTIFS(赛事明细!$P$4:$P$1000,"已结算",赛事明细!$E$4:$E$1000,$A129,赛事明细!$Q$4:$Q$1000,"半红")</x:f>
        <x:v>0</x:v>
      </x:c>
      <x:c r="E129" s="41" t="n">
        <x:f>COUNTIFS(赛事明细!$P$4:$P$1000,"已结算",赛事明细!$E$4:$E$1000,$A129,赛事明细!$Q$4:$Q$1000,"走")</x:f>
        <x:v>0</x:v>
      </x:c>
      <x:c r="F129" s="41" t="n">
        <x:f>COUNTIFS(赛事明细!$P$4:$P$1000,"已结算",赛事明细!$E$4:$E$1000,$A129,赛事明细!$Q$4:$Q$1000,"半黑")</x:f>
        <x:v>1</x:v>
      </x:c>
      <x:c r="G129" s="41" t="n">
        <x:f>COUNTIFS(赛事明细!$P$4:$P$1000,"已结算",赛事明细!$E$4:$E$1000,$A129,赛事明细!$Q$4:$Q$1000,"黑")</x:f>
        <x:v>3</x:v>
      </x:c>
      <x:c r="H129" s="42">
        <x:f t="shared" si="4"/>
        <x:v>0.533333333333333</x:v>
      </x:c>
      <x:c r="I129" s="43" t="n">
        <x:f>SUMIFS(赛事明细!$S$4:$S$1000,赛事明细!$P$4:$P$1000,"已结算",赛事明细!$E$4:$E$1000,$A129)</x:f>
        <x:v>0.44999999999999996</x:v>
      </x:c>
      <x:c r="J129" s="42">
        <x:f t="shared" si="5"/>
        <x:v>0.05625</x:v>
      </x:c>
      <x:c r="K129" s="41" t="str">
        <x:f t="shared" si="6"/>
      </x:c>
    </x:row>
    <x:row r="130" ht="24" customHeight="1">
      <x:c r="A130" s="41" t="s">
        <x:v>2083</x:v>
      </x:c>
      <x:c r="B130" s="41" t="n">
        <x:f>COUNTIFS(赛事明细!$P$4:$P$1000,"已结算",赛事明细!$E$4:$E$1000,$A130)</x:f>
        <x:v>2</x:v>
      </x:c>
      <x:c r="C130" s="41" t="n">
        <x:f>COUNTIFS(赛事明细!$P$4:$P$1000,"已结算",赛事明细!$E$4:$E$1000,$A130,赛事明细!$Q$4:$Q$1000,"红")</x:f>
        <x:v>2</x:v>
      </x:c>
      <x:c r="D130" s="41" t="n">
        <x:f>COUNTIFS(赛事明细!$P$4:$P$1000,"已结算",赛事明细!$E$4:$E$1000,$A130,赛事明细!$Q$4:$Q$1000,"半红")</x:f>
        <x:v>0</x:v>
      </x:c>
      <x:c r="E130" s="41" t="n">
        <x:f>COUNTIFS(赛事明细!$P$4:$P$1000,"已结算",赛事明细!$E$4:$E$1000,$A130,赛事明细!$Q$4:$Q$1000,"走")</x:f>
        <x:v>0</x:v>
      </x:c>
      <x:c r="F130" s="41" t="n">
        <x:f>COUNTIFS(赛事明细!$P$4:$P$1000,"已结算",赛事明细!$E$4:$E$1000,$A130,赛事明细!$Q$4:$Q$1000,"半黑")</x:f>
        <x:v>0</x:v>
      </x:c>
      <x:c r="G130" s="41" t="n">
        <x:f>COUNTIFS(赛事明细!$P$4:$P$1000,"已结算",赛事明细!$E$4:$E$1000,$A130,赛事明细!$Q$4:$Q$1000,"黑")</x:f>
        <x:v>0</x:v>
      </x:c>
      <x:c r="H130" s="42">
        <x:f t="shared" si="4"/>
        <x:v>1</x:v>
      </x:c>
      <x:c r="I130" s="43" t="n">
        <x:f>SUMIFS(赛事明细!$S$4:$S$1000,赛事明细!$P$4:$P$1000,"已结算",赛事明细!$E$4:$E$1000,$A130)</x:f>
        <x:v>1.62</x:v>
      </x:c>
      <x:c r="J130" s="42">
        <x:f t="shared" si="5"/>
        <x:v>0.81</x:v>
      </x:c>
      <x:c r="K130" s="41" t="str">
        <x:f t="shared" si="6"/>
        <x:v>样本&lt;5，谨慎解读</x:v>
      </x:c>
    </x:row>
    <x:row r="131" ht="24" customHeight="1">
      <x:c r="A131" s="41" t="s">
        <x:v>2202</x:v>
      </x:c>
      <x:c r="B131" s="41" t="n">
        <x:f>COUNTIFS(赛事明细!$P$4:$P$1000,"已结算",赛事明细!$E$4:$E$1000,$A131)</x:f>
        <x:v>2</x:v>
      </x:c>
      <x:c r="C131" s="41" t="n">
        <x:f>COUNTIFS(赛事明细!$P$4:$P$1000,"已结算",赛事明细!$E$4:$E$1000,$A131,赛事明细!$Q$4:$Q$1000,"红")</x:f>
        <x:v>1</x:v>
      </x:c>
      <x:c r="D131" s="41" t="n">
        <x:f>COUNTIFS(赛事明细!$P$4:$P$1000,"已结算",赛事明细!$E$4:$E$1000,$A131,赛事明细!$Q$4:$Q$1000,"半红")</x:f>
        <x:v>0</x:v>
      </x:c>
      <x:c r="E131" s="41" t="n">
        <x:f>COUNTIFS(赛事明细!$P$4:$P$1000,"已结算",赛事明细!$E$4:$E$1000,$A131,赛事明细!$Q$4:$Q$1000,"走")</x:f>
        <x:v>1</x:v>
      </x:c>
      <x:c r="F131" s="41" t="n">
        <x:f>COUNTIFS(赛事明细!$P$4:$P$1000,"已结算",赛事明细!$E$4:$E$1000,$A131,赛事明细!$Q$4:$Q$1000,"半黑")</x:f>
        <x:v>0</x:v>
      </x:c>
      <x:c r="G131" s="41" t="n">
        <x:f>COUNTIFS(赛事明细!$P$4:$P$1000,"已结算",赛事明细!$E$4:$E$1000,$A131,赛事明细!$Q$4:$Q$1000,"黑")</x:f>
        <x:v>0</x:v>
      </x:c>
      <x:c r="H131" s="42">
        <x:f t="shared" si="4"/>
        <x:v>0</x:v>
      </x:c>
      <x:c r="I131" s="43" t="n">
        <x:f>SUMIFS(赛事明细!$S$4:$S$1000,赛事明细!$P$4:$P$1000,"已结算",赛事明细!$E$4:$E$1000,$A131)</x:f>
        <x:v>0.81</x:v>
      </x:c>
      <x:c r="J131" s="42">
        <x:f t="shared" si="5"/>
        <x:v>0</x:v>
      </x:c>
      <x:c r="K131" s="41" t="str">
        <x:f t="shared" si="6"/>
        <x:v>样本&lt;5，谨慎解读</x:v>
      </x:c>
    </x:row>
    <x:row r="132" ht="24" customHeight="1">
      <x:c r="A132" s="41" t="s">
        <x:v>2282</x:v>
      </x:c>
      <x:c r="B132" s="41" t="n">
        <x:f>COUNTIFS(赛事明细!$P$4:$P$1000,"已结算",赛事明细!$E$4:$E$1000,$A132)</x:f>
        <x:v>1</x:v>
      </x:c>
      <x:c r="C132" s="41" t="n">
        <x:f>COUNTIFS(赛事明细!$P$4:$P$1000,"已结算",赛事明细!$E$4:$E$1000,$A132,赛事明细!$Q$4:$Q$1000,"红")</x:f>
        <x:v>0</x:v>
      </x:c>
      <x:c r="D132" s="41" t="n">
        <x:f>COUNTIFS(赛事明细!$P$4:$P$1000,"已结算",赛事明细!$E$4:$E$1000,$A132,赛事明细!$Q$4:$Q$1000,"半红")</x:f>
        <x:v>0</x:v>
      </x:c>
      <x:c r="E132" s="41" t="n">
        <x:f>COUNTIFS(赛事明细!$P$4:$P$1000,"已结算",赛事明细!$E$4:$E$1000,$A132,赛事明细!$Q$4:$Q$1000,"走")</x:f>
        <x:v>0</x:v>
      </x:c>
      <x:c r="F132" s="41" t="n">
        <x:f>COUNTIFS(赛事明细!$P$4:$P$1000,"已结算",赛事明细!$E$4:$E$1000,$A132,赛事明细!$Q$4:$Q$1000,"半黑")</x:f>
        <x:v>0</x:v>
      </x:c>
      <x:c r="G132" s="41" t="n">
        <x:f>COUNTIFS(赛事明细!$P$4:$P$1000,"已结算",赛事明细!$E$4:$E$1000,$A132,赛事明细!$Q$4:$Q$1000,"黑")</x:f>
        <x:v>1</x:v>
      </x:c>
      <x:c r="H132" s="42">
        <x:f t="shared" si="4"/>
        <x:v>0</x:v>
      </x:c>
      <x:c r="I132" s="43" t="n">
        <x:f>SUMIFS(赛事明细!$S$4:$S$1000,赛事明细!$P$4:$P$1000,"已结算",赛事明细!$E$4:$E$1000,$A132)</x:f>
        <x:v>-1</x:v>
      </x:c>
      <x:c r="J132" s="42">
        <x:f t="shared" si="5"/>
        <x:v>-1</x:v>
      </x:c>
      <x:c r="K132" s="41" t="str">
        <x:f t="shared" si="6"/>
        <x:v>样本&lt;5，谨慎解读</x:v>
      </x:c>
    </x:row>
    <x:row r="133" ht="24" customHeight="1">
      <x:c r="A133" s="41" t="s">
        <x:v>2567</x:v>
      </x:c>
      <x:c r="B133" s="41" t="n">
        <x:f>COUNTIFS(赛事明细!$P$4:$P$1000,"已结算",赛事明细!$E$4:$E$1000,$A133)</x:f>
        <x:v>3</x:v>
      </x:c>
      <x:c r="C133" s="41" t="n">
        <x:f>COUNTIFS(赛事明细!$P$4:$P$1000,"已结算",赛事明细!$E$4:$E$1000,$A133,赛事明细!$Q$4:$Q$1000,"红")</x:f>
        <x:v>2</x:v>
      </x:c>
      <x:c r="D133" s="41" t="n">
        <x:f>COUNTIFS(赛事明细!$P$4:$P$1000,"已结算",赛事明细!$E$4:$E$1000,$A133,赛事明细!$Q$4:$Q$1000,"半红")</x:f>
        <x:v>0</x:v>
      </x:c>
      <x:c r="E133" s="41" t="n">
        <x:f>COUNTIFS(赛事明细!$P$4:$P$1000,"已结算",赛事明细!$E$4:$E$1000,$A133,赛事明细!$Q$4:$Q$1000,"走")</x:f>
        <x:v>0</x:v>
      </x:c>
      <x:c r="F133" s="41" t="n">
        <x:f>COUNTIFS(赛事明细!$P$4:$P$1000,"已结算",赛事明细!$E$4:$E$1000,$A133,赛事明细!$Q$4:$Q$1000,"半黑")</x:f>
        <x:v>0</x:v>
      </x:c>
      <x:c r="G133" s="41" t="n">
        <x:f>COUNTIFS(赛事明细!$P$4:$P$1000,"已结算",赛事明细!$E$4:$E$1000,$A133,赛事明细!$Q$4:$Q$1000,"黑")</x:f>
        <x:v>1</x:v>
      </x:c>
      <x:c r="H133" s="42">
        <x:f t="shared" si="4"/>
        <x:v>1</x:v>
      </x:c>
      <x:c r="I133" s="43" t="n">
        <x:f>SUMIFS(赛事明细!$S$4:$S$1000,赛事明细!$P$4:$P$1000,"已结算",赛事明细!$E$4:$E$1000,$A133)</x:f>
        <x:v>0.6200000000000001</x:v>
      </x:c>
      <x:c r="J133" s="42">
        <x:f t="shared" si="5"/>
        <x:v>0.8</x:v>
      </x:c>
      <x:c r="K133" s="41" t="str">
        <x:f t="shared" si="6"/>
        <x:v>样本&lt;5，谨慎解读</x:v>
      </x:c>
    </x:row>
    <x:row r="134" ht="24" customHeight="1">
      <x:c r="A134" s="41" t="s">
        <x:v>2578</x:v>
      </x:c>
      <x:c r="B134" s="41" t="n">
        <x:f>COUNTIFS(赛事明细!$P$4:$P$1000,"已结算",赛事明细!$E$4:$E$1000,$A134)</x:f>
        <x:v>1</x:v>
      </x:c>
      <x:c r="C134" s="41" t="n">
        <x:f>COUNTIFS(赛事明细!$P$4:$P$1000,"已结算",赛事明细!$E$4:$E$1000,$A134,赛事明细!$Q$4:$Q$1000,"红")</x:f>
        <x:v>0</x:v>
      </x:c>
      <x:c r="D134" s="41" t="n">
        <x:f>COUNTIFS(赛事明细!$P$4:$P$1000,"已结算",赛事明细!$E$4:$E$1000,$A134,赛事明细!$Q$4:$Q$1000,"半红")</x:f>
        <x:v>0</x:v>
      </x:c>
      <x:c r="E134" s="41" t="n">
        <x:f>COUNTIFS(赛事明细!$P$4:$P$1000,"已结算",赛事明细!$E$4:$E$1000,$A134,赛事明细!$Q$4:$Q$1000,"走")</x:f>
        <x:v>0</x:v>
      </x:c>
      <x:c r="F134" s="41" t="n">
        <x:f>COUNTIFS(赛事明细!$P$4:$P$1000,"已结算",赛事明细!$E$4:$E$1000,$A134,赛事明细!$Q$4:$Q$1000,"半黑")</x:f>
        <x:v>0</x:v>
      </x:c>
      <x:c r="G134" s="41" t="n">
        <x:f>COUNTIFS(赛事明细!$P$4:$P$1000,"已结算",赛事明细!$E$4:$E$1000,$A134,赛事明细!$Q$4:$Q$1000,"黑")</x:f>
        <x:v>1</x:v>
      </x:c>
      <x:c r="H134" s="42">
        <x:f t="shared" si="4"/>
        <x:v>0</x:v>
      </x:c>
      <x:c r="I134" s="43" t="n">
        <x:f>SUMIFS(赛事明细!$S$4:$S$1000,赛事明细!$P$4:$P$1000,"已结算",赛事明细!$E$4:$E$1000,$A134)</x:f>
        <x:v>-1</x:v>
      </x:c>
      <x:c r="J134" s="42">
        <x:f t="shared" si="5"/>
        <x:v>-1</x:v>
      </x:c>
      <x:c r="K134" s="41" t="str">
        <x:f t="shared" si="6"/>
        <x:v>样本&lt;5，谨慎解读</x:v>
      </x:c>
    </x:row>
    <x:row r="135" ht="24" customHeight="1">
      <x:c r="A135" s="41" t="s">
        <x:v>2583</x:v>
      </x:c>
      <x:c r="B135" s="41" t="n">
        <x:f>COUNTIFS(赛事明细!$P$4:$P$1000,"已结算",赛事明细!$E$4:$E$1000,$A135)</x:f>
        <x:v>8</x:v>
      </x:c>
      <x:c r="C135" s="41" t="n">
        <x:f>COUNTIFS(赛事明细!$P$4:$P$1000,"已结算",赛事明细!$E$4:$E$1000,$A135,赛事明细!$Q$4:$Q$1000,"红")</x:f>
        <x:v>5</x:v>
      </x:c>
      <x:c r="D135" s="41" t="n">
        <x:f>COUNTIFS(赛事明细!$P$4:$P$1000,"已结算",赛事明细!$E$4:$E$1000,$A135,赛事明细!$Q$4:$Q$1000,"半红")</x:f>
        <x:v>0</x:v>
      </x:c>
      <x:c r="E135" s="41" t="n">
        <x:f>COUNTIFS(赛事明细!$P$4:$P$1000,"已结算",赛事明细!$E$4:$E$1000,$A135,赛事明细!$Q$4:$Q$1000,"走")</x:f>
        <x:v>0</x:v>
      </x:c>
      <x:c r="F135" s="41" t="n">
        <x:f>COUNTIFS(赛事明细!$P$4:$P$1000,"已结算",赛事明细!$E$4:$E$1000,$A135,赛事明细!$Q$4:$Q$1000,"半黑")</x:f>
        <x:v>0</x:v>
      </x:c>
      <x:c r="G135" s="41" t="n">
        <x:f>COUNTIFS(赛事明细!$P$4:$P$1000,"已结算",赛事明细!$E$4:$E$1000,$A135,赛事明细!$Q$4:$Q$1000,"黑")</x:f>
        <x:v>3</x:v>
      </x:c>
      <x:c r="H135" s="42">
        <x:f t="shared" si="4"/>
        <x:v>0.666666666666667</x:v>
      </x:c>
      <x:c r="I135" s="43" t="n">
        <x:f>SUMIFS(赛事明细!$S$4:$S$1000,赛事明细!$P$4:$P$1000,"已结算",赛事明细!$E$4:$E$1000,$A135)</x:f>
        <x:v>1.04</x:v>
      </x:c>
      <x:c r="J135" s="42">
        <x:f t="shared" si="5"/>
        <x:v>0.208333333333333</x:v>
      </x:c>
      <x:c r="K135" s="41" t="str">
        <x:f t="shared" si="6"/>
      </x:c>
    </x:row>
    <x:row r="136" ht="24" customHeight="1">
      <x:c r="A136" s="41" t="s">
        <x:v>2606</x:v>
      </x:c>
      <x:c r="B136" s="41" t="n">
        <x:f>COUNTIFS(赛事明细!$P$4:$P$1000,"已结算",赛事明细!$E$4:$E$1000,$A136)</x:f>
        <x:v>18</x:v>
      </x:c>
      <x:c r="C136" s="41" t="n">
        <x:f>COUNTIFS(赛事明细!$P$4:$P$1000,"已结算",赛事明细!$E$4:$E$1000,$A136,赛事明细!$Q$4:$Q$1000,"红")</x:f>
        <x:v>3</x:v>
      </x:c>
      <x:c r="D136" s="41" t="n">
        <x:f>COUNTIFS(赛事明细!$P$4:$P$1000,"已结算",赛事明细!$E$4:$E$1000,$A136,赛事明细!$Q$4:$Q$1000,"半红")</x:f>
        <x:v>1</x:v>
      </x:c>
      <x:c r="E136" s="41" t="n">
        <x:f>COUNTIFS(赛事明细!$P$4:$P$1000,"已结算",赛事明细!$E$4:$E$1000,$A136,赛事明细!$Q$4:$Q$1000,"走")</x:f>
        <x:v>2</x:v>
      </x:c>
      <x:c r="F136" s="41" t="n">
        <x:f>COUNTIFS(赛事明细!$P$4:$P$1000,"已结算",赛事明细!$E$4:$E$1000,$A136,赛事明细!$Q$4:$Q$1000,"半黑")</x:f>
        <x:v>3</x:v>
      </x:c>
      <x:c r="G136" s="41" t="n">
        <x:f>COUNTIFS(赛事明细!$P$4:$P$1000,"已结算",赛事明细!$E$4:$E$1000,$A136,赛事明细!$Q$4:$Q$1000,"黑")</x:f>
        <x:v>5</x:v>
      </x:c>
      <x:c r="H136" s="42">
        <x:f t="shared" si="4"/>
        <x:v>0.357142857142857</x:v>
      </x:c>
      <x:c r="I136" s="43" t="n">
        <x:f>SUMIFS(赛事明细!$S$4:$S$1000,赛事明细!$P$4:$P$1000,"已结算",赛事明细!$E$4:$E$1000,$A136)</x:f>
        <x:v>-2.6350000000000002</x:v>
      </x:c>
      <x:c r="J136" s="42">
        <x:f t="shared" si="5"/>
        <x:v>-0.206</x:v>
      </x:c>
      <x:c r="K136" s="41" t="str">
        <x:f t="shared" si="6"/>
      </x:c>
    </x:row>
    <x:row r="137" ht="24" customHeight="1">
      <x:c r="A137" s="41" t="s">
        <x:v>2625</x:v>
      </x:c>
      <x:c r="B137" s="41" t="n">
        <x:f>COUNTIFS(赛事明细!$P$4:$P$1000,"已结算",赛事明细!$E$4:$E$1000,$A137)</x:f>
        <x:v>20</x:v>
      </x:c>
      <x:c r="C137" s="41" t="n">
        <x:f>COUNTIFS(赛事明细!$P$4:$P$1000,"已结算",赛事明细!$E$4:$E$1000,$A137,赛事明细!$Q$4:$Q$1000,"红")</x:f>
        <x:v>5</x:v>
      </x:c>
      <x:c r="D137" s="41" t="n">
        <x:f>COUNTIFS(赛事明细!$P$4:$P$1000,"已结算",赛事明细!$E$4:$E$1000,$A137,赛事明细!$Q$4:$Q$1000,"半红")</x:f>
        <x:v>2</x:v>
      </x:c>
      <x:c r="E137" s="41" t="n">
        <x:f>COUNTIFS(赛事明细!$P$4:$P$1000,"已结算",赛事明细!$E$4:$E$1000,$A137,赛事明细!$Q$4:$Q$1000,"走")</x:f>
        <x:v>1</x:v>
      </x:c>
      <x:c r="F137" s="41" t="n">
        <x:f>COUNTIFS(赛事明细!$P$4:$P$1000,"已结算",赛事明细!$E$4:$E$1000,$A137,赛事明细!$Q$4:$Q$1000,"半黑")</x:f>
        <x:v>1</x:v>
      </x:c>
      <x:c r="G137" s="41" t="n">
        <x:f>COUNTIFS(赛事明细!$P$4:$P$1000,"已结算",赛事明细!$E$4:$E$1000,$A137,赛事明细!$Q$4:$Q$1000,"黑")</x:f>
        <x:v>11</x:v>
      </x:c>
      <x:c r="H137" s="42">
        <x:f t="shared" si="4"/>
        <x:v>0.34375</x:v>
      </x:c>
      <x:c r="I137" s="43" t="n">
        <x:f>SUMIFS(赛事明细!$S$4:$S$1000,赛事明细!$P$4:$P$1000,"已结算",赛事明细!$E$4:$E$1000,$A137)</x:f>
        <x:v>-6.63</x:v>
      </x:c>
      <x:c r="J137" s="42">
        <x:f t="shared" si="5"/>
        <x:v>-0.334444444444444</x:v>
      </x:c>
      <x:c r="K137" s="41" t="str">
        <x:f t="shared" si="6"/>
      </x:c>
    </x:row>
    <x:row r="138" ht="24" customHeight="1">
      <x:c r="A138" s="41" t="s">
        <x:v>2650</x:v>
      </x:c>
      <x:c r="B138" s="41" t="n">
        <x:f>COUNTIFS(赛事明细!$P$4:$P$1000,"已结算",赛事明细!$E$4:$E$1000,$A138)</x:f>
        <x:v>5</x:v>
      </x:c>
      <x:c r="C138" s="41" t="n">
        <x:f>COUNTIFS(赛事明细!$P$4:$P$1000,"已结算",赛事明细!$E$4:$E$1000,$A138,赛事明细!$Q$4:$Q$1000,"红")</x:f>
        <x:v>2</x:v>
      </x:c>
      <x:c r="D138" s="41" t="n">
        <x:f>COUNTIFS(赛事明细!$P$4:$P$1000,"已结算",赛事明细!$E$4:$E$1000,$A138,赛事明细!$Q$4:$Q$1000,"半红")</x:f>
        <x:v>1</x:v>
      </x:c>
      <x:c r="E138" s="41" t="n">
        <x:f>COUNTIFS(赛事明细!$P$4:$P$1000,"已结算",赛事明细!$E$4:$E$1000,$A138,赛事明细!$Q$4:$Q$1000,"走")</x:f>
        <x:v>0</x:v>
      </x:c>
      <x:c r="F138" s="41" t="n">
        <x:f>COUNTIFS(赛事明细!$P$4:$P$1000,"已结算",赛事明细!$E$4:$E$1000,$A138,赛事明细!$Q$4:$Q$1000,"半黑")</x:f>
        <x:v>0</x:v>
      </x:c>
      <x:c r="G138" s="41" t="n">
        <x:f>COUNTIFS(赛事明细!$P$4:$P$1000,"已结算",赛事明细!$E$4:$E$1000,$A138,赛事明细!$Q$4:$Q$1000,"黑")</x:f>
        <x:v>2</x:v>
      </x:c>
      <x:c r="H138" s="42">
        <x:f t="shared" si="4"/>
        <x:v>0.428571428571429</x:v>
      </x:c>
      <x:c r="I138" s="43" t="n">
        <x:f>SUMIFS(赛事明细!$S$4:$S$1000,赛事明细!$P$4:$P$1000,"已结算",赛事明细!$E$4:$E$1000,$A138)</x:f>
        <x:v>0.28</x:v>
      </x:c>
      <x:c r="J138" s="42">
        <x:f t="shared" si="5"/>
        <x:v>-0.1775</x:v>
      </x:c>
      <x:c r="K138" s="41" t="str">
        <x:f t="shared" si="6"/>
        <x:v>样本&lt;5，谨慎解读</x:v>
      </x:c>
    </x:row>
    <x:row r="139" ht="24" customHeight="1">
      <x:c r="A139" s="41" t="s">
        <x:v>2790</x:v>
      </x:c>
      <x:c r="B139" s="41" t="n">
        <x:f>COUNTIFS(赛事明细!$P$4:$P$1000,"已结算",赛事明细!$E$4:$E$1000,$A139)</x:f>
        <x:v>2</x:v>
      </x:c>
      <x:c r="C139" s="41" t="n">
        <x:f>COUNTIFS(赛事明细!$P$4:$P$1000,"已结算",赛事明细!$E$4:$E$1000,$A139,赛事明细!$Q$4:$Q$1000,"红")</x:f>
        <x:v>1</x:v>
      </x:c>
      <x:c r="D139" s="41" t="n">
        <x:f>COUNTIFS(赛事明细!$P$4:$P$1000,"已结算",赛事明细!$E$4:$E$1000,$A139,赛事明细!$Q$4:$Q$1000,"半红")</x:f>
        <x:v>0</x:v>
      </x:c>
      <x:c r="E139" s="41" t="n">
        <x:f>COUNTIFS(赛事明细!$P$4:$P$1000,"已结算",赛事明细!$E$4:$E$1000,$A139,赛事明细!$Q$4:$Q$1000,"走")</x:f>
        <x:v>1</x:v>
      </x:c>
      <x:c r="F139" s="41" t="n">
        <x:f>COUNTIFS(赛事明细!$P$4:$P$1000,"已结算",赛事明细!$E$4:$E$1000,$A139,赛事明细!$Q$4:$Q$1000,"半黑")</x:f>
        <x:v>0</x:v>
      </x:c>
      <x:c r="G139" s="41" t="n">
        <x:f>COUNTIFS(赛事明细!$P$4:$P$1000,"已结算",赛事明细!$E$4:$E$1000,$A139,赛事明细!$Q$4:$Q$1000,"黑")</x:f>
        <x:v>0</x:v>
      </x:c>
      <x:c r="H139" s="42">
        <x:f t="shared" si="4"/>
        <x:v>1</x:v>
      </x:c>
      <x:c r="I139" s="43" t="n">
        <x:f>SUMIFS(赛事明细!$S$4:$S$1000,赛事明细!$P$4:$P$1000,"已结算",赛事明细!$E$4:$E$1000,$A139)</x:f>
        <x:v>0.83</x:v>
      </x:c>
      <x:c r="J139" s="42">
        <x:f t="shared" si="5"/>
        <x:v>0.415</x:v>
      </x:c>
      <x:c r="K139" s="41" t="str">
        <x:f t="shared" si="6"/>
        <x:v>样本&lt;5，谨慎解读</x:v>
      </x:c>
    </x:row>
    <x:row r="140" ht="24" customHeight="1">
      <x:c r="A140" s="41" t="s">
        <x:v>2834</x:v>
      </x:c>
      <x:c r="B140" s="41" t="n">
        <x:f>COUNTIFS(赛事明细!$P$4:$P$1000,"已结算",赛事明细!$E$4:$E$1000,$A140)</x:f>
        <x:v>1</x:v>
      </x:c>
      <x:c r="C140" s="41" t="n">
        <x:f>COUNTIFS(赛事明细!$P$4:$P$1000,"已结算",赛事明细!$E$4:$E$1000,$A140,赛事明细!$Q$4:$Q$1000,"红")</x:f>
        <x:v>0</x:v>
      </x:c>
      <x:c r="D140" s="41" t="n">
        <x:f>COUNTIFS(赛事明细!$P$4:$P$1000,"已结算",赛事明细!$E$4:$E$1000,$A140,赛事明细!$Q$4:$Q$1000,"半红")</x:f>
        <x:v>0</x:v>
      </x:c>
      <x:c r="E140" s="41" t="n">
        <x:f>COUNTIFS(赛事明细!$P$4:$P$1000,"已结算",赛事明细!$E$4:$E$1000,$A140,赛事明细!$Q$4:$Q$1000,"走")</x:f>
        <x:v>0</x:v>
      </x:c>
      <x:c r="F140" s="41" t="n">
        <x:f>COUNTIFS(赛事明细!$P$4:$P$1000,"已结算",赛事明细!$E$4:$E$1000,$A140,赛事明细!$Q$4:$Q$1000,"半黑")</x:f>
        <x:v>0</x:v>
      </x:c>
      <x:c r="G140" s="41" t="n">
        <x:f>COUNTIFS(赛事明细!$P$4:$P$1000,"已结算",赛事明细!$E$4:$E$1000,$A140,赛事明细!$Q$4:$Q$1000,"黑")</x:f>
        <x:v>1</x:v>
      </x:c>
      <x:c r="H140" s="42">
        <x:f t="shared" si="4"/>
        <x:v>0</x:v>
      </x:c>
      <x:c r="I140" s="43" t="n">
        <x:f>SUMIFS(赛事明细!$S$4:$S$1000,赛事明细!$P$4:$P$1000,"已结算",赛事明细!$E$4:$E$1000,$A140)</x:f>
        <x:v>-1</x:v>
      </x:c>
      <x:c r="J140" s="42">
        <x:f t="shared" si="5"/>
        <x:v>-1</x:v>
      </x:c>
      <x:c r="K140" s="41" t="str">
        <x:f t="shared" si="6"/>
        <x:v>样本&lt;5，谨慎解读</x:v>
      </x:c>
    </x:row>
    <x:row r="141" ht="24" customHeight="1">
      <x:c r="A141" s="44" t="s">
        <x:v>3047</x:v>
      </x:c>
      <x:c r="B141" s="44" t="n">
        <x:f t="shared" ref="B141:G141" si="7">SUM(B13:B140)</x:f>
        <x:v>797</x:v>
      </x:c>
      <x:c r="C141" s="44">
        <x:f t="shared" si="7"/>
        <x:v>304</x:v>
      </x:c>
      <x:c r="D141" s="44">
        <x:f t="shared" si="7"/>
        <x:v>40</x:v>
      </x:c>
      <x:c r="E141" s="44">
        <x:f t="shared" si="7"/>
        <x:v>58</x:v>
      </x:c>
      <x:c r="F141" s="44">
        <x:f t="shared" si="7"/>
        <x:v>79</x:v>
      </x:c>
      <x:c r="G141" s="44">
        <x:f t="shared" si="7"/>
        <x:v>251</x:v>
      </x:c>
      <x:c r="H141" s="45" t="n">
        <x:f>IFERROR((C141+0.5*D141)/(C141+0.5*D141+G141+0.5*F141),0)</x:f>
        <x:v>0.5272579332790887</x:v>
      </x:c>
      <x:c r="I141" s="46" t="n">
        <x:f>SUM(I13:I140)</x:f>
        <x:v>-1.2050000000000023</x:v>
      </x:c>
      <x:c r="J141" s="45" t="n">
        <x:f>IFERROR(I141/B141,0)</x:f>
        <x:v>-0.0015119196988707681</x:v>
      </x:c>
      <x:c r="K141" s="44"/>
    </x:row>
    <x:row r="142" ht="24" customHeight="1"/>
    <x:row r="143" ht="24" customHeight="1"/>
    <x:row r="144" ht="27" customHeight="1">
      <x:c r="A144" s="38" t="s">
        <x:v>3049</x:v>
      </x:c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</x:row>
    <x:row r="145" ht="26" customHeight="1">
      <x:c r="A145" s="40" t="s">
        <x:v>3045</x:v>
      </x:c>
      <x:c r="B145" s="40" t="s">
        <x:v>16</x:v>
      </x:c>
      <x:c r="C145" s="40" t="s">
        <x:v>11</x:v>
      </x:c>
      <x:c r="D145" s="40" t="s">
        <x:v>14</x:v>
      </x:c>
      <x:c r="E145" s="40" t="s">
        <x:v>17</x:v>
      </x:c>
      <x:c r="F145" s="40" t="s">
        <x:v>20</x:v>
      </x:c>
      <x:c r="G145" s="40" t="s">
        <x:v>23</x:v>
      </x:c>
      <x:c r="H145" s="40" t="s">
        <x:v>31</x:v>
      </x:c>
      <x:c r="I145" s="40" t="s">
        <x:v>3046</x:v>
      </x:c>
      <x:c r="J145" s="40" t="s">
        <x:v>25</x:v>
      </x:c>
      <x:c r="K145" s="40" t="s">
        <x:v>2923</x:v>
      </x:c>
    </x:row>
    <x:row r="146" ht="24" customHeight="1">
      <x:c r="A146" s="41" t="s">
        <x:v>94</x:v>
      </x:c>
      <x:c r="B146" s="41" t="n">
        <x:f>COUNTIFS(赛事明细!$P$4:$P$1000,"已结算",赛事明细!$K$4:$K$1000,$A146)</x:f>
        <x:v>43</x:v>
      </x:c>
      <x:c r="C146" s="41" t="n">
        <x:f>COUNTIFS(赛事明细!$P$4:$P$1000,"已结算",赛事明细!$K$4:$K$1000,$A146,赛事明细!$Q$4:$Q$1000,"红")</x:f>
        <x:v>17</x:v>
      </x:c>
      <x:c r="D146" s="41" t="n">
        <x:f>COUNTIFS(赛事明细!$P$4:$P$1000,"已结算",赛事明细!$K$4:$K$1000,$A146,赛事明细!$Q$4:$Q$1000,"半红")</x:f>
        <x:v>1</x:v>
      </x:c>
      <x:c r="E146" s="41" t="n">
        <x:f>COUNTIFS(赛事明细!$P$4:$P$1000,"已结算",赛事明细!$K$4:$K$1000,$A146,赛事明细!$Q$4:$Q$1000,"走")</x:f>
        <x:v>2</x:v>
      </x:c>
      <x:c r="F146" s="41" t="n">
        <x:f>COUNTIFS(赛事明细!$P$4:$P$1000,"已结算",赛事明细!$K$4:$K$1000,$A146,赛事明细!$Q$4:$Q$1000,"半黑")</x:f>
        <x:v>4</x:v>
      </x:c>
      <x:c r="G146" s="41" t="n">
        <x:f>COUNTIFS(赛事明细!$P$4:$P$1000,"已结算",赛事明细!$K$4:$K$1000,$A146,赛事明细!$Q$4:$Q$1000,"黑")</x:f>
        <x:v>19</x:v>
      </x:c>
      <x:c r="H146" s="42" t="n">
        <x:f t="shared" ref="H146:H157" si="8">IFERROR((C146+0.5*D146)/(C146+0.5*D146+G146+0.5*F146),0)</x:f>
        <x:v>0.45454545454545453</x:v>
      </x:c>
      <x:c r="I146" s="43" t="n">
        <x:f>SUMIFS(赛事明细!$S$4:$S$1000,赛事明细!$P$4:$P$1000,"已结算",赛事明细!$K$4:$K$1000,$A146)</x:f>
        <x:v>-4.945</x:v>
      </x:c>
      <x:c r="J146" s="42" t="n">
        <x:f t="shared" ref="J146:J157" si="9">IFERROR(I146/B146,0)</x:f>
        <x:v>-0.115</x:v>
      </x:c>
      <x:c r="K146" s="41" t="str">
        <x:f t="shared" ref="K146:K156" si="10">IF(B146&lt;5,"样本&lt;5，谨慎解读","")</x:f>
      </x:c>
    </x:row>
    <x:row r="147" ht="24" customHeight="1">
      <x:c r="A147" s="41" t="s">
        <x:v>106</x:v>
      </x:c>
      <x:c r="B147" s="41" t="n">
        <x:f>COUNTIFS(赛事明细!$P$4:$P$1000,"已结算",赛事明细!$K$4:$K$1000,$A147)</x:f>
        <x:v>328</x:v>
      </x:c>
      <x:c r="C147" s="41" t="n">
        <x:f>COUNTIFS(赛事明细!$P$4:$P$1000,"已结算",赛事明细!$K$4:$K$1000,$A147,赛事明细!$Q$4:$Q$1000,"红")</x:f>
        <x:v>144</x:v>
      </x:c>
      <x:c r="D147" s="41" t="n">
        <x:f>COUNTIFS(赛事明细!$P$4:$P$1000,"已结算",赛事明细!$K$4:$K$1000,$A147,赛事明细!$Q$4:$Q$1000,"半红")</x:f>
        <x:v>17</x:v>
      </x:c>
      <x:c r="E147" s="41" t="n">
        <x:f>COUNTIFS(赛事明细!$P$4:$P$1000,"已结算",赛事明细!$K$4:$K$1000,$A147,赛事明细!$Q$4:$Q$1000,"走")</x:f>
        <x:v>29</x:v>
      </x:c>
      <x:c r="F147" s="41" t="n">
        <x:f>COUNTIFS(赛事明细!$P$4:$P$1000,"已结算",赛事明细!$K$4:$K$1000,$A147,赛事明细!$Q$4:$Q$1000,"半黑")</x:f>
        <x:v>31</x:v>
      </x:c>
      <x:c r="G147" s="41" t="n">
        <x:f>COUNTIFS(赛事明细!$P$4:$P$1000,"已结算",赛事明细!$K$4:$K$1000,$A147,赛事明细!$Q$4:$Q$1000,"黑")</x:f>
        <x:v>103</x:v>
      </x:c>
      <x:c r="H147" s="42">
        <x:f t="shared" si="8"/>
        <x:v>0.56140350877193</x:v>
      </x:c>
      <x:c r="I147" s="43" t="n">
        <x:f>SUMIFS(赛事明细!$S$4:$S$1000,赛事明细!$P$4:$P$1000,"已结算",赛事明细!$K$4:$K$1000,$A147)</x:f>
        <x:v>6.585000000000005</x:v>
      </x:c>
      <x:c r="J147" s="42">
        <x:f t="shared" si="9"/>
        <x:v>0.0204234527687297</x:v>
      </x:c>
      <x:c r="K147" s="41" t="str">
        <x:f t="shared" si="10"/>
      </x:c>
    </x:row>
    <x:row r="148" ht="24" customHeight="1">
      <x:c r="A148" s="41" t="s">
        <x:v>132</x:v>
      </x:c>
      <x:c r="B148" s="41" t="n">
        <x:f>COUNTIFS(赛事明细!$P$4:$P$1000,"已结算",赛事明细!$K$4:$K$1000,$A148)</x:f>
        <x:v>142</x:v>
      </x:c>
      <x:c r="C148" s="41" t="n">
        <x:f>COUNTIFS(赛事明细!$P$4:$P$1000,"已结算",赛事明细!$K$4:$K$1000,$A148,赛事明细!$Q$4:$Q$1000,"红")</x:f>
        <x:v>56</x:v>
      </x:c>
      <x:c r="D148" s="41" t="n">
        <x:f>COUNTIFS(赛事明细!$P$4:$P$1000,"已结算",赛事明细!$K$4:$K$1000,$A148,赛事明细!$Q$4:$Q$1000,"半红")</x:f>
        <x:v>10</x:v>
      </x:c>
      <x:c r="E148" s="41" t="n">
        <x:f>COUNTIFS(赛事明细!$P$4:$P$1000,"已结算",赛事明细!$K$4:$K$1000,$A148,赛事明细!$Q$4:$Q$1000,"走")</x:f>
        <x:v>17</x:v>
      </x:c>
      <x:c r="F148" s="41" t="n">
        <x:f>COUNTIFS(赛事明细!$P$4:$P$1000,"已结算",赛事明细!$K$4:$K$1000,$A148,赛事明细!$Q$4:$Q$1000,"半黑")</x:f>
        <x:v>11</x:v>
      </x:c>
      <x:c r="G148" s="41" t="n">
        <x:f>COUNTIFS(赛事明细!$P$4:$P$1000,"已结算",赛事明细!$K$4:$K$1000,$A148,赛事明细!$Q$4:$Q$1000,"黑")</x:f>
        <x:v>48</x:v>
      </x:c>
      <x:c r="H148" s="42">
        <x:f t="shared" si="8"/>
        <x:v>0.533333333333333</x:v>
      </x:c>
      <x:c r="I148" s="43" t="n">
        <x:f>SUMIFS(赛事明细!$S$4:$S$1000,赛事明细!$P$4:$P$1000,"已结算",赛事明细!$K$4:$K$1000,$A148)</x:f>
        <x:v>3.2249999999999988</x:v>
      </x:c>
      <x:c r="J148" s="42">
        <x:f t="shared" si="9"/>
        <x:v>0.0231071428571429</x:v>
      </x:c>
      <x:c r="K148" s="41" t="str">
        <x:f t="shared" si="10"/>
      </x:c>
    </x:row>
    <x:row r="149" ht="24" customHeight="1">
      <x:c r="A149" s="41" t="s">
        <x:v>159</x:v>
      </x:c>
      <x:c r="B149" s="41" t="n">
        <x:f>COUNTIFS(赛事明细!$P$4:$P$1000,"已结算",赛事明细!$K$4:$K$1000,$A149)</x:f>
        <x:v>2</x:v>
      </x:c>
      <x:c r="C149" s="41" t="n">
        <x:f>COUNTIFS(赛事明细!$P$4:$P$1000,"已结算",赛事明细!$K$4:$K$1000,$A149,赛事明细!$Q$4:$Q$1000,"红")</x:f>
        <x:v>1</x:v>
      </x:c>
      <x:c r="D149" s="41" t="n">
        <x:f>COUNTIFS(赛事明细!$P$4:$P$1000,"已结算",赛事明细!$K$4:$K$1000,$A149,赛事明细!$Q$4:$Q$1000,"半红")</x:f>
        <x:v>0</x:v>
      </x:c>
      <x:c r="E149" s="41" t="n">
        <x:f>COUNTIFS(赛事明细!$P$4:$P$1000,"已结算",赛事明细!$K$4:$K$1000,$A149,赛事明细!$Q$4:$Q$1000,"走")</x:f>
        <x:v>0</x:v>
      </x:c>
      <x:c r="F149" s="41" t="n">
        <x:f>COUNTIFS(赛事明细!$P$4:$P$1000,"已结算",赛事明细!$K$4:$K$1000,$A149,赛事明细!$Q$4:$Q$1000,"半黑")</x:f>
        <x:v>0</x:v>
      </x:c>
      <x:c r="G149" s="41" t="n">
        <x:f>COUNTIFS(赛事明细!$P$4:$P$1000,"已结算",赛事明细!$K$4:$K$1000,$A149,赛事明细!$Q$4:$Q$1000,"黑")</x:f>
        <x:v>1</x:v>
      </x:c>
      <x:c r="H149" s="42">
        <x:f t="shared" si="8"/>
        <x:v>0.5</x:v>
      </x:c>
      <x:c r="I149" s="43" t="n">
        <x:f>SUMIFS(赛事明细!$S$4:$S$1000,赛事明细!$P$4:$P$1000,"已结算",赛事明细!$K$4:$K$1000,$A149)</x:f>
        <x:v>0.030000000000000027</x:v>
      </x:c>
      <x:c r="J149" s="42">
        <x:f t="shared" si="9"/>
        <x:v>0.015</x:v>
      </x:c>
      <x:c r="K149" s="41" t="str">
        <x:f t="shared" si="10"/>
        <x:v>样本&lt;5，谨慎解读</x:v>
      </x:c>
    </x:row>
    <x:row r="150" ht="24" customHeight="1">
      <x:c r="A150" s="41" t="s">
        <x:v>189</x:v>
      </x:c>
      <x:c r="B150" s="41" t="n">
        <x:f>COUNTIFS(赛事明细!$P$4:$P$1000,"已结算",赛事明细!$K$4:$K$1000,$A150)</x:f>
        <x:v>86</x:v>
      </x:c>
      <x:c r="C150" s="41" t="n">
        <x:f>COUNTIFS(赛事明细!$P$4:$P$1000,"已结算",赛事明细!$K$4:$K$1000,$A150,赛事明细!$Q$4:$Q$1000,"红")</x:f>
        <x:v>39</x:v>
      </x:c>
      <x:c r="D150" s="41" t="n">
        <x:f>COUNTIFS(赛事明细!$P$4:$P$1000,"已结算",赛事明细!$K$4:$K$1000,$A150,赛事明细!$Q$4:$Q$1000,"半红")</x:f>
        <x:v>0</x:v>
      </x:c>
      <x:c r="E150" s="41" t="n">
        <x:f>COUNTIFS(赛事明细!$P$4:$P$1000,"已结算",赛事明细!$K$4:$K$1000,$A150,赛事明细!$Q$4:$Q$1000,"走")</x:f>
        <x:v>5</x:v>
      </x:c>
      <x:c r="F150" s="41" t="n">
        <x:f>COUNTIFS(赛事明细!$P$4:$P$1000,"已结算",赛事明细!$K$4:$K$1000,$A150,赛事明细!$Q$4:$Q$1000,"半黑")</x:f>
        <x:v>16</x:v>
      </x:c>
      <x:c r="G150" s="41" t="n">
        <x:f>COUNTIFS(赛事明细!$P$4:$P$1000,"已结算",赛事明细!$K$4:$K$1000,$A150,赛事明细!$Q$4:$Q$1000,"黑")</x:f>
        <x:v>26</x:v>
      </x:c>
      <x:c r="H150" s="42">
        <x:f t="shared" si="8"/>
        <x:v>0.534246575342466</x:v>
      </x:c>
      <x:c r="I150" s="43" t="n">
        <x:f>SUMIFS(赛事明细!$S$4:$S$1000,赛事明细!$P$4:$P$1000,"已结算",赛事明细!$K$4:$K$1000,$A150)</x:f>
        <x:v>6.010000000000002</x:v>
      </x:c>
      <x:c r="J150" s="42">
        <x:f t="shared" si="9"/>
        <x:v>0.0698837209302326</x:v>
      </x:c>
      <x:c r="K150" s="41" t="str">
        <x:f t="shared" si="10"/>
      </x:c>
    </x:row>
    <x:row r="151" ht="24" customHeight="1">
      <x:c r="A151" s="41" t="s">
        <x:v>195</x:v>
      </x:c>
      <x:c r="B151" s="41" t="n">
        <x:f>COUNTIFS(赛事明细!$P$4:$P$1000,"已结算",赛事明细!$K$4:$K$1000,$A151)</x:f>
        <x:v>17</x:v>
      </x:c>
      <x:c r="C151" s="41" t="n">
        <x:f>COUNTIFS(赛事明细!$P$4:$P$1000,"已结算",赛事明细!$K$4:$K$1000,$A151,赛事明细!$Q$4:$Q$1000,"红")</x:f>
        <x:v>7</x:v>
      </x:c>
      <x:c r="D151" s="41" t="n">
        <x:f>COUNTIFS(赛事明细!$P$4:$P$1000,"已结算",赛事明细!$K$4:$K$1000,$A151,赛事明细!$Q$4:$Q$1000,"半红")</x:f>
        <x:v>0</x:v>
      </x:c>
      <x:c r="E151" s="41" t="n">
        <x:f>COUNTIFS(赛事明细!$P$4:$P$1000,"已结算",赛事明细!$K$4:$K$1000,$A151,赛事明细!$Q$4:$Q$1000,"走")</x:f>
        <x:v>1</x:v>
      </x:c>
      <x:c r="F151" s="41" t="n">
        <x:f>COUNTIFS(赛事明细!$P$4:$P$1000,"已结算",赛事明细!$K$4:$K$1000,$A151,赛事明细!$Q$4:$Q$1000,"半黑")</x:f>
        <x:v>4</x:v>
      </x:c>
      <x:c r="G151" s="41" t="n">
        <x:f>COUNTIFS(赛事明细!$P$4:$P$1000,"已结算",赛事明细!$K$4:$K$1000,$A151,赛事明细!$Q$4:$Q$1000,"黑")</x:f>
        <x:v>5</x:v>
      </x:c>
      <x:c r="H151" s="42">
        <x:f t="shared" si="8"/>
        <x:v>0.5</x:v>
      </x:c>
      <x:c r="I151" s="43" t="n">
        <x:f>SUMIFS(赛事明细!$S$4:$S$1000,赛事明细!$P$4:$P$1000,"已结算",赛事明细!$K$4:$K$1000,$A151)</x:f>
        <x:v>-0.2200000000000002</x:v>
      </x:c>
      <x:c r="J151" s="42">
        <x:f t="shared" si="9"/>
        <x:v>-0.0129411764705882</x:v>
      </x:c>
      <x:c r="K151" s="41" t="str">
        <x:f t="shared" si="10"/>
      </x:c>
    </x:row>
    <x:row r="152" ht="24" customHeight="1">
      <x:c r="A152" s="41" t="s">
        <x:v>276</x:v>
      </x:c>
      <x:c r="B152" s="41" t="n">
        <x:f>COUNTIFS(赛事明细!$P$4:$P$1000,"已结算",赛事明细!$K$4:$K$1000,$A152)</x:f>
        <x:v>15</x:v>
      </x:c>
      <x:c r="C152" s="41" t="n">
        <x:f>COUNTIFS(赛事明细!$P$4:$P$1000,"已结算",赛事明细!$K$4:$K$1000,$A152,赛事明细!$Q$4:$Q$1000,"红")</x:f>
        <x:v>4</x:v>
      </x:c>
      <x:c r="D152" s="41" t="n">
        <x:f>COUNTIFS(赛事明细!$P$4:$P$1000,"已结算",赛事明细!$K$4:$K$1000,$A152,赛事明细!$Q$4:$Q$1000,"半红")</x:f>
        <x:v>4</x:v>
      </x:c>
      <x:c r="E152" s="41" t="n">
        <x:f>COUNTIFS(赛事明细!$P$4:$P$1000,"已结算",赛事明细!$K$4:$K$1000,$A152,赛事明细!$Q$4:$Q$1000,"走")</x:f>
        <x:v>0</x:v>
      </x:c>
      <x:c r="F152" s="41" t="n">
        <x:f>COUNTIFS(赛事明细!$P$4:$P$1000,"已结算",赛事明细!$K$4:$K$1000,$A152,赛事明细!$Q$4:$Q$1000,"半黑")</x:f>
        <x:v>1</x:v>
      </x:c>
      <x:c r="G152" s="41" t="n">
        <x:f>COUNTIFS(赛事明细!$P$4:$P$1000,"已结算",赛事明细!$K$4:$K$1000,$A152,赛事明细!$Q$4:$Q$1000,"黑")</x:f>
        <x:v>6</x:v>
      </x:c>
      <x:c r="H152" s="42">
        <x:f t="shared" si="8"/>
        <x:v>0.48</x:v>
      </x:c>
      <x:c r="I152" s="43" t="n">
        <x:f>SUMIFS(赛事明细!$S$4:$S$1000,赛事明细!$P$4:$P$1000,"已结算",赛事明细!$K$4:$K$1000,$A152)</x:f>
        <x:v>-0.48999999999999977</x:v>
      </x:c>
      <x:c r="J152" s="42">
        <x:f t="shared" si="9"/>
        <x:v>-0.0326666666666667</x:v>
      </x:c>
      <x:c r="K152" s="41" t="str">
        <x:f t="shared" si="10"/>
      </x:c>
    </x:row>
    <x:row r="153" ht="24" customHeight="1">
      <x:c r="A153" s="41" t="s">
        <x:v>544</x:v>
      </x:c>
      <x:c r="B153" s="41" t="n">
        <x:f>COUNTIFS(赛事明细!$P$4:$P$1000,"已结算",赛事明细!$K$4:$K$1000,$A153)</x:f>
        <x:v>15</x:v>
      </x:c>
      <x:c r="C153" s="41" t="n">
        <x:f>COUNTIFS(赛事明细!$P$4:$P$1000,"已结算",赛事明细!$K$4:$K$1000,$A153,赛事明细!$Q$4:$Q$1000,"红")</x:f>
        <x:v>6</x:v>
      </x:c>
      <x:c r="D153" s="41" t="n">
        <x:f>COUNTIFS(赛事明细!$P$4:$P$1000,"已结算",赛事明细!$K$4:$K$1000,$A153,赛事明细!$Q$4:$Q$1000,"半红")</x:f>
        <x:v>0</x:v>
      </x:c>
      <x:c r="E153" s="41" t="n">
        <x:f>COUNTIFS(赛事明细!$P$4:$P$1000,"已结算",赛事明细!$K$4:$K$1000,$A153,赛事明细!$Q$4:$Q$1000,"走")</x:f>
        <x:v>0</x:v>
      </x:c>
      <x:c r="F153" s="41" t="n">
        <x:f>COUNTIFS(赛事明细!$P$4:$P$1000,"已结算",赛事明细!$K$4:$K$1000,$A153,赛事明细!$Q$4:$Q$1000,"半黑")</x:f>
        <x:v>2</x:v>
      </x:c>
      <x:c r="G153" s="41" t="n">
        <x:f>COUNTIFS(赛事明细!$P$4:$P$1000,"已结算",赛事明细!$K$4:$K$1000,$A153,赛事明细!$Q$4:$Q$1000,"黑")</x:f>
        <x:v>7</x:v>
      </x:c>
      <x:c r="H153" s="42">
        <x:f t="shared" si="8"/>
        <x:v>0.428571428571429</x:v>
      </x:c>
      <x:c r="I153" s="43" t="n">
        <x:f>SUMIFS(赛事明细!$S$4:$S$1000,赛事明细!$P$4:$P$1000,"已结算",赛事明细!$K$4:$K$1000,$A153)</x:f>
        <x:v>-2.6100000000000003</x:v>
      </x:c>
      <x:c r="J153" s="42">
        <x:f t="shared" si="9"/>
        <x:v>-0.174</x:v>
      </x:c>
      <x:c r="K153" s="41" t="str">
        <x:f t="shared" si="10"/>
      </x:c>
    </x:row>
    <x:row r="154" ht="24" customHeight="1">
      <x:c r="A154" s="41" t="s">
        <x:v>556</x:v>
      </x:c>
      <x:c r="B154" s="41" t="n">
        <x:f>COUNTIFS(赛事明细!$P$4:$P$1000,"已结算",赛事明细!$K$4:$K$1000,$A154)</x:f>
        <x:v>7</x:v>
      </x:c>
      <x:c r="C154" s="41" t="n">
        <x:f>COUNTIFS(赛事明细!$P$4:$P$1000,"已结算",赛事明细!$K$4:$K$1000,$A154,赛事明细!$Q$4:$Q$1000,"红")</x:f>
        <x:v>3</x:v>
      </x:c>
      <x:c r="D154" s="41" t="n">
        <x:f>COUNTIFS(赛事明细!$P$4:$P$1000,"已结算",赛事明细!$K$4:$K$1000,$A154,赛事明细!$Q$4:$Q$1000,"半红")</x:f>
        <x:v>0</x:v>
      </x:c>
      <x:c r="E154" s="41" t="n">
        <x:f>COUNTIFS(赛事明细!$P$4:$P$1000,"已结算",赛事明细!$K$4:$K$1000,$A154,赛事明细!$Q$4:$Q$1000,"走")</x:f>
        <x:v>0</x:v>
      </x:c>
      <x:c r="F154" s="41" t="n">
        <x:f>COUNTIFS(赛事明细!$P$4:$P$1000,"已结算",赛事明细!$K$4:$K$1000,$A154,赛事明细!$Q$4:$Q$1000,"半黑")</x:f>
        <x:v>0</x:v>
      </x:c>
      <x:c r="G154" s="41" t="n">
        <x:f>COUNTIFS(赛事明细!$P$4:$P$1000,"已结算",赛事明细!$K$4:$K$1000,$A154,赛事明细!$Q$4:$Q$1000,"黑")</x:f>
        <x:v>4</x:v>
      </x:c>
      <x:c r="H154" s="42">
        <x:f t="shared" si="8"/>
        <x:v>0.428571428571429</x:v>
      </x:c>
      <x:c r="I154" s="43" t="n">
        <x:f>SUMIFS(赛事明细!$S$4:$S$1000,赛事明细!$P$4:$P$1000,"已结算",赛事明细!$K$4:$K$1000,$A154)</x:f>
        <x:v>-1.28</x:v>
      </x:c>
      <x:c r="J154" s="42">
        <x:f t="shared" si="9"/>
        <x:v>-0.182857142857143</x:v>
      </x:c>
      <x:c r="K154" s="41" t="str">
        <x:f t="shared" si="10"/>
      </x:c>
    </x:row>
    <x:row r="155" ht="24" customHeight="1">
      <x:c r="A155" s="41" t="s">
        <x:v>1715</x:v>
      </x:c>
      <x:c r="B155" s="41" t="n">
        <x:f>COUNTIFS(赛事明细!$P$4:$P$1000,"已结算",赛事明细!$K$4:$K$1000,$A155)</x:f>
        <x:v>2</x:v>
      </x:c>
      <x:c r="C155" s="41" t="n">
        <x:f>COUNTIFS(赛事明细!$P$4:$P$1000,"已结算",赛事明细!$K$4:$K$1000,$A155,赛事明细!$Q$4:$Q$1000,"红")</x:f>
        <x:v>0</x:v>
      </x:c>
      <x:c r="D155" s="41" t="n">
        <x:f>COUNTIFS(赛事明细!$P$4:$P$1000,"已结算",赛事明细!$K$4:$K$1000,$A155,赛事明细!$Q$4:$Q$1000,"半红")</x:f>
        <x:v>0</x:v>
      </x:c>
      <x:c r="E155" s="41" t="n">
        <x:f>COUNTIFS(赛事明细!$P$4:$P$1000,"已结算",赛事明细!$K$4:$K$1000,$A155,赛事明细!$Q$4:$Q$1000,"走")</x:f>
        <x:v>1</x:v>
      </x:c>
      <x:c r="F155" s="41" t="n">
        <x:f>COUNTIFS(赛事明细!$P$4:$P$1000,"已结算",赛事明细!$K$4:$K$1000,$A155,赛事明细!$Q$4:$Q$1000,"半黑")</x:f>
        <x:v>1</x:v>
      </x:c>
      <x:c r="G155" s="41" t="n">
        <x:f>COUNTIFS(赛事明细!$P$4:$P$1000,"已结算",赛事明细!$K$4:$K$1000,$A155,赛事明细!$Q$4:$Q$1000,"黑")</x:f>
        <x:v>0</x:v>
      </x:c>
      <x:c r="H155" s="42">
        <x:f t="shared" si="8"/>
        <x:v>0</x:v>
      </x:c>
      <x:c r="I155" s="43" t="n">
        <x:f>SUMIFS(赛事明细!$S$4:$S$1000,赛事明细!$P$4:$P$1000,"已结算",赛事明细!$K$4:$K$1000,$A155)</x:f>
        <x:v>-0.5</x:v>
      </x:c>
      <x:c r="J155" s="42">
        <x:f t="shared" si="9"/>
        <x:v>-0.25</x:v>
      </x:c>
      <x:c r="K155" s="41" t="str">
        <x:f t="shared" si="10"/>
        <x:v>样本&lt;5，谨慎解读</x:v>
      </x:c>
    </x:row>
    <x:row r="156" ht="24" customHeight="1">
      <x:c r="A156" s="41" t="s">
        <x:v>2547</x:v>
      </x:c>
      <x:c r="B156" s="41" t="n">
        <x:f>COUNTIFS(赛事明细!$P$4:$P$1000,"已结算",赛事明细!$K$4:$K$1000,$A156)</x:f>
        <x:v>98</x:v>
      </x:c>
      <x:c r="C156" s="41" t="n">
        <x:f>COUNTIFS(赛事明细!$P$4:$P$1000,"已结算",赛事明细!$K$4:$K$1000,$A156,赛事明细!$Q$4:$Q$1000,"红")</x:f>
        <x:v>36</x:v>
      </x:c>
      <x:c r="D156" s="41" t="n">
        <x:f>COUNTIFS(赛事明细!$P$4:$P$1000,"已结算",赛事明细!$K$4:$K$1000,$A156,赛事明细!$Q$4:$Q$1000,"半红")</x:f>
        <x:v>9</x:v>
      </x:c>
      <x:c r="E156" s="41" t="n">
        <x:f>COUNTIFS(赛事明细!$P$4:$P$1000,"已结算",赛事明细!$K$4:$K$1000,$A156,赛事明细!$Q$4:$Q$1000,"走")</x:f>
        <x:v>5</x:v>
      </x:c>
      <x:c r="F156" s="41" t="n">
        <x:f>COUNTIFS(赛事明细!$P$4:$P$1000,"已结算",赛事明细!$K$4:$K$1000,$A156,赛事明细!$Q$4:$Q$1000,"半黑")</x:f>
        <x:v>9</x:v>
      </x:c>
      <x:c r="G156" s="41" t="n">
        <x:f>COUNTIFS(赛事明细!$P$4:$P$1000,"已结算",赛事明细!$K$4:$K$1000,$A156,赛事明细!$Q$4:$Q$1000,"黑")</x:f>
        <x:v>39</x:v>
      </x:c>
      <x:c r="H156" s="42">
        <x:f t="shared" si="8"/>
        <x:v>0.482142857142857</x:v>
      </x:c>
      <x:c r="I156" s="43" t="n">
        <x:f>SUMIFS(赛事明细!$S$4:$S$1000,赛事明细!$P$4:$P$1000,"已结算",赛事明细!$K$4:$K$1000,$A156)</x:f>
        <x:v>-9.214999999999998</x:v>
      </x:c>
      <x:c r="J156" s="42">
        <x:f t="shared" si="9"/>
        <x:v>-0.0940306122448979</x:v>
      </x:c>
      <x:c r="K156" s="41" t="str">
        <x:f t="shared" si="10"/>
      </x:c>
    </x:row>
    <x:row r="157" ht="24" customHeight="1">
      <x:c r="A157" s="44" t="s">
        <x:v>3047</x:v>
      </x:c>
      <x:c r="B157" s="44" t="n">
        <x:f t="shared" ref="B157:G157" si="11">SUM(B146:B156)</x:f>
        <x:v>755</x:v>
      </x:c>
      <x:c r="C157" s="44">
        <x:f t="shared" si="11"/>
        <x:v>304</x:v>
      </x:c>
      <x:c r="D157" s="44">
        <x:f t="shared" si="11"/>
        <x:v>40</x:v>
      </x:c>
      <x:c r="E157" s="44">
        <x:f t="shared" si="11"/>
        <x:v>58</x:v>
      </x:c>
      <x:c r="F157" s="44">
        <x:f t="shared" si="11"/>
        <x:v>79</x:v>
      </x:c>
      <x:c r="G157" s="44">
        <x:f t="shared" si="11"/>
        <x:v>251</x:v>
      </x:c>
      <x:c r="H157" s="45">
        <x:f t="shared" si="8"/>
        <x:v>0.527257933279089</x:v>
      </x:c>
      <x:c r="I157" s="46" t="n">
        <x:f>SUM(I146:I156)</x:f>
        <x:v>-3.409999999999995</x:v>
      </x:c>
      <x:c r="J157" s="45">
        <x:f t="shared" si="9"/>
        <x:v>-0.00507513661202185</x:v>
      </x:c>
      <x:c r="K157" s="44"/>
    </x:row>
    <x:row r="158" ht="24" customHeight="1"/>
    <x:row r="159" ht="24" customHeight="1"/>
    <x:row r="160" ht="27" customHeight="1">
      <x:c r="A160" s="38" t="s">
        <x:v>3050</x:v>
      </x:c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</x:row>
    <x:row r="161" ht="26" customHeight="1">
      <x:c r="A161" s="40" t="s">
        <x:v>3045</x:v>
      </x:c>
      <x:c r="B161" s="40" t="s">
        <x:v>16</x:v>
      </x:c>
      <x:c r="C161" s="40" t="s">
        <x:v>11</x:v>
      </x:c>
      <x:c r="D161" s="40" t="s">
        <x:v>14</x:v>
      </x:c>
      <x:c r="E161" s="40" t="s">
        <x:v>17</x:v>
      </x:c>
      <x:c r="F161" s="40" t="s">
        <x:v>20</x:v>
      </x:c>
      <x:c r="G161" s="40" t="s">
        <x:v>23</x:v>
      </x:c>
      <x:c r="H161" s="40" t="s">
        <x:v>31</x:v>
      </x:c>
      <x:c r="I161" s="40" t="s">
        <x:v>3046</x:v>
      </x:c>
      <x:c r="J161" s="40" t="s">
        <x:v>25</x:v>
      </x:c>
      <x:c r="K161" s="40" t="s">
        <x:v>2923</x:v>
      </x:c>
    </x:row>
    <x:row r="162" ht="24" customHeight="1">
      <x:c r="A162" s="41" t="s">
        <x:v>89</x:v>
      </x:c>
      <x:c r="B162" s="41" t="n">
        <x:f>COUNTIFS(赛事明细!$P$4:$P$1000,"已结算",赛事明细!$C$4:$C$1000,$A162)</x:f>
        <x:v>209</x:v>
      </x:c>
      <x:c r="C162" s="41" t="n">
        <x:f>COUNTIFS(赛事明细!$P$4:$P$1000,"已结算",赛事明细!$C$4:$C$1000,$A162,赛事明细!$Q$4:$Q$1000,"红")</x:f>
        <x:v>90</x:v>
      </x:c>
      <x:c r="D162" s="41" t="n">
        <x:f>COUNTIFS(赛事明细!$P$4:$P$1000,"已结算",赛事明细!$C$4:$C$1000,$A162,赛事明细!$Q$4:$Q$1000,"半红")</x:f>
        <x:v>13</x:v>
      </x:c>
      <x:c r="E162" s="41" t="n">
        <x:f>COUNTIFS(赛事明细!$P$4:$P$1000,"已结算",赛事明细!$C$4:$C$1000,$A162,赛事明细!$Q$4:$Q$1000,"走")</x:f>
        <x:v>8</x:v>
      </x:c>
      <x:c r="F162" s="41" t="n">
        <x:f>COUNTIFS(赛事明细!$P$4:$P$1000,"已结算",赛事明细!$C$4:$C$1000,$A162,赛事明细!$Q$4:$Q$1000,"半黑")</x:f>
        <x:v>17</x:v>
      </x:c>
      <x:c r="G162" s="41" t="n">
        <x:f>COUNTIFS(赛事明细!$P$4:$P$1000,"已结算",赛事明细!$C$4:$C$1000,$A162,赛事明细!$Q$4:$Q$1000,"黑")</x:f>
        <x:v>81</x:v>
      </x:c>
      <x:c r="H162" s="42" t="n">
        <x:f t="shared" ref="H162:H173" si="12">IFERROR((C162+0.5*D162)/(C162+0.5*D162+G162+0.5*F162),0)</x:f>
        <x:v>0.5188172043010753</x:v>
      </x:c>
      <x:c r="I162" s="43" t="n">
        <x:f>SUMIFS(赛事明细!$S$4:$S$1000,赛事明细!$P$4:$P$1000,"已结算",赛事明细!$C$4:$C$1000,$A162)</x:f>
        <x:v>-6.674999999999998</x:v>
      </x:c>
      <x:c r="J162" s="42" t="n">
        <x:f t="shared" ref="J162:J173" si="13">IFERROR(I162/B162,0)</x:f>
        <x:v>-0.03193779904306219</x:v>
      </x:c>
      <x:c r="K162" s="41" t="str">
        <x:f t="shared" ref="K162:K172" si="14">IF(B162&lt;5,"样本&lt;5，谨慎解读","")</x:f>
      </x:c>
    </x:row>
    <x:row r="163" ht="24" customHeight="1">
      <x:c r="A163" s="41" t="s">
        <x:v>109</x:v>
      </x:c>
      <x:c r="B163" s="41" t="n">
        <x:f>COUNTIFS(赛事明细!$P$4:$P$1000,"已结算",赛事明细!$C$4:$C$1000,$A163)</x:f>
        <x:v>3</x:v>
      </x:c>
      <x:c r="C163" s="41" t="n">
        <x:f>COUNTIFS(赛事明细!$P$4:$P$1000,"已结算",赛事明细!$C$4:$C$1000,$A163,赛事明细!$Q$4:$Q$1000,"红")</x:f>
        <x:v>0</x:v>
      </x:c>
      <x:c r="D163" s="41" t="n">
        <x:f>COUNTIFS(赛事明细!$P$4:$P$1000,"已结算",赛事明细!$C$4:$C$1000,$A163,赛事明细!$Q$4:$Q$1000,"半红")</x:f>
        <x:v>0</x:v>
      </x:c>
      <x:c r="E163" s="41" t="n">
        <x:f>COUNTIFS(赛事明细!$P$4:$P$1000,"已结算",赛事明细!$C$4:$C$1000,$A163,赛事明细!$Q$4:$Q$1000,"走")</x:f>
        <x:v>0</x:v>
      </x:c>
      <x:c r="F163" s="41" t="n">
        <x:f>COUNTIFS(赛事明细!$P$4:$P$1000,"已结算",赛事明细!$C$4:$C$1000,$A163,赛事明细!$Q$4:$Q$1000,"半黑")</x:f>
        <x:v>0</x:v>
      </x:c>
      <x:c r="G163" s="41" t="n">
        <x:f>COUNTIFS(赛事明细!$P$4:$P$1000,"已结算",赛事明细!$C$4:$C$1000,$A163,赛事明细!$Q$4:$Q$1000,"黑")</x:f>
        <x:v>3</x:v>
      </x:c>
      <x:c r="H163" s="42">
        <x:f t="shared" si="12"/>
        <x:v>0</x:v>
      </x:c>
      <x:c r="I163" s="43" t="n">
        <x:f>SUMIFS(赛事明细!$S$4:$S$1000,赛事明细!$P$4:$P$1000,"已结算",赛事明细!$C$4:$C$1000,$A163)</x:f>
        <x:v>-3</x:v>
      </x:c>
      <x:c r="J163" s="42">
        <x:f t="shared" si="13"/>
        <x:v>-1</x:v>
      </x:c>
      <x:c r="K163" s="41" t="str">
        <x:f t="shared" si="14"/>
        <x:v>样本&lt;5，谨慎解读</x:v>
      </x:c>
    </x:row>
    <x:row r="164" ht="24" customHeight="1">
      <x:c r="A164" s="41" t="s">
        <x:v>128</x:v>
      </x:c>
      <x:c r="B164" s="41" t="n">
        <x:f>COUNTIFS(赛事明细!$P$4:$P$1000,"已结算",赛事明细!$C$4:$C$1000,$A164)</x:f>
        <x:v>64</x:v>
      </x:c>
      <x:c r="C164" s="41" t="n">
        <x:f>COUNTIFS(赛事明细!$P$4:$P$1000,"已结算",赛事明细!$C$4:$C$1000,$A164,赛事明细!$Q$4:$Q$1000,"红")</x:f>
        <x:v>24</x:v>
      </x:c>
      <x:c r="D164" s="41" t="n">
        <x:f>COUNTIFS(赛事明细!$P$4:$P$1000,"已结算",赛事明细!$C$4:$C$1000,$A164,赛事明细!$Q$4:$Q$1000,"半红")</x:f>
        <x:v>3</x:v>
      </x:c>
      <x:c r="E164" s="41" t="n">
        <x:f>COUNTIFS(赛事明细!$P$4:$P$1000,"已结算",赛事明细!$C$4:$C$1000,$A164,赛事明细!$Q$4:$Q$1000,"走")</x:f>
        <x:v>7</x:v>
      </x:c>
      <x:c r="F164" s="41" t="n">
        <x:f>COUNTIFS(赛事明细!$P$4:$P$1000,"已结算",赛事明细!$C$4:$C$1000,$A164,赛事明细!$Q$4:$Q$1000,"半黑")</x:f>
        <x:v>12</x:v>
      </x:c>
      <x:c r="G164" s="41" t="n">
        <x:f>COUNTIFS(赛事明细!$P$4:$P$1000,"已结算",赛事明细!$C$4:$C$1000,$A164,赛事明细!$Q$4:$Q$1000,"黑")</x:f>
        <x:v>18</x:v>
      </x:c>
      <x:c r="H164" s="42">
        <x:f t="shared" si="12"/>
        <x:v>0.515151515151515</x:v>
      </x:c>
      <x:c r="I164" s="43" t="n">
        <x:f>SUMIFS(赛事明细!$S$4:$S$1000,赛事明细!$P$4:$P$1000,"已结算",赛事明细!$C$4:$C$1000,$A164)</x:f>
        <x:v>-0.815</x:v>
      </x:c>
      <x:c r="J164" s="42">
        <x:f t="shared" si="13"/>
        <x:v>-0.012734375</x:v>
      </x:c>
      <x:c r="K164" s="41" t="str">
        <x:f t="shared" si="14"/>
      </x:c>
    </x:row>
    <x:row r="165" ht="24" customHeight="1">
      <x:c r="A165" s="41" t="s">
        <x:v>136</x:v>
      </x:c>
      <x:c r="B165" s="41" t="n">
        <x:f>COUNTIFS(赛事明细!$P$4:$P$1000,"已结算",赛事明细!$C$4:$C$1000,$A165)</x:f>
        <x:v>29</x:v>
      </x:c>
      <x:c r="C165" s="41" t="n">
        <x:f>COUNTIFS(赛事明细!$P$4:$P$1000,"已结算",赛事明细!$C$4:$C$1000,$A165,赛事明细!$Q$4:$Q$1000,"红")</x:f>
        <x:v>10</x:v>
      </x:c>
      <x:c r="D165" s="41" t="n">
        <x:f>COUNTIFS(赛事明细!$P$4:$P$1000,"已结算",赛事明细!$C$4:$C$1000,$A165,赛事明细!$Q$4:$Q$1000,"半红")</x:f>
        <x:v>1</x:v>
      </x:c>
      <x:c r="E165" s="41" t="n">
        <x:f>COUNTIFS(赛事明细!$P$4:$P$1000,"已结算",赛事明细!$C$4:$C$1000,$A165,赛事明细!$Q$4:$Q$1000,"走")</x:f>
        <x:v>3</x:v>
      </x:c>
      <x:c r="F165" s="41" t="n">
        <x:f>COUNTIFS(赛事明细!$P$4:$P$1000,"已结算",赛事明细!$C$4:$C$1000,$A165,赛事明细!$Q$4:$Q$1000,"半黑")</x:f>
        <x:v>5</x:v>
      </x:c>
      <x:c r="G165" s="41" t="n">
        <x:f>COUNTIFS(赛事明细!$P$4:$P$1000,"已结算",赛事明细!$C$4:$C$1000,$A165,赛事明细!$Q$4:$Q$1000,"黑")</x:f>
        <x:v>10</x:v>
      </x:c>
      <x:c r="H165" s="42">
        <x:f t="shared" si="12"/>
        <x:v>0.456521739130435</x:v>
      </x:c>
      <x:c r="I165" s="43" t="n">
        <x:f>SUMIFS(赛事明细!$S$4:$S$1000,赛事明细!$P$4:$P$1000,"已结算",赛事明细!$C$4:$C$1000,$A165)</x:f>
        <x:v>-2.8099999999999996</x:v>
      </x:c>
      <x:c r="J165" s="42">
        <x:f t="shared" si="13"/>
        <x:v>-0.0968965517241379</x:v>
      </x:c>
      <x:c r="K165" s="41" t="str">
        <x:f t="shared" si="14"/>
      </x:c>
    </x:row>
    <x:row r="166" ht="24" customHeight="1">
      <x:c r="A166" s="41" t="s">
        <x:v>144</x:v>
      </x:c>
      <x:c r="B166" s="41" t="n">
        <x:f>COUNTIFS(赛事明细!$P$4:$P$1000,"已结算",赛事明细!$C$4:$C$1000,$A166)</x:f>
        <x:v>8</x:v>
      </x:c>
      <x:c r="C166" s="41" t="n">
        <x:f>COUNTIFS(赛事明细!$P$4:$P$1000,"已结算",赛事明细!$C$4:$C$1000,$A166,赛事明细!$Q$4:$Q$1000,"红")</x:f>
        <x:v>3</x:v>
      </x:c>
      <x:c r="D166" s="41" t="n">
        <x:f>COUNTIFS(赛事明细!$P$4:$P$1000,"已结算",赛事明细!$C$4:$C$1000,$A166,赛事明细!$Q$4:$Q$1000,"半红")</x:f>
        <x:v>1</x:v>
      </x:c>
      <x:c r="E166" s="41" t="n">
        <x:f>COUNTIFS(赛事明细!$P$4:$P$1000,"已结算",赛事明细!$C$4:$C$1000,$A166,赛事明细!$Q$4:$Q$1000,"走")</x:f>
        <x:v>2</x:v>
      </x:c>
      <x:c r="F166" s="41" t="n">
        <x:f>COUNTIFS(赛事明细!$P$4:$P$1000,"已结算",赛事明细!$C$4:$C$1000,$A166,赛事明细!$Q$4:$Q$1000,"半黑")</x:f>
        <x:v>1</x:v>
      </x:c>
      <x:c r="G166" s="41" t="n">
        <x:f>COUNTIFS(赛事明细!$P$4:$P$1000,"已结算",赛事明细!$C$4:$C$1000,$A166,赛事明细!$Q$4:$Q$1000,"黑")</x:f>
        <x:v>1</x:v>
      </x:c>
      <x:c r="H166" s="42">
        <x:f t="shared" si="12"/>
        <x:v>0.7</x:v>
      </x:c>
      <x:c r="I166" s="43" t="n">
        <x:f>SUMIFS(赛事明细!$S$4:$S$1000,赛事明细!$P$4:$P$1000,"已结算",赛事明细!$C$4:$C$1000,$A166)</x:f>
        <x:v>1.565</x:v>
      </x:c>
      <x:c r="J166" s="42">
        <x:f t="shared" si="13"/>
        <x:v>0.195625</x:v>
      </x:c>
      <x:c r="K166" s="41" t="str">
        <x:f t="shared" si="14"/>
      </x:c>
    </x:row>
    <x:row r="167" ht="24" customHeight="1">
      <x:c r="A167" s="41" t="s">
        <x:v>239</x:v>
      </x:c>
      <x:c r="B167" s="41" t="n">
        <x:f>COUNTIFS(赛事明细!$P$4:$P$1000,"已结算",赛事明细!$C$4:$C$1000,$A167)</x:f>
        <x:v>45</x:v>
      </x:c>
      <x:c r="C167" s="41" t="n">
        <x:f>COUNTIFS(赛事明细!$P$4:$P$1000,"已结算",赛事明细!$C$4:$C$1000,$A167,赛事明细!$Q$4:$Q$1000,"红")</x:f>
        <x:v>19</x:v>
      </x:c>
      <x:c r="D167" s="41" t="n">
        <x:f>COUNTIFS(赛事明细!$P$4:$P$1000,"已结算",赛事明细!$C$4:$C$1000,$A167,赛事明细!$Q$4:$Q$1000,"半红")</x:f>
        <x:v>0</x:v>
      </x:c>
      <x:c r="E167" s="41" t="n">
        <x:f>COUNTIFS(赛事明细!$P$4:$P$1000,"已结算",赛事明细!$C$4:$C$1000,$A167,赛事明细!$Q$4:$Q$1000,"走")</x:f>
        <x:v>5</x:v>
      </x:c>
      <x:c r="F167" s="41" t="n">
        <x:f>COUNTIFS(赛事明细!$P$4:$P$1000,"已结算",赛事明细!$C$4:$C$1000,$A167,赛事明细!$Q$4:$Q$1000,"半黑")</x:f>
        <x:v>7</x:v>
      </x:c>
      <x:c r="G167" s="41" t="n">
        <x:f>COUNTIFS(赛事明细!$P$4:$P$1000,"已结算",赛事明细!$C$4:$C$1000,$A167,赛事明细!$Q$4:$Q$1000,"黑")</x:f>
        <x:v>14</x:v>
      </x:c>
      <x:c r="H167" s="42">
        <x:f t="shared" si="12"/>
        <x:v>0.520547945205479</x:v>
      </x:c>
      <x:c r="I167" s="43" t="n">
        <x:f>SUMIFS(赛事明细!$S$4:$S$1000,赛事明细!$P$4:$P$1000,"已结算",赛事明细!$C$4:$C$1000,$A167)</x:f>
        <x:v>-1.29</x:v>
      </x:c>
      <x:c r="J167" s="42">
        <x:f t="shared" si="13"/>
        <x:v>-0.0286666666666667</x:v>
      </x:c>
      <x:c r="K167" s="41" t="str">
        <x:f t="shared" si="14"/>
      </x:c>
    </x:row>
    <x:row r="168" ht="24" customHeight="1">
      <x:c r="A168" s="41" t="s">
        <x:v>244</x:v>
      </x:c>
      <x:c r="B168" s="41" t="n">
        <x:f>COUNTIFS(赛事明细!$P$4:$P$1000,"已结算",赛事明细!$C$4:$C$1000,$A168)</x:f>
        <x:v>96</x:v>
      </x:c>
      <x:c r="C168" s="41" t="n">
        <x:f>COUNTIFS(赛事明细!$P$4:$P$1000,"已结算",赛事明细!$C$4:$C$1000,$A168,赛事明细!$Q$4:$Q$1000,"红")</x:f>
        <x:v>37</x:v>
      </x:c>
      <x:c r="D168" s="41" t="n">
        <x:f>COUNTIFS(赛事明细!$P$4:$P$1000,"已结算",赛事明细!$C$4:$C$1000,$A168,赛事明细!$Q$4:$Q$1000,"半红")</x:f>
        <x:v>10</x:v>
      </x:c>
      <x:c r="E168" s="41" t="n">
        <x:f>COUNTIFS(赛事明细!$P$4:$P$1000,"已结算",赛事明细!$C$4:$C$1000,$A168,赛事明细!$Q$4:$Q$1000,"走")</x:f>
        <x:v>9</x:v>
      </x:c>
      <x:c r="F168" s="41" t="n">
        <x:f>COUNTIFS(赛事明细!$P$4:$P$1000,"已结算",赛事明细!$C$4:$C$1000,$A168,赛事明细!$Q$4:$Q$1000,"半黑")</x:f>
        <x:v>5</x:v>
      </x:c>
      <x:c r="G168" s="41" t="n">
        <x:f>COUNTIFS(赛事明细!$P$4:$P$1000,"已结算",赛事明细!$C$4:$C$1000,$A168,赛事明细!$Q$4:$Q$1000,"黑")</x:f>
        <x:v>35</x:v>
      </x:c>
      <x:c r="H168" s="42">
        <x:f t="shared" si="12"/>
        <x:v>0.528301886792453</x:v>
      </x:c>
      <x:c r="I168" s="43" t="n">
        <x:f>SUMIFS(赛事明细!$S$4:$S$1000,赛事明细!$P$4:$P$1000,"已结算",赛事明细!$C$4:$C$1000,$A168)</x:f>
        <x:v>-1.6550000000000007</x:v>
      </x:c>
      <x:c r="J168" s="42">
        <x:f t="shared" si="13"/>
        <x:v>-0.0172395833333333</x:v>
      </x:c>
      <x:c r="K168" s="41" t="str">
        <x:f t="shared" si="14"/>
      </x:c>
    </x:row>
    <x:row r="169" ht="24" customHeight="1">
      <x:c r="A169" s="41" t="s">
        <x:v>333</x:v>
      </x:c>
      <x:c r="B169" s="41" t="n">
        <x:f>COUNTIFS(赛事明细!$P$4:$P$1000,"已结算",赛事明细!$C$4:$C$1000,$A169)</x:f>
        <x:v>227</x:v>
      </x:c>
      <x:c r="C169" s="41" t="n">
        <x:f>COUNTIFS(赛事明细!$P$4:$P$1000,"已结算",赛事明细!$C$4:$C$1000,$A169,赛事明细!$Q$4:$Q$1000,"红")</x:f>
        <x:v>98</x:v>
      </x:c>
      <x:c r="D169" s="41" t="n">
        <x:f>COUNTIFS(赛事明细!$P$4:$P$1000,"已结算",赛事明细!$C$4:$C$1000,$A169,赛事明细!$Q$4:$Q$1000,"半红")</x:f>
        <x:v>10</x:v>
      </x:c>
      <x:c r="E169" s="41" t="n">
        <x:f>COUNTIFS(赛事明细!$P$4:$P$1000,"已结算",赛事明细!$C$4:$C$1000,$A169,赛事明细!$Q$4:$Q$1000,"走")</x:f>
        <x:v>19</x:v>
      </x:c>
      <x:c r="F169" s="41" t="n">
        <x:f>COUNTIFS(赛事明细!$P$4:$P$1000,"已结算",赛事明细!$C$4:$C$1000,$A169,赛事明细!$Q$4:$Q$1000,"半黑")</x:f>
        <x:v>27</x:v>
      </x:c>
      <x:c r="G169" s="41" t="n">
        <x:f>COUNTIFS(赛事明细!$P$4:$P$1000,"已结算",赛事明细!$C$4:$C$1000,$A169,赛事明细!$Q$4:$Q$1000,"黑")</x:f>
        <x:v>73</x:v>
      </x:c>
      <x:c r="H169" s="42">
        <x:f t="shared" si="12"/>
        <x:v>0.54353562005277</x:v>
      </x:c>
      <x:c r="I169" s="43" t="n">
        <x:f>SUMIFS(赛事明细!$S$4:$S$1000,赛事明细!$P$4:$P$1000,"已结算",赛事明细!$C$4:$C$1000,$A169)</x:f>
        <x:v>6.695000000000009</x:v>
      </x:c>
      <x:c r="J169" s="42">
        <x:f t="shared" si="13"/>
        <x:v>0.0294933920704846</x:v>
      </x:c>
      <x:c r="K169" s="41" t="str">
        <x:f t="shared" si="14"/>
      </x:c>
    </x:row>
    <x:row r="170" ht="24" customHeight="1">
      <x:c r="A170" s="41" t="s">
        <x:v>447</x:v>
      </x:c>
      <x:c r="B170" s="41" t="n">
        <x:f>COUNTIFS(赛事明细!$P$4:$P$1000,"已结算",赛事明细!$C$4:$C$1000,$A170)</x:f>
        <x:v>35</x:v>
      </x:c>
      <x:c r="C170" s="41" t="n">
        <x:f>COUNTIFS(赛事明细!$P$4:$P$1000,"已结算",赛事明细!$C$4:$C$1000,$A170,赛事明细!$Q$4:$Q$1000,"红")</x:f>
        <x:v>14</x:v>
      </x:c>
      <x:c r="D170" s="41" t="n">
        <x:f>COUNTIFS(赛事明细!$P$4:$P$1000,"已结算",赛事明细!$C$4:$C$1000,$A170,赛事明细!$Q$4:$Q$1000,"半红")</x:f>
        <x:v>2</x:v>
      </x:c>
      <x:c r="E170" s="41" t="n">
        <x:f>COUNTIFS(赛事明细!$P$4:$P$1000,"已结算",赛事明细!$C$4:$C$1000,$A170,赛事明细!$Q$4:$Q$1000,"走")</x:f>
        <x:v>3</x:v>
      </x:c>
      <x:c r="F170" s="41" t="n">
        <x:f>COUNTIFS(赛事明细!$P$4:$P$1000,"已结算",赛事明细!$C$4:$C$1000,$A170,赛事明细!$Q$4:$Q$1000,"半黑")</x:f>
        <x:v>3</x:v>
      </x:c>
      <x:c r="G170" s="41" t="n">
        <x:f>COUNTIFS(赛事明细!$P$4:$P$1000,"已结算",赛事明细!$C$4:$C$1000,$A170,赛事明细!$Q$4:$Q$1000,"黑")</x:f>
        <x:v>13</x:v>
      </x:c>
      <x:c r="H170" s="42">
        <x:f t="shared" si="12"/>
        <x:v>0.508474576271186</x:v>
      </x:c>
      <x:c r="I170" s="43" t="n">
        <x:f>SUMIFS(赛事明细!$S$4:$S$1000,赛事明细!$P$4:$P$1000,"已结算",赛事明细!$C$4:$C$1000,$A170)</x:f>
        <x:v>0.16000000000000014</x:v>
      </x:c>
      <x:c r="J170" s="42">
        <x:f t="shared" si="13"/>
        <x:v>0.00457142857142858</x:v>
      </x:c>
      <x:c r="K170" s="41" t="str">
        <x:f t="shared" si="14"/>
      </x:c>
    </x:row>
    <x:row r="171" ht="24" customHeight="1">
      <x:c r="A171" s="41" t="s">
        <x:v>1188</x:v>
      </x:c>
      <x:c r="B171" s="41" t="n">
        <x:f>COUNTIFS(赛事明细!$P$4:$P$1000,"已结算",赛事明细!$C$4:$C$1000,$A171)</x:f>
        <x:v>8</x:v>
      </x:c>
      <x:c r="C171" s="41" t="n">
        <x:f>COUNTIFS(赛事明细!$P$4:$P$1000,"已结算",赛事明细!$C$4:$C$1000,$A171,赛事明细!$Q$4:$Q$1000,"红")</x:f>
        <x:v>5</x:v>
      </x:c>
      <x:c r="D171" s="41" t="n">
        <x:f>COUNTIFS(赛事明细!$P$4:$P$1000,"已结算",赛事明细!$C$4:$C$1000,$A171,赛事明细!$Q$4:$Q$1000,"半红")</x:f>
        <x:v>0</x:v>
      </x:c>
      <x:c r="E171" s="41" t="n">
        <x:f>COUNTIFS(赛事明细!$P$4:$P$1000,"已结算",赛事明细!$C$4:$C$1000,$A171,赛事明细!$Q$4:$Q$1000,"走")</x:f>
        <x:v>2</x:v>
      </x:c>
      <x:c r="F171" s="41" t="n">
        <x:f>COUNTIFS(赛事明细!$P$4:$P$1000,"已结算",赛事明细!$C$4:$C$1000,$A171,赛事明细!$Q$4:$Q$1000,"半黑")</x:f>
        <x:v>1</x:v>
      </x:c>
      <x:c r="G171" s="41" t="n">
        <x:f>COUNTIFS(赛事明细!$P$4:$P$1000,"已结算",赛事明细!$C$4:$C$1000,$A171,赛事明细!$Q$4:$Q$1000,"黑")</x:f>
        <x:v>0</x:v>
      </x:c>
      <x:c r="H171" s="42">
        <x:f t="shared" si="12"/>
        <x:v>0.909090909090909</x:v>
      </x:c>
      <x:c r="I171" s="43" t="n">
        <x:f>SUMIFS(赛事明细!$S$4:$S$1000,赛事明细!$P$4:$P$1000,"已结算",赛事明细!$C$4:$C$1000,$A171)</x:f>
        <x:v>3.66</x:v>
      </x:c>
      <x:c r="J171" s="42">
        <x:f t="shared" si="13"/>
        <x:v>0.4575</x:v>
      </x:c>
      <x:c r="K171" s="41" t="str">
        <x:f t="shared" si="14"/>
      </x:c>
    </x:row>
    <x:row r="172" ht="24" customHeight="1">
      <x:c r="A172" s="41" t="s">
        <x:v>2008</x:v>
      </x:c>
      <x:c r="B172" s="41" t="n">
        <x:f>COUNTIFS(赛事明细!$P$4:$P$1000,"已结算",赛事明细!$C$4:$C$1000,$A172)</x:f>
        <x:v>8</x:v>
      </x:c>
      <x:c r="C172" s="41" t="n">
        <x:f>COUNTIFS(赛事明细!$P$4:$P$1000,"已结算",赛事明细!$C$4:$C$1000,$A172,赛事明细!$Q$4:$Q$1000,"红")</x:f>
        <x:v>4</x:v>
      </x:c>
      <x:c r="D172" s="41" t="n">
        <x:f>COUNTIFS(赛事明细!$P$4:$P$1000,"已结算",赛事明细!$C$4:$C$1000,$A172,赛事明细!$Q$4:$Q$1000,"半红")</x:f>
        <x:v>0</x:v>
      </x:c>
      <x:c r="E172" s="41" t="n">
        <x:f>COUNTIFS(赛事明细!$P$4:$P$1000,"已结算",赛事明细!$C$4:$C$1000,$A172,赛事明细!$Q$4:$Q$1000,"走")</x:f>
        <x:v>0</x:v>
      </x:c>
      <x:c r="F172" s="41" t="n">
        <x:f>COUNTIFS(赛事明细!$P$4:$P$1000,"已结算",赛事明细!$C$4:$C$1000,$A172,赛事明细!$Q$4:$Q$1000,"半黑")</x:f>
        <x:v>1</x:v>
      </x:c>
      <x:c r="G172" s="41" t="n">
        <x:f>COUNTIFS(赛事明细!$P$4:$P$1000,"已结算",赛事明细!$C$4:$C$1000,$A172,赛事明细!$Q$4:$Q$1000,"黑")</x:f>
        <x:v>3</x:v>
      </x:c>
      <x:c r="H172" s="42">
        <x:f t="shared" si="12"/>
        <x:v>0.533333333333333</x:v>
      </x:c>
      <x:c r="I172" s="43" t="n">
        <x:f>SUMIFS(赛事明细!$S$4:$S$1000,赛事明细!$P$4:$P$1000,"已结算",赛事明细!$C$4:$C$1000,$A172)</x:f>
        <x:v>0.44999999999999996</x:v>
      </x:c>
      <x:c r="J172" s="42">
        <x:f t="shared" si="13"/>
        <x:v>0.05625</x:v>
      </x:c>
      <x:c r="K172" s="41" t="str">
        <x:f t="shared" si="14"/>
      </x:c>
    </x:row>
    <x:row r="173" ht="24" customHeight="1">
      <x:c r="A173" s="44" t="s">
        <x:v>3047</x:v>
      </x:c>
      <x:c r="B173" s="44" t="n">
        <x:f t="shared" ref="B173:G173" si="15">SUM(B162:B172)</x:f>
        <x:v>732</x:v>
      </x:c>
      <x:c r="C173" s="44">
        <x:f t="shared" si="15"/>
        <x:v>304</x:v>
      </x:c>
      <x:c r="D173" s="44">
        <x:f t="shared" si="15"/>
        <x:v>40</x:v>
      </x:c>
      <x:c r="E173" s="44">
        <x:f t="shared" si="15"/>
        <x:v>58</x:v>
      </x:c>
      <x:c r="F173" s="44">
        <x:f t="shared" si="15"/>
        <x:v>79</x:v>
      </x:c>
      <x:c r="G173" s="44">
        <x:f t="shared" si="15"/>
        <x:v>251</x:v>
      </x:c>
      <x:c r="H173" s="45">
        <x:f t="shared" si="12"/>
        <x:v>0.527257933279089</x:v>
      </x:c>
      <x:c r="I173" s="46" t="n">
        <x:f>SUM(I162:I172)</x:f>
        <x:v>-3.71499999999999</x:v>
      </x:c>
      <x:c r="J173" s="45">
        <x:f t="shared" si="13"/>
        <x:v>-0.00507513661202184</x:v>
      </x:c>
      <x:c r="K173" s="44"/>
    </x:row>
  </x:sheetData>
  <x:mergeCells>
    <x:mergeCell ref="A1:K1"/>
    <x:mergeCell ref="A2:K2"/>
    <x:mergeCell ref="A4:K4"/>
    <x:mergeCell ref="A11:K11"/>
    <x:mergeCell ref="A144:K144"/>
    <x:mergeCell ref="A160:K160"/>
  </x:mergeCells>
  <x:conditionalFormatting sqref="H6:H8">
    <x:cfRule type="cellIs" dxfId="3" priority="1" operator="greaterThanOrEqual">
      <x:formula>0.5</x:formula>
    </x:cfRule>
    <x:cfRule type="cellIs" dxfId="4" priority="2" operator="lessThan">
      <x:formula>0.5</x:formula>
    </x:cfRule>
  </x:conditionalFormatting>
  <x:conditionalFormatting sqref="H6:H54">
    <x:cfRule type="cellIs" dxfId="3" priority="49" operator="greaterThanOrEqual">
      <x:formula>0.5</x:formula>
    </x:cfRule>
    <x:cfRule type="cellIs" dxfId="4" priority="50" operator="lessThan">
      <x:formula>0.5</x:formula>
    </x:cfRule>
  </x:conditionalFormatting>
  <x:conditionalFormatting sqref="H13:H31">
    <x:cfRule type="cellIs" dxfId="3" priority="5" operator="greaterThanOrEqual">
      <x:formula>0.5</x:formula>
    </x:cfRule>
    <x:cfRule type="cellIs" dxfId="4" priority="6" operator="lessThan">
      <x:formula>0.5</x:formula>
    </x:cfRule>
  </x:conditionalFormatting>
  <x:conditionalFormatting sqref="H13:H34">
    <x:cfRule type="cellIs" dxfId="3" priority="21" operator="greaterThanOrEqual">
      <x:formula>0.5</x:formula>
    </x:cfRule>
    <x:cfRule type="cellIs" dxfId="4" priority="22" operator="lessThan">
      <x:formula>0.5</x:formula>
    </x:cfRule>
  </x:conditionalFormatting>
  <x:conditionalFormatting sqref="H13:H48">
    <x:cfRule type="cellIs" dxfId="3" priority="37" operator="greaterThanOrEqual">
      <x:formula>0.5</x:formula>
    </x:cfRule>
    <x:cfRule type="cellIs" dxfId="4" priority="38" operator="lessThan">
      <x:formula>0.5</x:formula>
    </x:cfRule>
  </x:conditionalFormatting>
  <x:conditionalFormatting sqref="H13:H55">
    <x:cfRule type="cellIs" dxfId="3" priority="69" operator="greaterThanOrEqual">
      <x:formula>0.5</x:formula>
    </x:cfRule>
    <x:cfRule type="cellIs" dxfId="4" priority="70" operator="lessThan">
      <x:formula>0.5</x:formula>
    </x:cfRule>
  </x:conditionalFormatting>
  <x:conditionalFormatting sqref="H13:H108">
    <x:cfRule type="cellIs" dxfId="3" priority="85" operator="greaterThanOrEqual">
      <x:formula>0.5</x:formula>
    </x:cfRule>
    <x:cfRule type="cellIs" dxfId="4" priority="86" operator="lessThan">
      <x:formula>0.5</x:formula>
    </x:cfRule>
  </x:conditionalFormatting>
  <x:conditionalFormatting sqref="H13:H103">
    <x:cfRule type="cellIs" dxfId="3" priority="117" operator="greaterThanOrEqual">
      <x:formula>0.5</x:formula>
    </x:cfRule>
    <x:cfRule type="cellIs" dxfId="4" priority="118" operator="lessThan">
      <x:formula>0.5</x:formula>
    </x:cfRule>
  </x:conditionalFormatting>
  <x:conditionalFormatting sqref="H36:H42">
    <x:cfRule type="cellIs" dxfId="3" priority="9" operator="greaterThanOrEqual">
      <x:formula>0.5</x:formula>
    </x:cfRule>
    <x:cfRule type="cellIs" dxfId="4" priority="10" operator="lessThan">
      <x:formula>0.5</x:formula>
    </x:cfRule>
  </x:conditionalFormatting>
  <x:conditionalFormatting sqref="H39:H45">
    <x:cfRule type="cellIs" dxfId="3" priority="25" operator="greaterThanOrEqual">
      <x:formula>0.5</x:formula>
    </x:cfRule>
    <x:cfRule type="cellIs" dxfId="4" priority="26" operator="lessThan">
      <x:formula>0.5</x:formula>
    </x:cfRule>
  </x:conditionalFormatting>
  <x:conditionalFormatting sqref="H47:H52">
    <x:cfRule type="cellIs" dxfId="3" priority="13" operator="greaterThanOrEqual">
      <x:formula>0.5</x:formula>
    </x:cfRule>
    <x:cfRule type="cellIs" dxfId="4" priority="14" operator="lessThan">
      <x:formula>0.5</x:formula>
    </x:cfRule>
  </x:conditionalFormatting>
  <x:conditionalFormatting sqref="H50:H57">
    <x:cfRule type="cellIs" dxfId="3" priority="29" operator="greaterThanOrEqual">
      <x:formula>0.5</x:formula>
    </x:cfRule>
    <x:cfRule type="cellIs" dxfId="4" priority="30" operator="lessThan">
      <x:formula>0.5</x:formula>
    </x:cfRule>
  </x:conditionalFormatting>
  <x:conditionalFormatting sqref="H53:H60">
    <x:cfRule type="cellIs" dxfId="3" priority="41" operator="greaterThanOrEqual">
      <x:formula>0.5</x:formula>
    </x:cfRule>
    <x:cfRule type="cellIs" dxfId="4" priority="42" operator="lessThan">
      <x:formula>0.5</x:formula>
    </x:cfRule>
  </x:conditionalFormatting>
  <x:conditionalFormatting sqref="H59:H101">
    <x:cfRule type="cellIs" dxfId="3" priority="53" operator="greaterThanOrEqual">
      <x:formula>0.5</x:formula>
    </x:cfRule>
    <x:cfRule type="cellIs" dxfId="4" priority="54" operator="lessThan">
      <x:formula>0.5</x:formula>
    </x:cfRule>
  </x:conditionalFormatting>
  <x:conditionalFormatting sqref="H60:H67">
    <x:cfRule type="cellIs" dxfId="3" priority="73" operator="greaterThanOrEqual">
      <x:formula>0.5</x:formula>
    </x:cfRule>
    <x:cfRule type="cellIs" dxfId="4" priority="74" operator="lessThan">
      <x:formula>0.5</x:formula>
    </x:cfRule>
  </x:conditionalFormatting>
  <x:conditionalFormatting sqref="H65:H74">
    <x:cfRule type="cellIs" dxfId="3" priority="45" operator="greaterThanOrEqual">
      <x:formula>0.5</x:formula>
    </x:cfRule>
    <x:cfRule type="cellIs" dxfId="4" priority="46" operator="lessThan">
      <x:formula>0.5</x:formula>
    </x:cfRule>
  </x:conditionalFormatting>
  <x:conditionalFormatting sqref="H72:H81">
    <x:cfRule type="cellIs" dxfId="3" priority="77" operator="greaterThanOrEqual">
      <x:formula>0.5</x:formula>
    </x:cfRule>
    <x:cfRule type="cellIs" dxfId="4" priority="78" operator="lessThan">
      <x:formula>0.5</x:formula>
    </x:cfRule>
  </x:conditionalFormatting>
  <x:conditionalFormatting sqref="H106:H113">
    <x:cfRule type="cellIs" dxfId="3" priority="57" operator="greaterThanOrEqual">
      <x:formula>0.5</x:formula>
    </x:cfRule>
    <x:cfRule type="cellIs" dxfId="4" priority="58" operator="lessThan">
      <x:formula>0.5</x:formula>
    </x:cfRule>
  </x:conditionalFormatting>
  <x:conditionalFormatting sqref="H108:H117">
    <x:cfRule type="cellIs" dxfId="3" priority="121" operator="greaterThanOrEqual">
      <x:formula>0.5</x:formula>
    </x:cfRule>
    <x:cfRule type="cellIs" dxfId="4" priority="122" operator="lessThan">
      <x:formula>0.5</x:formula>
    </x:cfRule>
  </x:conditionalFormatting>
  <x:conditionalFormatting sqref="H113:H123">
    <x:cfRule type="cellIs" dxfId="3" priority="89" operator="greaterThanOrEqual">
      <x:formula>0.5</x:formula>
    </x:cfRule>
    <x:cfRule type="cellIs" dxfId="4" priority="90" operator="lessThan">
      <x:formula>0.5</x:formula>
    </x:cfRule>
  </x:conditionalFormatting>
  <x:conditionalFormatting sqref="H118:H127">
    <x:cfRule type="cellIs" dxfId="3" priority="61" operator="greaterThanOrEqual">
      <x:formula>0.5</x:formula>
    </x:cfRule>
    <x:cfRule type="cellIs" dxfId="4" priority="62" operator="lessThan">
      <x:formula>0.5</x:formula>
    </x:cfRule>
  </x:conditionalFormatting>
  <x:conditionalFormatting sqref="H122:H131">
    <x:cfRule type="cellIs" dxfId="3" priority="125" operator="greaterThanOrEqual">
      <x:formula>0.5</x:formula>
    </x:cfRule>
    <x:cfRule type="cellIs" dxfId="4" priority="126" operator="lessThan">
      <x:formula>0.5</x:formula>
    </x:cfRule>
  </x:conditionalFormatting>
  <x:conditionalFormatting sqref="H128:H137">
    <x:cfRule type="cellIs" dxfId="3" priority="93" operator="greaterThanOrEqual">
      <x:formula>0.5</x:formula>
    </x:cfRule>
    <x:cfRule type="cellIs" dxfId="4" priority="94" operator="lessThan">
      <x:formula>0.5</x:formula>
    </x:cfRule>
  </x:conditionalFormatting>
  <x:conditionalFormatting sqref="I6:I8">
    <x:cfRule type="cellIs" dxfId="3" priority="3" operator="greaterThan">
      <x:formula>0</x:formula>
    </x:cfRule>
    <x:cfRule type="cellIs" dxfId="4" priority="4" operator="lessThan">
      <x:formula>0</x:formula>
    </x:cfRule>
  </x:conditionalFormatting>
  <x:conditionalFormatting sqref="I6:I54">
    <x:cfRule type="cellIs" dxfId="3" priority="51" operator="greaterThan">
      <x:formula>0</x:formula>
    </x:cfRule>
    <x:cfRule type="cellIs" dxfId="4" priority="52" operator="lessThan">
      <x:formula>0</x:formula>
    </x:cfRule>
  </x:conditionalFormatting>
  <x:conditionalFormatting sqref="I13:I31">
    <x:cfRule type="cellIs" dxfId="3" priority="7" operator="greaterThan">
      <x:formula>0</x:formula>
    </x:cfRule>
    <x:cfRule type="cellIs" dxfId="4" priority="8" operator="lessThan">
      <x:formula>0</x:formula>
    </x:cfRule>
  </x:conditionalFormatting>
  <x:conditionalFormatting sqref="I13:I34">
    <x:cfRule type="cellIs" dxfId="3" priority="23" operator="greaterThan">
      <x:formula>0</x:formula>
    </x:cfRule>
    <x:cfRule type="cellIs" dxfId="4" priority="24" operator="lessThan">
      <x:formula>0</x:formula>
    </x:cfRule>
  </x:conditionalFormatting>
  <x:conditionalFormatting sqref="I13:I48">
    <x:cfRule type="cellIs" dxfId="3" priority="39" operator="greaterThan">
      <x:formula>0</x:formula>
    </x:cfRule>
    <x:cfRule type="cellIs" dxfId="4" priority="40" operator="lessThan">
      <x:formula>0</x:formula>
    </x:cfRule>
  </x:conditionalFormatting>
  <x:conditionalFormatting sqref="I13:I55">
    <x:cfRule type="cellIs" dxfId="3" priority="71" operator="greaterThan">
      <x:formula>0</x:formula>
    </x:cfRule>
    <x:cfRule type="cellIs" dxfId="4" priority="72" operator="lessThan">
      <x:formula>0</x:formula>
    </x:cfRule>
  </x:conditionalFormatting>
  <x:conditionalFormatting sqref="I13:I108">
    <x:cfRule type="cellIs" dxfId="3" priority="87" operator="greaterThan">
      <x:formula>0</x:formula>
    </x:cfRule>
    <x:cfRule type="cellIs" dxfId="4" priority="88" operator="lessThan">
      <x:formula>0</x:formula>
    </x:cfRule>
  </x:conditionalFormatting>
  <x:conditionalFormatting sqref="I13:I103">
    <x:cfRule type="cellIs" dxfId="3" priority="119" operator="greaterThan">
      <x:formula>0</x:formula>
    </x:cfRule>
    <x:cfRule type="cellIs" dxfId="4" priority="120" operator="lessThan">
      <x:formula>0</x:formula>
    </x:cfRule>
  </x:conditionalFormatting>
  <x:conditionalFormatting sqref="I36:I42">
    <x:cfRule type="cellIs" dxfId="3" priority="11" operator="greaterThan">
      <x:formula>0</x:formula>
    </x:cfRule>
    <x:cfRule type="cellIs" dxfId="4" priority="12" operator="lessThan">
      <x:formula>0</x:formula>
    </x:cfRule>
  </x:conditionalFormatting>
  <x:conditionalFormatting sqref="I39:I45">
    <x:cfRule type="cellIs" dxfId="3" priority="27" operator="greaterThan">
      <x:formula>0</x:formula>
    </x:cfRule>
    <x:cfRule type="cellIs" dxfId="4" priority="28" operator="lessThan">
      <x:formula>0</x:formula>
    </x:cfRule>
  </x:conditionalFormatting>
  <x:conditionalFormatting sqref="I47:I52">
    <x:cfRule type="cellIs" dxfId="3" priority="15" operator="greaterThan">
      <x:formula>0</x:formula>
    </x:cfRule>
    <x:cfRule type="cellIs" dxfId="4" priority="16" operator="lessThan">
      <x:formula>0</x:formula>
    </x:cfRule>
  </x:conditionalFormatting>
  <x:conditionalFormatting sqref="I50:I57">
    <x:cfRule type="cellIs" dxfId="3" priority="31" operator="greaterThan">
      <x:formula>0</x:formula>
    </x:cfRule>
    <x:cfRule type="cellIs" dxfId="4" priority="32" operator="lessThan">
      <x:formula>0</x:formula>
    </x:cfRule>
  </x:conditionalFormatting>
  <x:conditionalFormatting sqref="I53:I60">
    <x:cfRule type="cellIs" dxfId="3" priority="43" operator="greaterThan">
      <x:formula>0</x:formula>
    </x:cfRule>
    <x:cfRule type="cellIs" dxfId="4" priority="44" operator="lessThan">
      <x:formula>0</x:formula>
    </x:cfRule>
  </x:conditionalFormatting>
  <x:conditionalFormatting sqref="I59:I101">
    <x:cfRule type="cellIs" dxfId="3" priority="55" operator="greaterThan">
      <x:formula>0</x:formula>
    </x:cfRule>
    <x:cfRule type="cellIs" dxfId="4" priority="56" operator="lessThan">
      <x:formula>0</x:formula>
    </x:cfRule>
  </x:conditionalFormatting>
  <x:conditionalFormatting sqref="I60:I67">
    <x:cfRule type="cellIs" dxfId="3" priority="75" operator="greaterThan">
      <x:formula>0</x:formula>
    </x:cfRule>
    <x:cfRule type="cellIs" dxfId="4" priority="76" operator="lessThan">
      <x:formula>0</x:formula>
    </x:cfRule>
  </x:conditionalFormatting>
  <x:conditionalFormatting sqref="I65:I74">
    <x:cfRule type="cellIs" dxfId="3" priority="47" operator="greaterThan">
      <x:formula>0</x:formula>
    </x:cfRule>
    <x:cfRule type="cellIs" dxfId="4" priority="48" operator="lessThan">
      <x:formula>0</x:formula>
    </x:cfRule>
  </x:conditionalFormatting>
  <x:conditionalFormatting sqref="I72:I81">
    <x:cfRule type="cellIs" dxfId="3" priority="79" operator="greaterThan">
      <x:formula>0</x:formula>
    </x:cfRule>
    <x:cfRule type="cellIs" dxfId="4" priority="80" operator="lessThan">
      <x:formula>0</x:formula>
    </x:cfRule>
  </x:conditionalFormatting>
  <x:conditionalFormatting sqref="I106:I113">
    <x:cfRule type="cellIs" dxfId="3" priority="59" operator="greaterThan">
      <x:formula>0</x:formula>
    </x:cfRule>
    <x:cfRule type="cellIs" dxfId="4" priority="60" operator="lessThan">
      <x:formula>0</x:formula>
    </x:cfRule>
  </x:conditionalFormatting>
  <x:conditionalFormatting sqref="I108:I117">
    <x:cfRule type="cellIs" dxfId="3" priority="123" operator="greaterThan">
      <x:formula>0</x:formula>
    </x:cfRule>
    <x:cfRule type="cellIs" dxfId="4" priority="124" operator="lessThan">
      <x:formula>0</x:formula>
    </x:cfRule>
  </x:conditionalFormatting>
  <x:conditionalFormatting sqref="I113:I123">
    <x:cfRule type="cellIs" dxfId="3" priority="91" operator="greaterThan">
      <x:formula>0</x:formula>
    </x:cfRule>
    <x:cfRule type="cellIs" dxfId="4" priority="92" operator="lessThan">
      <x:formula>0</x:formula>
    </x:cfRule>
  </x:conditionalFormatting>
  <x:conditionalFormatting sqref="I118:I127">
    <x:cfRule type="cellIs" dxfId="3" priority="63" operator="greaterThan">
      <x:formula>0</x:formula>
    </x:cfRule>
    <x:cfRule type="cellIs" dxfId="4" priority="64" operator="lessThan">
      <x:formula>0</x:formula>
    </x:cfRule>
  </x:conditionalFormatting>
  <x:conditionalFormatting sqref="I122:I131">
    <x:cfRule type="cellIs" dxfId="3" priority="127" operator="greaterThan">
      <x:formula>0</x:formula>
    </x:cfRule>
    <x:cfRule type="cellIs" dxfId="4" priority="128" operator="lessThan">
      <x:formula>0</x:formula>
    </x:cfRule>
  </x:conditionalFormatting>
  <x:conditionalFormatting sqref="I128:I137">
    <x:cfRule type="cellIs" dxfId="3" priority="95" operator="greaterThan">
      <x:formula>0</x:formula>
    </x:cfRule>
    <x:cfRule type="cellIs" dxfId="4" priority="96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23" customWidth="1"/>
    <x:col min="2" max="2" width="12" customWidth="1"/>
    <x:col min="3" max="7" width="14" customWidth="1"/>
    <x:col min="8" max="11" width="12" customWidth="1"/>
    <x:col min="12" max="12" width="24" customWidth="1"/>
  </x:cols>
  <x:sheetData>
    <x:row r="1" ht="30" customHeight="1">
      <x:c r="A1" s="27" t="s">
        <x:v>3051</x:v>
      </x:c>
    </x:row>
    <x:row r="2" ht="34" customHeight="1">
      <x:c r="A2" s="28" t="s">
        <x:v>3052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</x:row>
    <x:row r="4">
      <x:c r="A4" s="3" t="s">
        <x:v>3053</x:v>
      </x:c>
    </x:row>
    <x:row r="5" ht="28" customHeight="1">
      <x:c r="A5" s="30" t="s">
        <x:v>3054</x:v>
      </x:c>
      <x:c r="B5" s="30" t="s">
        <x:v>16</x:v>
      </x:c>
      <x:c r="C5" s="30" t="s">
        <x:v>11</x:v>
      </x:c>
      <x:c r="D5" s="30" t="s">
        <x:v>14</x:v>
      </x:c>
      <x:c r="E5" s="30" t="s">
        <x:v>17</x:v>
      </x:c>
      <x:c r="F5" s="30" t="s">
        <x:v>20</x:v>
      </x:c>
      <x:c r="G5" s="30" t="s">
        <x:v>23</x:v>
      </x:c>
      <x:c r="H5" s="30" t="s">
        <x:v>31</x:v>
      </x:c>
      <x:c r="I5" s="30" t="s">
        <x:v>3046</x:v>
      </x:c>
      <x:c r="J5" s="30" t="s">
        <x:v>25</x:v>
      </x:c>
      <x:c r="K5" s="30" t="s">
        <x:v>3055</x:v>
      </x:c>
      <x:c r="L5" s="30" t="s">
        <x:v>3056</x:v>
      </x:c>
    </x:row>
    <x:row r="6" ht="14.399999618530273">
      <x:c r="A6" s="31" t="s">
        <x:v>3057</x:v>
      </x:c>
      <x:c r="B6" s="32" t="n">
        <x:f>COUNTIF(赛事明细!$P$4:$P$1000,"已结算")</x:f>
        <x:v>816</x:v>
      </x:c>
      <x:c r="C6" s="32" t="n">
        <x:f>COUNTIFS(赛事明细!$P$4:$P$1000,"已结算",赛事明细!$Q$4:$Q$1000,"红")</x:f>
        <x:v>335</x:v>
      </x:c>
      <x:c r="D6" s="32" t="n">
        <x:f>COUNTIFS(赛事明细!$P$4:$P$1000,"已结算",赛事明细!$Q$4:$Q$1000,"半红")</x:f>
        <x:v>42</x:v>
      </x:c>
      <x:c r="E6" s="32" t="n">
        <x:f>COUNTIFS(赛事明细!$P$4:$P$1000,"已结算",赛事明细!$Q$4:$Q$1000,"走")</x:f>
        <x:v>64</x:v>
      </x:c>
      <x:c r="F6" s="32" t="n">
        <x:f>COUNTIFS(赛事明细!$P$4:$P$1000,"已结算",赛事明细!$Q$4:$Q$1000,"半黑")</x:f>
        <x:v>82</x:v>
      </x:c>
      <x:c r="G6" s="32" t="n">
        <x:f>COUNTIFS(赛事明细!$P$4:$P$1000,"已结算",赛事明细!$Q$4:$Q$1000,"黑")</x:f>
        <x:v>283</x:v>
      </x:c>
      <x:c r="H6" s="33" t="n">
        <x:f>IFERROR((C6+0.5*D6)/(C6+0.5*D6+G6+0.5*F6),"")</x:f>
        <x:v>0.5235294117647059</x:v>
      </x:c>
      <x:c r="I6" s="34" t="n">
        <x:f>SUMIFS(赛事明细!$S$4:$S$1000,赛事明细!$P$4:$P$1000,"已结算")</x:f>
        <x:v>-5.395000000000002</x:v>
      </x:c>
      <x:c r="J6" s="33" t="n">
        <x:f>IF(B6=0,"",I6/B6)</x:f>
        <x:v>-0.00661151960784314</x:v>
      </x:c>
      <x:c r="K6" s="35" t="str">
        <x:f>""</x:f>
      </x:c>
      <x:c r="L6" s="35" t="str">
        <x:f>""</x:f>
      </x:c>
    </x:row>
    <x:row r="7" ht="14.399999618530273">
      <x:c r="A7" s="31" t="s">
        <x:v>3058</x:v>
      </x:c>
      <x:c r="B7" s="32" t="n">
        <x:f>COUNTIF(赛事明细!$P$4:$P$1000,"已结算")</x:f>
        <x:v>816</x:v>
      </x:c>
      <x:c r="C7" s="32" t="n">
        <x:f>COUNTIFS(赛事明细!$P$4:$P$1000,"已结算",赛事明细!$U$4:$U$1000,"红")</x:f>
        <x:v>213</x:v>
      </x:c>
      <x:c r="D7" s="32" t="n">
        <x:f>COUNTIFS(赛事明细!$P$4:$P$1000,"已结算",赛事明细!$U$4:$U$1000,"半红")</x:f>
        <x:v>70</x:v>
      </x:c>
      <x:c r="E7" s="32" t="n">
        <x:f>COUNTIFS(赛事明细!$P$4:$P$1000,"已结算",赛事明细!$U$4:$U$1000,"走")</x:f>
        <x:v>53</x:v>
      </x:c>
      <x:c r="F7" s="32" t="n">
        <x:f>COUNTIFS(赛事明细!$P$4:$P$1000,"已结算",赛事明细!$U$4:$U$1000,"半黑")</x:f>
        <x:v>30</x:v>
      </x:c>
      <x:c r="G7" s="32" t="n">
        <x:f>COUNTIFS(赛事明细!$P$4:$P$1000,"已结算",赛事明细!$U$4:$U$1000,"黑")</x:f>
        <x:v>285</x:v>
      </x:c>
      <x:c r="H7" s="33" t="n">
        <x:f>IFERROR((C7+0.5*D7)/(C7+0.5*D7+G7+0.5*F7),"")</x:f>
        <x:v>0.45255474452554745</x:v>
      </x:c>
      <x:c r="I7" s="34" t="n">
        <x:f>SUMIFS(赛事明细!$W$4:$W$1000,赛事明细!$P$4:$P$1000,"已结算")</x:f>
        <x:v>-68.945</x:v>
      </x:c>
      <x:c r="J7" s="33" t="n">
        <x:f>IF(B7=0,"",I7/B7)</x:f>
        <x:v>-0.08449142156862745</x:v>
      </x:c>
      <x:c r="K7" s="35" t="str">
        <x:f>""</x:f>
      </x:c>
      <x:c r="L7" s="35" t="str">
        <x:f>""</x:f>
      </x:c>
    </x:row>
    <x:row r="8" ht="14.399999618530273">
      <x:c r="A8" s="36" t="s">
        <x:v>3059</x:v>
      </x:c>
      <x:c r="B8" s="37"/>
      <x:c r="C8" s="37"/>
      <x:c r="D8" s="37"/>
      <x:c r="E8" s="37"/>
      <x:c r="F8" s="37"/>
      <x:c r="G8" s="37"/>
      <x:c r="H8" s="36"/>
      <x:c r="I8" s="36"/>
      <x:c r="J8" s="36"/>
      <x:c r="K8" s="36" t="str">
        <x:f>IF(H6&gt;H7,"正向更高",IF(H6&lt;H7,"反向更高","相同"))</x:f>
        <x:v>正向更高</x:v>
      </x:c>
      <x:c r="L8" s="36" t="str">
        <x:f>IF(I6&gt;I7,"正向更优",IF(I6&lt;I7,"反向更优","相同"))</x:f>
        <x:v>正向更优</x:v>
      </x:c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</x:row>
    <x:row r="10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</x:row>
    <x:row r="11">
      <x:c r="A11" s="3" t="s">
        <x:v>3060</x:v>
      </x:c>
    </x:row>
    <x:row r="12" ht="32" customHeight="1">
      <x:c r="A12" s="30" t="s">
        <x:v>47</x:v>
      </x:c>
      <x:c r="B12" s="30" t="s">
        <x:v>16</x:v>
      </x:c>
      <x:c r="C12" s="30" t="s">
        <x:v>3061</x:v>
      </x:c>
      <x:c r="D12" s="30" t="s">
        <x:v>3062</x:v>
      </x:c>
      <x:c r="E12" s="30" t="s">
        <x:v>3063</x:v>
      </x:c>
      <x:c r="F12" s="30" t="s">
        <x:v>3064</x:v>
      </x:c>
      <x:c r="G12" s="30" t="s">
        <x:v>58</x:v>
      </x:c>
      <x:c r="H12" s="30" t="s">
        <x:v>3065</x:v>
      </x:c>
      <x:c r="I12" s="30" t="s">
        <x:v>3066</x:v>
      </x:c>
      <x:c r="J12" s="30" t="s">
        <x:v>3067</x:v>
      </x:c>
      <x:c r="K12" s="30" t="s">
        <x:v>3068</x:v>
      </x:c>
      <x:c r="L12" s="30" t="s">
        <x:v>2923</x:v>
      </x:c>
    </x:row>
    <x:row r="13" ht="14.399999618530273">
      <x:c r="A13" s="31" t="s">
        <x:v>94</x:v>
      </x:c>
      <x:c r="B13" s="32" t="n">
        <x:f>COUNTIFS(赛事明细!$P$4:$P$1000,"已结算",赛事明细!$K$4:$K$1000,$A13)</x:f>
        <x:v>43</x:v>
      </x:c>
      <x:c r="C13" s="33" t="n">
        <x:f>IFERROR((COUNTIFS(赛事明细!$P$4:$P$1000,"已结算",赛事明细!$K$4:$K$1000,$A13,赛事明细!$Q$4:$Q$1000,"红")+0.5*COUNTIFS(赛事明细!$P$4:$P$1000,"已结算",赛事明细!$K$4:$K$1000,$A13,赛事明细!$Q$4:$Q$1000,"半红"))/(COUNTIFS(赛事明细!$P$4:$P$1000,"已结算",赛事明细!$K$4:$K$1000,$A13,赛事明细!$Q$4:$Q$1000,"红")+0.5*COUNTIFS(赛事明细!$P$4:$P$1000,"已结算",赛事明细!$K$4:$K$1000,$A13,赛事明细!$Q$4:$Q$1000,"半红")+COUNTIFS(赛事明细!$P$4:$P$1000,"已结算",赛事明细!$K$4:$K$1000,$A13,赛事明细!$Q$4:$Q$1000,"黑")+0.5*COUNTIFS(赛事明细!$P$4:$P$1000,"已结算",赛事明细!$K$4:$K$1000,$A13,赛事明细!$Q$4:$Q$1000,"半黑")),"")</x:f>
        <x:v>0.45454545454545453</x:v>
      </x:c>
      <x:c r="D13" s="33" t="n">
        <x:f>IFERROR((COUNTIFS(赛事明细!$P$4:$P$1000,"已结算",赛事明细!$K$4:$K$1000,$A13,赛事明细!$U$4:$U$1000,"红")+0.5*COUNTIFS(赛事明细!$P$4:$P$1000,"已结算",赛事明细!$K$4:$K$1000,$A13,赛事明细!$U$4:$U$1000,"半红"))/(COUNTIFS(赛事明细!$P$4:$P$1000,"已结算",赛事明细!$K$4:$K$1000,$A13,赛事明细!$U$4:$U$1000,"红")+0.5*COUNTIFS(赛事明细!$P$4:$P$1000,"已结算",赛事明细!$K$4:$K$1000,$A13,赛事明细!$U$4:$U$1000,"半红")+COUNTIFS(赛事明细!$P$4:$P$1000,"已结算",赛事明细!$K$4:$K$1000,$A13,赛事明细!$U$4:$U$1000,"黑")+0.5*COUNTIFS(赛事明细!$P$4:$P$1000,"已结算",赛事明细!$K$4:$K$1000,$A13,赛事明细!$U$4:$U$1000,"半黑")),"")</x:f>
        <x:v>0.5256410256410257</x:v>
      </x:c>
      <x:c r="E13" s="33" t="n">
        <x:f t="shared" ref="E13:E18" si="0">C13-D13</x:f>
        <x:v>-0.07109557109557113</x:v>
      </x:c>
      <x:c r="F13" s="34" t="n">
        <x:f>SUMIFS(赛事明细!$S$4:$S$1000,赛事明细!$P$4:$P$1000,"已结算",赛事明细!$K$4:$K$1000,$A13)</x:f>
        <x:v>-4.945</x:v>
      </x:c>
      <x:c r="G13" s="34" t="n">
        <x:f>SUMIFS(赛事明细!$W$4:$W$1000,赛事明细!$P$4:$P$1000,"已结算",赛事明细!$K$4:$K$1000,$A13)</x:f>
        <x:v>0.040000000000001146</x:v>
      </x:c>
      <x:c r="H13" s="33" t="n">
        <x:f t="shared" ref="H13:H18" si="1">IF(B13=0,"",F13/B13)</x:f>
        <x:v>-0.115</x:v>
      </x:c>
      <x:c r="I13" s="33" t="n">
        <x:f t="shared" ref="I13:I18" si="2">IF(B13=0,"",G13/B13)</x:f>
        <x:v>0.0009302325581395615</x:v>
      </x:c>
      <x:c r="J13" s="35" t="str">
        <x:f t="shared" ref="J13:J18" si="3">IF(C13&gt;D13,"正向",IF(C13&lt;D13,"反向","相同"))</x:f>
        <x:v>反向</x:v>
      </x:c>
      <x:c r="K13" s="35" t="str">
        <x:f t="shared" ref="K13:K18" si="4">IF(F13&gt;G13,"正向",IF(F13&lt;G13,"反向","相同"))</x:f>
        <x:v>反向</x:v>
      </x:c>
      <x:c r="L13" s="35" t="str">
        <x:f t="shared" ref="L13:L18" si="5">IF(B13=0,"无已结算样本",IF(B13&lt;5,"样本&lt;5，谨慎解读",""))</x:f>
      </x:c>
    </x:row>
    <x:row r="14" ht="14.399999618530273">
      <x:c r="A14" s="31" t="s">
        <x:v>106</x:v>
      </x:c>
      <x:c r="B14" s="32" t="n">
        <x:f>COUNTIFS(赛事明细!$P$4:$P$1000,"已结算",赛事明细!$K$4:$K$1000,$A14)</x:f>
        <x:v>328</x:v>
      </x:c>
      <x:c r="C14" s="33" t="n">
        <x:f>IFERROR((COUNTIFS(赛事明细!$P$4:$P$1000,"已结算",赛事明细!$K$4:$K$1000,$A14,赛事明细!$Q$4:$Q$1000,"红")+0.5*COUNTIFS(赛事明细!$P$4:$P$1000,"已结算",赛事明细!$K$4:$K$1000,$A14,赛事明细!$Q$4:$Q$1000,"半红"))/(COUNTIFS(赛事明细!$P$4:$P$1000,"已结算",赛事明细!$K$4:$K$1000,$A14,赛事明细!$Q$4:$Q$1000,"红")+0.5*COUNTIFS(赛事明细!$P$4:$P$1000,"已结算",赛事明细!$K$4:$K$1000,$A14,赛事明细!$Q$4:$Q$1000,"半红")+COUNTIFS(赛事明细!$P$4:$P$1000,"已结算",赛事明细!$K$4:$K$1000,$A14,赛事明细!$Q$4:$Q$1000,"黑")+0.5*COUNTIFS(赛事明细!$P$4:$P$1000,"已结算",赛事明细!$K$4:$K$1000,$A14,赛事明细!$Q$4:$Q$1000,"半黑")),"")</x:f>
        <x:v>0.5627306273062731</x:v>
      </x:c>
      <x:c r="D14" s="33" t="n">
        <x:f>IFERROR((COUNTIFS(赛事明细!$P$4:$P$1000,"已结算",赛事明细!$K$4:$K$1000,$A14,赛事明细!$U$4:$U$1000,"红")+0.5*COUNTIFS(赛事明细!$P$4:$P$1000,"已结算",赛事明细!$K$4:$K$1000,$A14,赛事明细!$U$4:$U$1000,"半红"))/(COUNTIFS(赛事明细!$P$4:$P$1000,"已结算",赛事明细!$K$4:$K$1000,$A14,赛事明细!$U$4:$U$1000,"红")+0.5*COUNTIFS(赛事明细!$P$4:$P$1000,"已结算",赛事明细!$K$4:$K$1000,$A14,赛事明细!$U$4:$U$1000,"半红")+COUNTIFS(赛事明细!$P$4:$P$1000,"已结算",赛事明细!$K$4:$K$1000,$A14,赛事明细!$U$4:$U$1000,"黑")+0.5*COUNTIFS(赛事明细!$P$4:$P$1000,"已结算",赛事明细!$K$4:$K$1000,$A14,赛事明细!$U$4:$U$1000,"半黑")),"")</x:f>
        <x:v>0.4377431906614786</x:v>
      </x:c>
      <x:c r="E14" s="33">
        <x:f t="shared" si="0"/>
        <x:v>0.123660318110451</x:v>
      </x:c>
      <x:c r="F14" s="34" t="n">
        <x:f>SUMIFS(赛事明细!$S$4:$S$1000,赛事明细!$P$4:$P$1000,"已结算",赛事明细!$K$4:$K$1000,$A14)</x:f>
        <x:v>6.585000000000005</x:v>
      </x:c>
      <x:c r="G14" s="34" t="n">
        <x:f>SUMIFS(赛事明细!$W$4:$W$1000,赛事明细!$P$4:$P$1000,"已结算",赛事明细!$K$4:$K$1000,$A14)</x:f>
        <x:v>-32.785</x:v>
      </x:c>
      <x:c r="H14" s="33">
        <x:f t="shared" si="1"/>
        <x:v>0.0204234527687297</x:v>
      </x:c>
      <x:c r="I14" s="33">
        <x:f t="shared" si="2"/>
        <x:v>-0.106791530944625</x:v>
      </x:c>
      <x:c r="J14" s="35" t="str">
        <x:f t="shared" si="3"/>
        <x:v>正向</x:v>
      </x:c>
      <x:c r="K14" s="35" t="str">
        <x:f t="shared" si="4"/>
        <x:v>正向</x:v>
      </x:c>
      <x:c r="L14" s="35" t="str">
        <x:f t="shared" si="5"/>
      </x:c>
    </x:row>
    <x:row r="15" ht="14.399999618530273">
      <x:c r="A15" s="31" t="s">
        <x:v>132</x:v>
      </x:c>
      <x:c r="B15" s="32" t="n">
        <x:f>COUNTIFS(赛事明细!$P$4:$P$1000,"已结算",赛事明细!$K$4:$K$1000,$A15)</x:f>
        <x:v>142</x:v>
      </x:c>
      <x:c r="C15" s="33" t="n">
        <x:f>IFERROR((COUNTIFS(赛事明细!$P$4:$P$1000,"已结算",赛事明细!$K$4:$K$1000,$A15,赛事明细!$Q$4:$Q$1000,"红")+0.5*COUNTIFS(赛事明细!$P$4:$P$1000,"已结算",赛事明细!$K$4:$K$1000,$A15,赛事明细!$Q$4:$Q$1000,"半红"))/(COUNTIFS(赛事明细!$P$4:$P$1000,"已结算",赛事明细!$K$4:$K$1000,$A15,赛事明细!$Q$4:$Q$1000,"红")+0.5*COUNTIFS(赛事明细!$P$4:$P$1000,"已结算",赛事明细!$K$4:$K$1000,$A15,赛事明细!$Q$4:$Q$1000,"半红")+COUNTIFS(赛事明细!$P$4:$P$1000,"已结算",赛事明细!$K$4:$K$1000,$A15,赛事明细!$Q$4:$Q$1000,"黑")+0.5*COUNTIFS(赛事明细!$P$4:$P$1000,"已结算",赛事明细!$K$4:$K$1000,$A15,赛事明细!$Q$4:$Q$1000,"半黑")),"")</x:f>
        <x:v>0.5327510917030568</x:v>
      </x:c>
      <x:c r="D15" s="33" t="n">
        <x:f>IFERROR((COUNTIFS(赛事明细!$P$4:$P$1000,"已结算",赛事明细!$K$4:$K$1000,$A15,赛事明细!$U$4:$U$1000,"红")+0.5*COUNTIFS(赛事明细!$P$4:$P$1000,"已结算",赛事明细!$K$4:$K$1000,$A15,赛事明细!$U$4:$U$1000,"半红"))/(COUNTIFS(赛事明细!$P$4:$P$1000,"已结算",赛事明细!$K$4:$K$1000,$A15,赛事明细!$U$4:$U$1000,"红")+0.5*COUNTIFS(赛事明细!$P$4:$P$1000,"已结算",赛事明细!$K$4:$K$1000,$A15,赛事明细!$U$4:$U$1000,"半红")+COUNTIFS(赛事明细!$P$4:$P$1000,"已结算",赛事明细!$K$4:$K$1000,$A15,赛事明细!$U$4:$U$1000,"黑")+0.5*COUNTIFS(赛事明细!$P$4:$P$1000,"已结算",赛事明细!$K$4:$K$1000,$A15,赛事明细!$U$4:$U$1000,"半黑")),"")</x:f>
        <x:v>0.47555555555555556</x:v>
      </x:c>
      <x:c r="E15" s="33">
        <x:f t="shared" si="0"/>
        <x:v>0.0577777777777778</x:v>
      </x:c>
      <x:c r="F15" s="34" t="n">
        <x:f>SUMIFS(赛事明细!$S$4:$S$1000,赛事明细!$P$4:$P$1000,"已结算",赛事明细!$K$4:$K$1000,$A15)</x:f>
        <x:v>3.2249999999999988</x:v>
      </x:c>
      <x:c r="G15" s="34" t="n">
        <x:f>SUMIFS(赛事明细!$W$4:$W$1000,赛事明细!$P$4:$P$1000,"已结算",赛事明细!$K$4:$K$1000,$A15)</x:f>
        <x:v>-9.940000000000003</x:v>
      </x:c>
      <x:c r="H15" s="33">
        <x:f t="shared" si="1"/>
        <x:v>0.0231071428571429</x:v>
      </x:c>
      <x:c r="I15" s="33">
        <x:f t="shared" si="2"/>
        <x:v>-0.071</x:v>
      </x:c>
      <x:c r="J15" s="35" t="str">
        <x:f t="shared" si="3"/>
        <x:v>正向</x:v>
      </x:c>
      <x:c r="K15" s="35" t="str">
        <x:f t="shared" si="4"/>
        <x:v>正向</x:v>
      </x:c>
      <x:c r="L15" s="35" t="str">
        <x:f t="shared" si="5"/>
      </x:c>
    </x:row>
    <x:row r="16" ht="14.399999618530273">
      <x:c r="A16" s="31" t="s">
        <x:v>159</x:v>
      </x:c>
      <x:c r="B16" s="32" t="n">
        <x:f>COUNTIFS(赛事明细!$P$4:$P$1000,"已结算",赛事明细!$K$4:$K$1000,$A16)</x:f>
        <x:v>2</x:v>
      </x:c>
      <x:c r="C16" s="33" t="n">
        <x:f>IFERROR((COUNTIFS(赛事明细!$P$4:$P$1000,"已结算",赛事明细!$K$4:$K$1000,$A16,赛事明细!$Q$4:$Q$1000,"红")+0.5*COUNTIFS(赛事明细!$P$4:$P$1000,"已结算",赛事明细!$K$4:$K$1000,$A16,赛事明细!$Q$4:$Q$1000,"半红"))/(COUNTIFS(赛事明细!$P$4:$P$1000,"已结算",赛事明细!$K$4:$K$1000,$A16,赛事明细!$Q$4:$Q$1000,"红")+0.5*COUNTIFS(赛事明细!$P$4:$P$1000,"已结算",赛事明细!$K$4:$K$1000,$A16,赛事明细!$Q$4:$Q$1000,"半红")+COUNTIFS(赛事明细!$P$4:$P$1000,"已结算",赛事明细!$K$4:$K$1000,$A16,赛事明细!$Q$4:$Q$1000,"黑")+0.5*COUNTIFS(赛事明细!$P$4:$P$1000,"已结算",赛事明细!$K$4:$K$1000,$A16,赛事明细!$Q$4:$Q$1000,"半黑")),"")</x:f>
        <x:v>0.5</x:v>
      </x:c>
      <x:c r="D16" s="33" t="n">
        <x:f>IFERROR((COUNTIFS(赛事明细!$P$4:$P$1000,"已结算",赛事明细!$K$4:$K$1000,$A16,赛事明细!$U$4:$U$1000,"红")+0.5*COUNTIFS(赛事明细!$P$4:$P$1000,"已结算",赛事明细!$K$4:$K$1000,$A16,赛事明细!$U$4:$U$1000,"半红"))/(COUNTIFS(赛事明细!$P$4:$P$1000,"已结算",赛事明细!$K$4:$K$1000,$A16,赛事明细!$U$4:$U$1000,"红")+0.5*COUNTIFS(赛事明细!$P$4:$P$1000,"已结算",赛事明细!$K$4:$K$1000,$A16,赛事明细!$U$4:$U$1000,"半红")+COUNTIFS(赛事明细!$P$4:$P$1000,"已结算",赛事明细!$K$4:$K$1000,$A16,赛事明细!$U$4:$U$1000,"黑")+0.5*COUNTIFS(赛事明细!$P$4:$P$1000,"已结算",赛事明细!$K$4:$K$1000,$A16,赛事明细!$U$4:$U$1000,"半黑")),"")</x:f>
        <x:v>0.5</x:v>
      </x:c>
      <x:c r="E16" s="33">
        <x:f t="shared" si="0"/>
        <x:v>0</x:v>
      </x:c>
      <x:c r="F16" s="34" t="n">
        <x:f>SUMIFS(赛事明细!$S$4:$S$1000,赛事明细!$P$4:$P$1000,"已结算",赛事明细!$K$4:$K$1000,$A16)</x:f>
        <x:v>0.030000000000000027</x:v>
      </x:c>
      <x:c r="G16" s="34" t="n">
        <x:f>SUMIFS(赛事明细!$W$4:$W$1000,赛事明细!$P$4:$P$1000,"已结算",赛事明细!$K$4:$K$1000,$A16)</x:f>
        <x:v>-0.14</x:v>
      </x:c>
      <x:c r="H16" s="33">
        <x:f t="shared" si="1"/>
        <x:v>0.015</x:v>
      </x:c>
      <x:c r="I16" s="33">
        <x:f t="shared" si="2"/>
        <x:v>-0.07</x:v>
      </x:c>
      <x:c r="J16" s="35" t="str">
        <x:f t="shared" si="3"/>
        <x:v>相同</x:v>
      </x:c>
      <x:c r="K16" s="35" t="str">
        <x:f t="shared" si="4"/>
        <x:v>正向</x:v>
      </x:c>
      <x:c r="L16" s="35" t="str">
        <x:f t="shared" si="5"/>
        <x:v>样本&lt;5，谨慎解读</x:v>
      </x:c>
    </x:row>
    <x:row r="17" ht="14.399999618530273">
      <x:c r="A17" s="31" t="s">
        <x:v>189</x:v>
      </x:c>
      <x:c r="B17" s="32" t="n">
        <x:f>COUNTIFS(赛事明细!$P$4:$P$1000,"已结算",赛事明细!$K$4:$K$1000,$A17)</x:f>
        <x:v>86</x:v>
      </x:c>
      <x:c r="C17" s="33" t="n">
        <x:f>IFERROR((COUNTIFS(赛事明细!$P$4:$P$1000,"已结算",赛事明细!$K$4:$K$1000,$A17,赛事明细!$Q$4:$Q$1000,"红")+0.5*COUNTIFS(赛事明细!$P$4:$P$1000,"已结算",赛事明细!$K$4:$K$1000,$A17,赛事明细!$Q$4:$Q$1000,"半红"))/(COUNTIFS(赛事明细!$P$4:$P$1000,"已结算",赛事明细!$K$4:$K$1000,$A17,赛事明细!$Q$4:$Q$1000,"红")+0.5*COUNTIFS(赛事明细!$P$4:$P$1000,"已结算",赛事明细!$K$4:$K$1000,$A17,赛事明细!$Q$4:$Q$1000,"半红")+COUNTIFS(赛事明细!$P$4:$P$1000,"已结算",赛事明细!$K$4:$K$1000,$A17,赛事明细!$Q$4:$Q$1000,"黑")+0.5*COUNTIFS(赛事明细!$P$4:$P$1000,"已结算",赛事明细!$K$4:$K$1000,$A17,赛事明细!$Q$4:$Q$1000,"半黑")),"")</x:f>
        <x:v>0.5342465753424658</x:v>
      </x:c>
      <x:c r="D17" s="33" t="n">
        <x:f>IFERROR((COUNTIFS(赛事明细!$P$4:$P$1000,"已结算",赛事明细!$K$4:$K$1000,$A17,赛事明细!$U$4:$U$1000,"红")+0.5*COUNTIFS(赛事明细!$P$4:$P$1000,"已结算",赛事明细!$K$4:$K$1000,$A17,赛事明细!$U$4:$U$1000,"半红"))/(COUNTIFS(赛事明细!$P$4:$P$1000,"已结算",赛事明细!$K$4:$K$1000,$A17,赛事明细!$U$4:$U$1000,"红")+0.5*COUNTIFS(赛事明细!$P$4:$P$1000,"已结算",赛事明细!$K$4:$K$1000,$A17,赛事明细!$U$4:$U$1000,"半红")+COUNTIFS(赛事明细!$P$4:$P$1000,"已结算",赛事明细!$K$4:$K$1000,$A17,赛事明细!$U$4:$U$1000,"黑")+0.5*COUNTIFS(赛事明细!$P$4:$P$1000,"已结算",赛事明细!$K$4:$K$1000,$A17,赛事明细!$U$4:$U$1000,"半黑")),"")</x:f>
        <x:v>0.4794520547945205</x:v>
      </x:c>
      <x:c r="E17" s="33">
        <x:f t="shared" si="0"/>
        <x:v>0.0547945205479453</x:v>
      </x:c>
      <x:c r="F17" s="34" t="n">
        <x:f>SUMIFS(赛事明细!$S$4:$S$1000,赛事明细!$P$4:$P$1000,"已结算",赛事明细!$K$4:$K$1000,$A17)</x:f>
        <x:v>6.010000000000002</x:v>
      </x:c>
      <x:c r="G17" s="34" t="n">
        <x:f>SUMIFS(赛事明细!$W$4:$W$1000,赛事明细!$P$4:$P$1000,"已结算",赛事明细!$K$4:$K$1000,$A17)</x:f>
        <x:v>-9.010000000000002</x:v>
      </x:c>
      <x:c r="H17" s="33">
        <x:f t="shared" si="1"/>
        <x:v>0.0698837209302326</x:v>
      </x:c>
      <x:c r="I17" s="33">
        <x:f t="shared" si="2"/>
        <x:v>-0.104767441860465</x:v>
      </x:c>
      <x:c r="J17" s="35" t="str">
        <x:f t="shared" si="3"/>
        <x:v>正向</x:v>
      </x:c>
      <x:c r="K17" s="35" t="str">
        <x:f t="shared" si="4"/>
        <x:v>正向</x:v>
      </x:c>
      <x:c r="L17" s="35" t="str">
        <x:f t="shared" si="5"/>
      </x:c>
    </x:row>
    <x:row r="18" ht="14.399999618530273">
      <x:c r="A18" s="31" t="s">
        <x:v>195</x:v>
      </x:c>
      <x:c r="B18" s="32" t="n">
        <x:f>COUNTIFS(赛事明细!$P$4:$P$1000,"已结算",赛事明细!$K$4:$K$1000,$A18)</x:f>
        <x:v>17</x:v>
      </x:c>
      <x:c r="C18" s="33" t="n">
        <x:f>IFERROR((COUNTIFS(赛事明细!$P$4:$P$1000,"已结算",赛事明细!$K$4:$K$1000,$A18,赛事明细!$Q$4:$Q$1000,"红")+0.5*COUNTIFS(赛事明细!$P$4:$P$1000,"已结算",赛事明细!$K$4:$K$1000,$A18,赛事明细!$Q$4:$Q$1000,"半红"))/(COUNTIFS(赛事明细!$P$4:$P$1000,"已结算",赛事明细!$K$4:$K$1000,$A18,赛事明细!$Q$4:$Q$1000,"红")+0.5*COUNTIFS(赛事明细!$P$4:$P$1000,"已结算",赛事明细!$K$4:$K$1000,$A18,赛事明细!$Q$4:$Q$1000,"半红")+COUNTIFS(赛事明细!$P$4:$P$1000,"已结算",赛事明细!$K$4:$K$1000,$A18,赛事明细!$Q$4:$Q$1000,"黑")+0.5*COUNTIFS(赛事明细!$P$4:$P$1000,"已结算",赛事明细!$K$4:$K$1000,$A18,赛事明细!$Q$4:$Q$1000,"半黑")),"")</x:f>
        <x:v>0.5</x:v>
      </x:c>
      <x:c r="D18" s="33" t="n">
        <x:f>IFERROR((COUNTIFS(赛事明细!$P$4:$P$1000,"已结算",赛事明细!$K$4:$K$1000,$A18,赛事明细!$U$4:$U$1000,"红")+0.5*COUNTIFS(赛事明细!$P$4:$P$1000,"已结算",赛事明细!$K$4:$K$1000,$A18,赛事明细!$U$4:$U$1000,"半红"))/(COUNTIFS(赛事明细!$P$4:$P$1000,"已结算",赛事明细!$K$4:$K$1000,$A18,赛事明细!$U$4:$U$1000,"红")+0.5*COUNTIFS(赛事明细!$P$4:$P$1000,"已结算",赛事明细!$K$4:$K$1000,$A18,赛事明细!$U$4:$U$1000,"半红")+COUNTIFS(赛事明细!$P$4:$P$1000,"已结算",赛事明细!$K$4:$K$1000,$A18,赛事明细!$U$4:$U$1000,"黑")+0.5*COUNTIFS(赛事明细!$P$4:$P$1000,"已结算",赛事明细!$K$4:$K$1000,$A18,赛事明细!$U$4:$U$1000,"半黑")),"")</x:f>
        <x:v>0.5</x:v>
      </x:c>
      <x:c r="E18" s="33">
        <x:f t="shared" si="0"/>
        <x:v>0</x:v>
      </x:c>
      <x:c r="F18" s="34" t="n">
        <x:f>SUMIFS(赛事明细!$S$4:$S$1000,赛事明细!$P$4:$P$1000,"已结算",赛事明细!$K$4:$K$1000,$A18)</x:f>
        <x:v>-0.2200000000000002</x:v>
      </x:c>
      <x:c r="G18" s="34" t="n">
        <x:f>SUMIFS(赛事明细!$W$4:$W$1000,赛事明细!$P$4:$P$1000,"已结算",赛事明细!$K$4:$K$1000,$A18)</x:f>
        <x:v>-1.4950000000000003</x:v>
      </x:c>
      <x:c r="H18" s="33">
        <x:f t="shared" si="1"/>
        <x:v>-0.0129411764705882</x:v>
      </x:c>
      <x:c r="I18" s="33">
        <x:f t="shared" si="2"/>
        <x:v>-0.0879411764705883</x:v>
      </x:c>
      <x:c r="J18" s="35" t="str">
        <x:f t="shared" si="3"/>
        <x:v>相同</x:v>
      </x:c>
      <x:c r="K18" s="35" t="str">
        <x:f t="shared" si="4"/>
        <x:v>正向</x:v>
      </x:c>
      <x:c r="L18" s="35" t="str">
        <x:f t="shared" si="5"/>
      </x:c>
    </x:row>
  </x:sheetData>
  <x:mergeCells>
    <x:mergeCell ref="A1:L1"/>
    <x:mergeCell ref="A2:L2"/>
    <x:mergeCell ref="A4:L4"/>
    <x:mergeCell ref="A11:L11"/>
  </x:mergeCells>
  <x:conditionalFormatting sqref="H6:H7">
    <x:cfRule type="cellIs" dxfId="3" priority="1" operator="greaterThanOrEqual">
      <x:formula>0.5</x:formula>
    </x:cfRule>
    <x:cfRule type="cellIs" dxfId="4" priority="2" operator="lessThan">
      <x:formula>0.5</x:formula>
    </x:cfRule>
  </x:conditionalFormatting>
  <x:conditionalFormatting sqref="I6:I7">
    <x:cfRule type="cellIs" dxfId="3" priority="3" operator="greaterThan">
      <x:formula>0</x:formula>
    </x:cfRule>
    <x:cfRule type="cellIs" dxfId="4" priority="4" operator="lessThan">
      <x:formula>0</x:formula>
    </x:cfRule>
  </x:conditionalFormatting>
  <x:conditionalFormatting sqref="C13:D18">
    <x:cfRule type="cellIs" dxfId="3" priority="5" operator="greaterThanOrEqual">
      <x:formula>0.5</x:formula>
    </x:cfRule>
    <x:cfRule type="cellIs" dxfId="4" priority="6" operator="lessThan">
      <x:formula>0.5</x:formula>
    </x:cfRule>
  </x:conditionalFormatting>
  <x:conditionalFormatting sqref="F13:G18">
    <x:cfRule type="cellIs" dxfId="3" priority="7" operator="greaterThan">
      <x:formula>0</x:formula>
    </x:cfRule>
    <x:cfRule type="cellIs" dxfId="4" priority="8" operator="less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ColWidth="9" defaultRowHeight="13.800000190734863"/>
  <x:cols>
    <x:col min="1" max="1" width="28" customWidth="1"/>
    <x:col min="2" max="2" width="12" customWidth="1"/>
    <x:col min="3" max="5" width="14" customWidth="1"/>
    <x:col min="6" max="6" width="20" customWidth="1"/>
    <x:col min="7" max="10" width="14" customWidth="1"/>
    <x:col min="11" max="11" width="16" customWidth="1"/>
  </x:cols>
  <x:sheetData>
    <x:row r="1" ht="24" customHeight="1">
      <x:c r="A1" s="19" t="s">
        <x:v>3069</x:v>
      </x:c>
      <x:c r="B1" s="15"/>
      <x:c r="C1" s="15"/>
      <x:c r="D1" s="15"/>
      <x:c r="E1" s="15"/>
      <x:c r="F1" s="15"/>
      <x:c r="G1" s="15"/>
      <x:c r="H1" s="15"/>
      <x:c r="I1" s="15"/>
      <x:c r="J1" s="15"/>
      <x:c r="K1" s="15"/>
    </x:row>
    <x:row r="2" ht="20" customHeight="1">
      <x:c r="A2" s="20" t="s">
        <x:v>3070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</x:row>
    <x:row r="3" ht="20" customHeight="1">
      <x:c r="A3" s="21" t="s">
        <x:v>3071</x:v>
      </x:c>
      <x:c r="B3" s="15"/>
      <x:c r="C3" s="15"/>
      <x:c r="D3" s="15"/>
      <x:c r="E3" s="15"/>
      <x:c r="F3" s="15"/>
      <x:c r="G3" s="15"/>
      <x:c r="H3" s="15"/>
      <x:c r="I3" s="15"/>
      <x:c r="J3" s="15"/>
      <x:c r="K3" s="15"/>
    </x:row>
    <x:row r="4" ht="20" customHeight="1">
      <x:c r="A4" s="15"/>
      <x:c r="B4" s="15"/>
      <x:c r="C4" s="15"/>
      <x:c r="D4" s="15"/>
      <x:c r="E4" s="15"/>
      <x:c r="F4" s="15"/>
      <x:c r="G4" s="15"/>
      <x:c r="H4" s="15"/>
      <x:c r="I4" s="15"/>
      <x:c r="J4" s="15"/>
      <x:c r="K4" s="15"/>
    </x:row>
    <x:row r="5" ht="20" customHeight="1">
      <x:c r="A5" s="22" t="s">
        <x:v>3072</x:v>
      </x:c>
      <x:c r="B5" s="22"/>
      <x:c r="C5" s="22"/>
      <x:c r="D5" s="22"/>
      <x:c r="E5" s="22"/>
      <x:c r="F5" s="22"/>
      <x:c r="G5" s="22"/>
      <x:c r="H5" s="22"/>
      <x:c r="I5" s="22"/>
      <x:c r="J5" s="22"/>
      <x:c r="K5" s="22"/>
    </x:row>
    <x:row r="6" ht="20" customHeight="1">
      <x:c r="A6" s="23" t="s">
        <x:v>3073</x:v>
      </x:c>
      <x:c r="B6" s="23" t="s">
        <x:v>7</x:v>
      </x:c>
      <x:c r="C6" s="23" t="s">
        <x:v>11</x:v>
      </x:c>
      <x:c r="D6" s="23" t="s">
        <x:v>14</x:v>
      </x:c>
      <x:c r="E6" s="23" t="s">
        <x:v>17</x:v>
      </x:c>
      <x:c r="F6" s="23" t="s">
        <x:v>20</x:v>
      </x:c>
      <x:c r="G6" s="23" t="s">
        <x:v>23</x:v>
      </x:c>
      <x:c r="H6" s="23" t="s">
        <x:v>31</x:v>
      </x:c>
      <x:c r="I6" s="23" t="s">
        <x:v>32</x:v>
      </x:c>
      <x:c r="J6" s="23" t="s">
        <x:v>25</x:v>
      </x:c>
      <x:c r="K6" s="23" t="s">
        <x:v>3074</x:v>
      </x:c>
    </x:row>
    <x:row r="7" ht="20" customHeight="1">
      <x:c r="A7" s="15" t="s">
        <x:v>3075</x:v>
      </x:c>
      <x:c r="B7" s="15">
        <x:v>49</x:v>
      </x:c>
      <x:c r="C7" s="15">
        <x:v>14</x:v>
      </x:c>
      <x:c r="D7" s="15">
        <x:v>6</x:v>
      </x:c>
      <x:c r="E7" s="15">
        <x:v>3</x:v>
      </x:c>
      <x:c r="F7" s="15">
        <x:v>0</x:v>
      </x:c>
      <x:c r="G7" s="15">
        <x:v>26</x:v>
      </x:c>
      <x:c r="H7" s="16">
        <x:v>0.369565217391304</x:v>
      </x:c>
      <x:c r="I7" s="24">
        <x:v>-11.61</x:v>
      </x:c>
      <x:c r="J7" s="16">
        <x:v>-0.236938775510204</x:v>
      </x:c>
      <x:c r="K7" s="24">
        <x:v>-0.285096825219484</x:v>
      </x:c>
    </x:row>
    <x:row r="8" ht="20" customHeight="1">
      <x:c r="A8" s="15" t="s">
        <x:v>3076</x:v>
      </x:c>
      <x:c r="B8" s="15">
        <x:v>27</x:v>
      </x:c>
      <x:c r="C8" s="15">
        <x:v>7</x:v>
      </x:c>
      <x:c r="D8" s="15">
        <x:v>6</x:v>
      </x:c>
      <x:c r="E8" s="15">
        <x:v>0</x:v>
      </x:c>
      <x:c r="F8" s="15">
        <x:v>0</x:v>
      </x:c>
      <x:c r="G8" s="15">
        <x:v>14</x:v>
      </x:c>
      <x:c r="H8" s="16">
        <x:v>0.37037037037037</x:v>
      </x:c>
      <x:c r="I8" s="24">
        <x:v>-5.33</x:v>
      </x:c>
      <x:c r="J8" s="16">
        <x:v>-0.197407407407407</x:v>
      </x:c>
      <x:c r="K8" s="24">
        <x:v>-0.314211763249214</x:v>
      </x:c>
    </x:row>
    <x:row r="9" ht="20" customHeight="1">
      <x:c r="A9" s="15" t="s">
        <x:v>3077</x:v>
      </x:c>
      <x:c r="B9" s="15">
        <x:v>22</x:v>
      </x:c>
      <x:c r="C9" s="15">
        <x:v>7</x:v>
      </x:c>
      <x:c r="D9" s="15">
        <x:v>0</x:v>
      </x:c>
      <x:c r="E9" s="15">
        <x:v>3</x:v>
      </x:c>
      <x:c r="F9" s="15">
        <x:v>0</x:v>
      </x:c>
      <x:c r="G9" s="15">
        <x:v>12</x:v>
      </x:c>
      <x:c r="H9" s="16">
        <x:v>0.368421052631579</x:v>
      </x:c>
      <x:c r="I9" s="24">
        <x:v>-6.28</x:v>
      </x:c>
      <x:c r="J9" s="16">
        <x:v>-0.285454545454546</x:v>
      </x:c>
      <x:c r="K9" s="24">
        <x:v>-0.249364855819361</x:v>
      </x:c>
    </x:row>
    <x:row r="10" ht="20" customHeight="1">
      <x:c r="A10" s="15" t="s">
        <x:v>3078</x:v>
      </x:c>
      <x:c r="B10" s="15">
        <x:v>58</x:v>
      </x:c>
      <x:c r="C10" s="15">
        <x:v>18</x:v>
      </x:c>
      <x:c r="D10" s="15">
        <x:v>6</x:v>
      </x:c>
      <x:c r="E10" s="15">
        <x:v>3</x:v>
      </x:c>
      <x:c r="F10" s="15">
        <x:v>3</x:v>
      </x:c>
      <x:c r="G10" s="15">
        <x:v>28</x:v>
      </x:c>
      <x:c r="H10" s="16">
        <x:v>0.381818181818182</x:v>
      </x:c>
      <x:c r="I10" s="24">
        <x:v>-11.37</x:v>
      </x:c>
      <x:c r="J10" s="16">
        <x:v>-0.196034482758621</x:v>
      </x:c>
      <x:c r="K10" s="24">
        <x:v>-0.218087651428752</x:v>
      </x:c>
    </x:row>
    <x:row r="11" ht="20" customHeight="1">
      <x:c r="A11" s="15"/>
      <x:c r="B11" s="15"/>
      <x:c r="C11" s="15"/>
      <x:c r="D11" s="15"/>
      <x:c r="E11" s="15"/>
      <x:c r="F11" s="15"/>
      <x:c r="G11" s="15"/>
      <x:c r="H11" s="15"/>
      <x:c r="I11" s="15"/>
      <x:c r="J11" s="15"/>
      <x:c r="K11" s="15"/>
    </x:row>
    <x:row r="12" ht="20" customHeight="1">
      <x:c r="A12" s="15"/>
      <x:c r="B12" s="15"/>
      <x:c r="C12" s="15"/>
      <x:c r="D12" s="15"/>
      <x:c r="E12" s="15"/>
      <x:c r="F12" s="15"/>
      <x:c r="G12" s="15"/>
      <x:c r="H12" s="15"/>
      <x:c r="I12" s="15"/>
      <x:c r="J12" s="15"/>
      <x:c r="K12" s="15"/>
    </x:row>
    <x:row r="13" ht="20" customHeight="1">
      <x:c r="A13" s="22" t="s">
        <x:v>3079</x:v>
      </x:c>
      <x:c r="B13" s="22"/>
      <x:c r="C13" s="22"/>
      <x:c r="D13" s="22"/>
      <x:c r="E13" s="22"/>
      <x:c r="F13" s="22"/>
      <x:c r="G13" s="25"/>
      <x:c r="H13" s="25"/>
      <x:c r="I13" s="25"/>
      <x:c r="J13" s="25"/>
      <x:c r="K13" s="25"/>
    </x:row>
    <x:row r="14" ht="20" customHeight="1">
      <x:c r="A14" s="23" t="s">
        <x:v>6</x:v>
      </x:c>
      <x:c r="B14" s="23" t="s">
        <x:v>7</x:v>
      </x:c>
      <x:c r="C14" s="23" t="s">
        <x:v>3074</x:v>
      </x:c>
      <x:c r="D14" s="23" t="s">
        <x:v>3080</x:v>
      </x:c>
      <x:c r="E14" s="23" t="s">
        <x:v>3081</x:v>
      </x:c>
      <x:c r="F14" s="23" t="s">
        <x:v>3082</x:v>
      </x:c>
      <x:c r="G14" s="15"/>
      <x:c r="H14" s="15"/>
      <x:c r="I14" s="15"/>
      <x:c r="J14" s="15"/>
      <x:c r="K14" s="15"/>
    </x:row>
    <x:row r="15" ht="20" customHeight="1">
      <x:c r="A15" s="15" t="s">
        <x:v>11</x:v>
      </x:c>
      <x:c r="B15" s="15">
        <x:v>14</x:v>
      </x:c>
      <x:c r="C15" s="24">
        <x:v>-0.325091843605606</x:v>
      </x:c>
      <x:c r="D15" s="24">
        <x:v>0.169619333818795</x:v>
      </x:c>
      <x:c r="E15" s="24">
        <x:v>-0.300475604461819</x:v>
      </x:c>
      <x:c r="F15" s="24">
        <x:v>0.892005399730013</x:v>
      </x:c>
      <x:c r="G15" s="15"/>
      <x:c r="H15" s="15"/>
      <x:c r="I15" s="15"/>
      <x:c r="J15" s="15"/>
      <x:c r="K15" s="15"/>
    </x:row>
    <x:row r="16" ht="20" customHeight="1">
      <x:c r="A16" s="15" t="s">
        <x:v>23</x:v>
      </x:c>
      <x:c r="B16" s="15">
        <x:v>26</x:v>
      </x:c>
      <x:c r="C16" s="24">
        <x:v>-0.336840654586348</x:v>
      </x:c>
      <x:c r="D16" s="24">
        <x:v>0.292313718307902</x:v>
      </x:c>
      <x:c r="E16" s="24">
        <x:v>-0.255901577009871</x:v>
      </x:c>
      <x:c r="F16" s="24"/>
      <x:c r="G16" s="15"/>
      <x:c r="H16" s="15"/>
      <x:c r="I16" s="15"/>
      <x:c r="J16" s="15"/>
      <x:c r="K16" s="15"/>
    </x:row>
    <x:row r="17" ht="20" customHeight="1">
      <x:c r="A17" s="15"/>
      <x:c r="B17" s="15"/>
      <x:c r="C17" s="15"/>
      <x:c r="D17" s="15"/>
      <x:c r="E17" s="15"/>
      <x:c r="F17" s="15"/>
      <x:c r="G17" s="15"/>
      <x:c r="H17" s="15"/>
      <x:c r="I17" s="15"/>
      <x:c r="J17" s="15"/>
      <x:c r="K17" s="15"/>
    </x:row>
    <x:row r="18" ht="20" customHeight="1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  <x:c r="K18" s="15"/>
    </x:row>
    <x:row r="19" ht="20" customHeight="1">
      <x:c r="A19" s="22" t="s">
        <x:v>3083</x:v>
      </x:c>
      <x:c r="B19" s="22"/>
      <x:c r="C19" s="22"/>
      <x:c r="D19" s="22"/>
      <x:c r="E19" s="22"/>
      <x:c r="F19" s="22"/>
      <x:c r="G19" s="22"/>
      <x:c r="H19" s="25"/>
      <x:c r="I19" s="25"/>
      <x:c r="J19" s="25"/>
      <x:c r="K19" s="25"/>
    </x:row>
    <x:row r="20" ht="20" customHeight="1">
      <x:c r="A20" s="23" t="s">
        <x:v>3084</x:v>
      </x:c>
      <x:c r="B20" s="23" t="s">
        <x:v>3085</x:v>
      </x:c>
      <x:c r="C20" s="23" t="s">
        <x:v>3086</x:v>
      </x:c>
      <x:c r="D20" s="23" t="s">
        <x:v>31</x:v>
      </x:c>
      <x:c r="E20" s="23" t="s">
        <x:v>32</x:v>
      </x:c>
      <x:c r="F20" s="23" t="s">
        <x:v>25</x:v>
      </x:c>
      <x:c r="G20" s="23" t="s">
        <x:v>3074</x:v>
      </x:c>
      <x:c r="H20" s="15"/>
      <x:c r="I20" s="15"/>
      <x:c r="J20" s="15"/>
      <x:c r="K20" s="15"/>
    </x:row>
    <x:row r="21" ht="20" customHeight="1">
      <x:c r="A21" s="15" t="s">
        <x:v>3087</x:v>
      </x:c>
      <x:c r="B21" s="15">
        <x:v>2</x:v>
      </x:c>
      <x:c r="C21" s="16">
        <x:v>0.0408163265306122</x:v>
      </x:c>
      <x:c r="D21" s="16">
        <x:v>0</x:v>
      </x:c>
      <x:c r="E21" s="24">
        <x:v>-2</x:v>
      </x:c>
      <x:c r="F21" s="16">
        <x:v>-1</x:v>
      </x:c>
      <x:c r="G21" s="24">
        <x:v>-0.0118525908371716</x:v>
      </x:c>
      <x:c r="H21" s="15"/>
      <x:c r="I21" s="15"/>
      <x:c r="J21" s="15"/>
      <x:c r="K21" s="15"/>
    </x:row>
    <x:row r="22" ht="20" customHeight="1">
      <x:c r="A22" s="15" t="s">
        <x:v>3088</x:v>
      </x:c>
      <x:c r="B22" s="15">
        <x:v>5</x:v>
      </x:c>
      <x:c r="C22" s="16">
        <x:v>0.102040816326531</x:v>
      </x:c>
      <x:c r="D22" s="16">
        <x:v>0.125</x:v>
      </x:c>
      <x:c r="E22" s="24">
        <x:v>-2.54</x:v>
      </x:c>
      <x:c r="F22" s="16">
        <x:v>-0.508</x:v>
      </x:c>
      <x:c r="G22" s="24">
        <x:v>0.00409296961971037</x:v>
      </x:c>
      <x:c r="H22" s="15"/>
      <x:c r="I22" s="15"/>
      <x:c r="J22" s="15"/>
      <x:c r="K22" s="15"/>
    </x:row>
    <x:row r="23" ht="20" customHeight="1">
      <x:c r="A23" s="15" t="s">
        <x:v>3089</x:v>
      </x:c>
      <x:c r="B23" s="15">
        <x:v>6</x:v>
      </x:c>
      <x:c r="C23" s="16">
        <x:v>0.122448979591837</x:v>
      </x:c>
      <x:c r="D23" s="16">
        <x:v>0.3</x:v>
      </x:c>
      <x:c r="E23" s="24">
        <x:v>-1.73</x:v>
      </x:c>
      <x:c r="F23" s="16">
        <x:v>-0.288333333333333</x:v>
      </x:c>
      <x:c r="G23" s="24">
        <x:v>-0.00560519076592279</x:v>
      </x:c>
      <x:c r="H23" s="15"/>
      <x:c r="I23" s="15"/>
      <x:c r="J23" s="15"/>
      <x:c r="K23" s="15"/>
    </x:row>
    <x:row r="24" ht="20" customHeight="1">
      <x:c r="A24" s="15" t="s">
        <x:v>3090</x:v>
      </x:c>
      <x:c r="B24" s="15">
        <x:v>9</x:v>
      </x:c>
      <x:c r="C24" s="16">
        <x:v>0.183673469387755</x:v>
      </x:c>
      <x:c r="D24" s="16">
        <x:v>0.3125</x:v>
      </x:c>
      <x:c r="E24" s="24">
        <x:v>-1.93</x:v>
      </x:c>
      <x:c r="F24" s="16">
        <x:v>-0.214444444444444</x:v>
      </x:c>
      <x:c r="G24" s="24">
        <x:v>-0.0361911213163286</x:v>
      </x:c>
      <x:c r="H24" s="15"/>
      <x:c r="I24" s="15"/>
      <x:c r="J24" s="15"/>
      <x:c r="K24" s="15"/>
    </x:row>
    <x:row r="25" ht="20" customHeight="1">
      <x:c r="A25" s="15" t="s">
        <x:v>3091</x:v>
      </x:c>
      <x:c r="B25" s="15">
        <x:v>12</x:v>
      </x:c>
      <x:c r="C25" s="16">
        <x:v>0.244897959183673</x:v>
      </x:c>
      <x:c r="D25" s="16">
        <x:v>0.35</x:v>
      </x:c>
      <x:c r="E25" s="24">
        <x:v>-2.11</x:v>
      </x:c>
      <x:c r="F25" s="16">
        <x:v>-0.175833333333333</x:v>
      </x:c>
      <x:c r="G25" s="24">
        <x:v>-0.0551529884150171</x:v>
      </x:c>
      <x:c r="H25" s="15"/>
      <x:c r="I25" s="15"/>
      <x:c r="J25" s="15"/>
      <x:c r="K25" s="15"/>
    </x:row>
    <x:row r="26" ht="20" customHeight="1">
      <x:c r="A26" s="15" t="s">
        <x:v>3092</x:v>
      </x:c>
      <x:c r="B26" s="15">
        <x:v>13</x:v>
      </x:c>
      <x:c r="C26" s="16">
        <x:v>0.26530612244898</x:v>
      </x:c>
      <x:c r="D26" s="16">
        <x:v>0.363636363636364</x:v>
      </x:c>
      <x:c r="E26" s="24">
        <x:v>-1.715</x:v>
      </x:c>
      <x:c r="F26" s="16">
        <x:v>-0.131923076923077</x:v>
      </x:c>
      <x:c r="G26" s="24">
        <x:v>-0.0412616492269606</x:v>
      </x:c>
      <x:c r="H26" s="15"/>
      <x:c r="I26" s="15"/>
      <x:c r="J26" s="15"/>
      <x:c r="K26" s="15"/>
    </x:row>
    <x:row r="27" ht="20" customHeight="1">
      <x:c r="A27" s="15" t="s">
        <x:v>3093</x:v>
      </x:c>
      <x:c r="B27" s="15">
        <x:v>19</x:v>
      </x:c>
      <x:c r="C27" s="16">
        <x:v>0.387755102040816</x:v>
      </x:c>
      <x:c r="D27" s="16">
        <x:v>0.25</x:v>
      </x:c>
      <x:c r="E27" s="24">
        <x:v>-6.715</x:v>
      </x:c>
      <x:c r="F27" s="16">
        <x:v>-0.353421052631579</x:v>
      </x:c>
      <x:c r="G27" s="24">
        <x:v>-0.0466814581071175</x:v>
      </x:c>
      <x:c r="H27" s="15"/>
      <x:c r="I27" s="15"/>
      <x:c r="J27" s="15"/>
      <x:c r="K27" s="15"/>
    </x:row>
    <x:row r="28" ht="20" customHeight="1">
      <x:c r="A28" s="15" t="s">
        <x:v>3094</x:v>
      </x:c>
      <x:c r="B28" s="15">
        <x:v>27</x:v>
      </x:c>
      <x:c r="C28" s="16">
        <x:v>0.551020408163265</x:v>
      </x:c>
      <x:c r="D28" s="16">
        <x:v>0.354166666666667</x:v>
      </x:c>
      <x:c r="E28" s="24">
        <x:v>-5.705</x:v>
      </x:c>
      <x:c r="F28" s="16">
        <x:v>-0.211296296296296</x:v>
      </x:c>
      <x:c r="G28" s="24">
        <x:v>-0.0972646019396346</x:v>
      </x:c>
      <x:c r="H28" s="15"/>
      <x:c r="I28" s="15"/>
      <x:c r="J28" s="15"/>
      <x:c r="K28" s="15"/>
    </x:row>
    <x:row r="29" ht="20" customHeight="1">
      <x:c r="A29" s="15" t="s">
        <x:v>3095</x:v>
      </x:c>
      <x:c r="B29" s="15">
        <x:v>29</x:v>
      </x:c>
      <x:c r="C29" s="16">
        <x:v>0.591836734693878</x:v>
      </x:c>
      <x:c r="D29" s="16">
        <x:v>0.365384615384615</x:v>
      </x:c>
      <x:c r="E29" s="24">
        <x:v>-5.885</x:v>
      </x:c>
      <x:c r="F29" s="16">
        <x:v>-0.202931034482759</x:v>
      </x:c>
      <x:c r="G29" s="24">
        <x:v>-0.110240425412962</x:v>
      </x:c>
      <x:c r="H29" s="15"/>
      <x:c r="I29" s="15"/>
      <x:c r="J29" s="15"/>
      <x:c r="K29" s="15"/>
    </x:row>
    <x:row r="30" ht="20" customHeight="1">
      <x:c r="A30" s="15" t="s">
        <x:v>3096</x:v>
      </x:c>
      <x:c r="B30" s="15">
        <x:v>33</x:v>
      </x:c>
      <x:c r="C30" s="16">
        <x:v>0.673469387755102</x:v>
      </x:c>
      <x:c r="D30" s="16">
        <x:v>0.35</x:v>
      </x:c>
      <x:c r="E30" s="24">
        <x:v>-8.065</x:v>
      </x:c>
      <x:c r="F30" s="16">
        <x:v>-0.244393939393939</x:v>
      </x:c>
      <x:c r="G30" s="24">
        <x:v>-0.139164469981642</x:v>
      </x:c>
      <x:c r="H30" s="15"/>
      <x:c r="I30" s="15"/>
      <x:c r="J30" s="15"/>
      <x:c r="K30" s="15"/>
    </x:row>
    <x:row r="31" ht="20" customHeight="1">
      <x:c r="A31" s="15" t="s">
        <x:v>3097</x:v>
      </x:c>
      <x:c r="B31" s="15">
        <x:v>49</x:v>
      </x:c>
      <x:c r="C31" s="16">
        <x:v>1</x:v>
      </x:c>
      <x:c r="D31" s="16">
        <x:v>0.369565217391304</x:v>
      </x:c>
      <x:c r="E31" s="24">
        <x:v>-11.61</x:v>
      </x:c>
      <x:c r="F31" s="16">
        <x:v>-0.236938775510204</x:v>
      </x:c>
      <x:c r="G31" s="24">
        <x:v>-0.285096825219484</x:v>
      </x:c>
      <x:c r="H31" s="15"/>
      <x:c r="I31" s="15"/>
      <x:c r="J31" s="15"/>
      <x:c r="K31" s="15"/>
    </x:row>
    <x:row r="32" ht="20" customHeight="1">
      <x:c r="A32" s="15"/>
      <x:c r="B32" s="15"/>
      <x:c r="C32" s="15"/>
      <x:c r="D32" s="15"/>
      <x:c r="E32" s="15"/>
      <x:c r="F32" s="15"/>
      <x:c r="G32" s="15"/>
      <x:c r="H32" s="15"/>
      <x:c r="I32" s="15"/>
      <x:c r="J32" s="15"/>
      <x:c r="K32" s="15"/>
    </x:row>
    <x:row r="33" ht="20" customHeight="1">
      <x:c r="A33" s="15"/>
      <x:c r="B33" s="15"/>
      <x:c r="C33" s="15"/>
      <x:c r="D33" s="15"/>
      <x:c r="E33" s="15"/>
      <x:c r="F33" s="15"/>
      <x:c r="G33" s="15"/>
      <x:c r="H33" s="15"/>
      <x:c r="I33" s="15"/>
      <x:c r="J33" s="15"/>
      <x:c r="K33" s="15"/>
    </x:row>
    <x:row r="34" ht="20" customHeight="1">
      <x:c r="A34" s="22" t="s">
        <x:v>3098</x:v>
      </x:c>
      <x:c r="B34" s="22"/>
      <x:c r="C34" s="22"/>
      <x:c r="D34" s="22"/>
      <x:c r="E34" s="22"/>
      <x:c r="F34" s="22"/>
      <x:c r="G34" s="25"/>
      <x:c r="H34" s="25"/>
      <x:c r="I34" s="25"/>
      <x:c r="J34" s="25"/>
      <x:c r="K34" s="25"/>
    </x:row>
    <x:row r="35" ht="20" customHeight="1">
      <x:c r="A35" s="23" t="s">
        <x:v>3099</x:v>
      </x:c>
      <x:c r="B35" s="23" t="s">
        <x:v>7</x:v>
      </x:c>
      <x:c r="C35" s="23" t="s">
        <x:v>31</x:v>
      </x:c>
      <x:c r="D35" s="23" t="s">
        <x:v>32</x:v>
      </x:c>
      <x:c r="E35" s="23" t="s">
        <x:v>25</x:v>
      </x:c>
      <x:c r="F35" s="23" t="s">
        <x:v>3100</x:v>
      </x:c>
      <x:c r="G35" s="15"/>
      <x:c r="H35" s="15"/>
      <x:c r="I35" s="15"/>
      <x:c r="J35" s="15"/>
      <x:c r="K35" s="15"/>
    </x:row>
    <x:row r="36" ht="20" customHeight="1">
      <x:c r="A36" s="15" t="s">
        <x:v>3101</x:v>
      </x:c>
      <x:c r="B36" s="15">
        <x:v>34</x:v>
      </x:c>
      <x:c r="C36" s="16">
        <x:v>0.453125</x:v>
      </x:c>
      <x:c r="D36" s="24">
        <x:v>-3.735</x:v>
      </x:c>
      <x:c r="E36" s="16">
        <x:v>-0.109852941176471</x:v>
      </x:c>
      <x:c r="F36" s="24">
        <x:v>0.4</x:v>
      </x:c>
      <x:c r="G36" s="15"/>
      <x:c r="H36" s="15"/>
      <x:c r="I36" s="15"/>
      <x:c r="J36" s="15"/>
      <x:c r="K36" s="15"/>
    </x:row>
    <x:row r="37" ht="20" customHeight="1">
      <x:c r="A37" s="15" t="s">
        <x:v>3102</x:v>
      </x:c>
      <x:c r="B37" s="15">
        <x:v>22</x:v>
      </x:c>
      <x:c r="C37" s="16">
        <x:v>0.45</x:v>
      </x:c>
      <x:c r="D37" s="24">
        <x:v>-2.35</x:v>
      </x:c>
      <x:c r="E37" s="16">
        <x:v>-0.106818181818182</x:v>
      </x:c>
      <x:c r="F37" s="24">
        <x:v>0.4</x:v>
      </x:c>
      <x:c r="G37" s="15"/>
      <x:c r="H37" s="15"/>
      <x:c r="I37" s="15"/>
      <x:c r="J37" s="15"/>
      <x:c r="K37" s="15"/>
    </x:row>
    <x:row r="38" ht="20" customHeight="1">
      <x:c r="A38" s="15" t="s">
        <x:v>3103</x:v>
      </x:c>
      <x:c r="B38" s="15">
        <x:v>15</x:v>
      </x:c>
      <x:c r="C38" s="16">
        <x:v>0.178571428571429</x:v>
      </x:c>
      <x:c r="D38" s="24">
        <x:v>-7.875</x:v>
      </x:c>
      <x:c r="E38" s="16">
        <x:v>-0.525</x:v>
      </x:c>
      <x:c r="F38" s="24">
        <x:v>0.4</x:v>
      </x:c>
      <x:c r="G38" s="15"/>
      <x:c r="H38" s="15"/>
      <x:c r="I38" s="15"/>
      <x:c r="J38" s="15"/>
      <x:c r="K38" s="15"/>
    </x:row>
    <x:row r="39" ht="20" customHeight="1">
      <x:c r="A39" s="15" t="s">
        <x:v>3104</x:v>
      </x:c>
      <x:c r="B39" s="15">
        <x:v>11</x:v>
      </x:c>
      <x:c r="C39" s="16">
        <x:v>0.15</x:v>
      </x:c>
      <x:c r="D39" s="24">
        <x:v>-5.715</x:v>
      </x:c>
      <x:c r="E39" s="16">
        <x:v>-0.519545454545455</x:v>
      </x:c>
      <x:c r="F39" s="24">
        <x:v>0.4</x:v>
      </x:c>
      <x:c r="G39" s="15"/>
      <x:c r="H39" s="15"/>
      <x:c r="I39" s="15"/>
      <x:c r="J39" s="15"/>
      <x:c r="K39" s="15"/>
    </x:row>
    <x:row r="40" ht="20" customHeight="1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</x:row>
    <x:row r="41" ht="20" customHeight="1">
      <x:c r="A41" s="15"/>
      <x:c r="B41" s="15"/>
      <x:c r="C41" s="15"/>
      <x:c r="D41" s="15"/>
      <x:c r="E41" s="15"/>
      <x:c r="F41" s="15"/>
      <x:c r="G41" s="15"/>
      <x:c r="H41" s="15"/>
      <x:c r="I41" s="15"/>
      <x:c r="J41" s="15"/>
      <x:c r="K41" s="15"/>
    </x:row>
    <x:row r="42" ht="20" customHeight="1">
      <x:c r="A42" s="22" t="s">
        <x:v>3105</x:v>
      </x:c>
      <x:c r="B42" s="22"/>
      <x:c r="C42" s="22"/>
      <x:c r="D42" s="22"/>
      <x:c r="E42" s="22"/>
      <x:c r="F42" s="22"/>
      <x:c r="G42" s="22"/>
      <x:c r="H42" s="22"/>
      <x:c r="I42" s="22"/>
      <x:c r="J42" s="22"/>
      <x:c r="K42" s="22"/>
    </x:row>
    <x:row r="43" ht="58" customHeight="1">
      <x:c r="A43" s="26" t="s">
        <x:v>3106</x:v>
      </x:c>
    </x:row>
    <x:row r="44" ht="20" customHeight="1"/>
    <x:row r="45" ht="20" customHeight="1"/>
  </x:sheetData>
  <x:mergeCells>
    <x:mergeCell ref="A43:K45"/>
  </x:mergeCells>
  <x:pageMargins left="0.7" right="0.7" top="0.75" bottom="0.75" header="0.3" footer="0.3"/>
  <x:drawing xmlns:r="http://schemas.openxmlformats.org/officeDocument/2006/relationships" r:id="R3cef928b21744605"/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ColWidth="9" defaultRowHeight="13.800000190734863"/>
  <x:cols>
    <x:col min="1" max="1" width="22" customWidth="1"/>
    <x:col min="2" max="2" width="28" customWidth="1"/>
    <x:col min="3" max="3" width="14" customWidth="1"/>
    <x:col min="4" max="8" width="9" customWidth="1"/>
    <x:col min="9" max="9" width="14" customWidth="1"/>
    <x:col min="10" max="10" width="13" customWidth="1"/>
    <x:col min="11" max="11" width="12" customWidth="1"/>
  </x:cols>
  <x:sheetData>
    <x:row r="1" ht="28" customHeight="1">
      <x:c r="A1" s="12" t="s">
        <x:v>3107</x:v>
      </x:c>
    </x:row>
    <x:row r="2" ht="42" customHeight="1">
      <x:c r="A2" s="13" t="s">
        <x:v>3108</x:v>
      </x:c>
    </x:row>
    <x:row r="4" ht="24" customHeight="1">
      <x:c r="A4" s="14" t="s">
        <x:v>3109</x:v>
      </x:c>
      <x:c r="B4" s="14" t="s">
        <x:v>3110</x:v>
      </x:c>
      <x:c r="C4" s="14" t="s">
        <x:v>16</x:v>
      </x:c>
      <x:c r="D4" s="14" t="s">
        <x:v>11</x:v>
      </x:c>
      <x:c r="E4" s="14" t="s">
        <x:v>14</x:v>
      </x:c>
      <x:c r="F4" s="14" t="s">
        <x:v>17</x:v>
      </x:c>
      <x:c r="G4" s="14" t="s">
        <x:v>20</x:v>
      </x:c>
      <x:c r="H4" s="14" t="s">
        <x:v>23</x:v>
      </x:c>
      <x:c r="I4" s="14" t="s">
        <x:v>31</x:v>
      </x:c>
      <x:c r="J4" s="14" t="s">
        <x:v>32</x:v>
      </x:c>
      <x:c r="K4" s="14" t="s">
        <x:v>25</x:v>
      </x:c>
    </x:row>
    <x:row r="5" ht="22" customHeight="1">
      <x:c r="A5" s="15" t="s">
        <x:v>3111</x:v>
      </x:c>
      <x:c r="B5" s="15" t="s">
        <x:v>3112</x:v>
      </x:c>
      <x:c r="C5" s="15">
        <x:v>20</x:v>
      </x:c>
      <x:c r="D5" s="15">
        <x:v>11</x:v>
      </x:c>
      <x:c r="E5" s="15">
        <x:v>0</x:v>
      </x:c>
      <x:c r="F5" s="15">
        <x:v>6</x:v>
      </x:c>
      <x:c r="G5" s="15">
        <x:v>0</x:v>
      </x:c>
      <x:c r="H5" s="15">
        <x:v>3</x:v>
      </x:c>
      <x:c r="I5" s="16">
        <x:v>0.785714285714286</x:v>
      </x:c>
      <x:c r="J5" s="17">
        <x:v>6.88</x:v>
      </x:c>
      <x:c r="K5" s="16">
        <x:v>0.344</x:v>
      </x:c>
    </x:row>
    <x:row r="6" ht="22" customHeight="1">
      <x:c r="A6" s="15" t="s">
        <x:v>3111</x:v>
      </x:c>
      <x:c r="B6" s="15" t="s">
        <x:v>3113</x:v>
      </x:c>
      <x:c r="C6" s="15">
        <x:v>2</x:v>
      </x:c>
      <x:c r="D6" s="15">
        <x:v>0</x:v>
      </x:c>
      <x:c r="E6" s="15">
        <x:v>0</x:v>
      </x:c>
      <x:c r="F6" s="15">
        <x:v>1</x:v>
      </x:c>
      <x:c r="G6" s="15">
        <x:v>0</x:v>
      </x:c>
      <x:c r="H6" s="15">
        <x:v>1</x:v>
      </x:c>
      <x:c r="I6" s="16">
        <x:v>0</x:v>
      </x:c>
      <x:c r="J6" s="17">
        <x:v>-1</x:v>
      </x:c>
      <x:c r="K6" s="16">
        <x:v>-0.5</x:v>
      </x:c>
    </x:row>
    <x:row r="7" ht="22" customHeight="1">
      <x:c r="A7" s="15" t="s">
        <x:v>3111</x:v>
      </x:c>
      <x:c r="B7" s="15" t="s">
        <x:v>3114</x:v>
      </x:c>
      <x:c r="C7" s="15">
        <x:v>37</x:v>
      </x:c>
      <x:c r="D7" s="15">
        <x:v>10</x:v>
      </x:c>
      <x:c r="E7" s="15">
        <x:v>8</x:v>
      </x:c>
      <x:c r="F7" s="15">
        <x:v>0</x:v>
      </x:c>
      <x:c r="G7" s="15">
        <x:v>0</x:v>
      </x:c>
      <x:c r="H7" s="15">
        <x:v>19</x:v>
      </x:c>
      <x:c r="I7" s="16">
        <x:v>0.424242424242424</x:v>
      </x:c>
      <x:c r="J7" s="17">
        <x:v>-6.595</x:v>
      </x:c>
      <x:c r="K7" s="16">
        <x:v>-0.178243243243243</x:v>
      </x:c>
    </x:row>
    <x:row r="8" ht="22" customHeight="1">
      <x:c r="A8" s="15" t="s">
        <x:v>3111</x:v>
      </x:c>
      <x:c r="B8" s="15" t="s">
        <x:v>3115</x:v>
      </x:c>
      <x:c r="C8" s="15">
        <x:v>6</x:v>
      </x:c>
      <x:c r="D8" s="15">
        <x:v>4</x:v>
      </x:c>
      <x:c r="E8" s="15">
        <x:v>0</x:v>
      </x:c>
      <x:c r="F8" s="15">
        <x:v>0</x:v>
      </x:c>
      <x:c r="G8" s="15">
        <x:v>1</x:v>
      </x:c>
      <x:c r="H8" s="15">
        <x:v>1</x:v>
      </x:c>
      <x:c r="I8" s="16">
        <x:v>0.727272727272727</x:v>
      </x:c>
      <x:c r="J8" s="17">
        <x:v>2.44</x:v>
      </x:c>
      <x:c r="K8" s="16">
        <x:v>0.406666666666667</x:v>
      </x:c>
    </x:row>
    <x:row r="9" ht="22" customHeight="1">
      <x:c r="A9" s="15" t="s">
        <x:v>3116</x:v>
      </x:c>
      <x:c r="B9" s="15" t="s">
        <x:v>3112</x:v>
      </x:c>
      <x:c r="C9" s="15">
        <x:v>14</x:v>
      </x:c>
      <x:c r="D9" s="15">
        <x:v>3</x:v>
      </x:c>
      <x:c r="E9" s="15">
        <x:v>0</x:v>
      </x:c>
      <x:c r="F9" s="15">
        <x:v>1</x:v>
      </x:c>
      <x:c r="G9" s="15">
        <x:v>0</x:v>
      </x:c>
      <x:c r="H9" s="15">
        <x:v>10</x:v>
      </x:c>
      <x:c r="I9" s="16">
        <x:v>0.230769230769231</x:v>
      </x:c>
      <x:c r="J9" s="17">
        <x:v>-7.55</x:v>
      </x:c>
      <x:c r="K9" s="16">
        <x:v>-0.539285714285714</x:v>
      </x:c>
    </x:row>
    <x:row r="10" ht="22" customHeight="1">
      <x:c r="A10" s="15" t="s">
        <x:v>3116</x:v>
      </x:c>
      <x:c r="B10" s="15" t="s">
        <x:v>3113</x:v>
      </x:c>
      <x:c r="C10" s="15">
        <x:v>1</x:v>
      </x:c>
      <x:c r="D10" s="15">
        <x:v>0</x:v>
      </x:c>
      <x:c r="E10" s="15">
        <x:v>0</x:v>
      </x:c>
      <x:c r="F10" s="15">
        <x:v>0</x:v>
      </x:c>
      <x:c r="G10" s="15">
        <x:v>0</x:v>
      </x:c>
      <x:c r="H10" s="15">
        <x:v>1</x:v>
      </x:c>
      <x:c r="I10" s="16">
        <x:v>0</x:v>
      </x:c>
      <x:c r="J10" s="17">
        <x:v>-1</x:v>
      </x:c>
      <x:c r="K10" s="16">
        <x:v>-1</x:v>
      </x:c>
    </x:row>
    <x:row r="11" ht="22" customHeight="1">
      <x:c r="A11" s="15" t="s">
        <x:v>3116</x:v>
      </x:c>
      <x:c r="B11" s="15" t="s">
        <x:v>3114</x:v>
      </x:c>
      <x:c r="C11" s="15">
        <x:v>20</x:v>
      </x:c>
      <x:c r="D11" s="15">
        <x:v>8</x:v>
      </x:c>
      <x:c r="E11" s="15">
        <x:v>5</x:v>
      </x:c>
      <x:c r="F11" s="15">
        <x:v>0</x:v>
      </x:c>
      <x:c r="G11" s="15">
        <x:v>0</x:v>
      </x:c>
      <x:c r="H11" s="15">
        <x:v>7</x:v>
      </x:c>
      <x:c r="I11" s="16">
        <x:v>0.6</x:v>
      </x:c>
      <x:c r="J11" s="17">
        <x:v>1.51</x:v>
      </x:c>
      <x:c r="K11" s="16">
        <x:v>0.0755</x:v>
      </x:c>
    </x:row>
    <x:row r="12" ht="22" customHeight="1">
      <x:c r="A12" s="15" t="s">
        <x:v>3116</x:v>
      </x:c>
      <x:c r="B12" s="15" t="s">
        <x:v>3115</x:v>
      </x:c>
      <x:c r="C12" s="15">
        <x:v>6</x:v>
      </x:c>
      <x:c r="D12" s="15">
        <x:v>3</x:v>
      </x:c>
      <x:c r="E12" s="15">
        <x:v>0</x:v>
      </x:c>
      <x:c r="F12" s="15">
        <x:v>0</x:v>
      </x:c>
      <x:c r="G12" s="15">
        <x:v>2</x:v>
      </x:c>
      <x:c r="H12" s="15">
        <x:v>1</x:v>
      </x:c>
      <x:c r="I12" s="16">
        <x:v>0.6</x:v>
      </x:c>
      <x:c r="J12" s="17">
        <x:v>0.83</x:v>
      </x:c>
      <x:c r="K12" s="16">
        <x:v>0.138333333333333</x:v>
      </x:c>
    </x:row>
    <x:row r="14" ht="23" customHeight="1">
      <x:c r="A14" s="18" t="s">
        <x:v>3117</x:v>
      </x:c>
    </x:row>
    <x:row r="15" ht="24" customHeight="1">
      <x:c r="A15" s="14" t="s">
        <x:v>3118</x:v>
      </x:c>
      <x:c r="B15" s="14" t="s">
        <x:v>3119</x:v>
      </x:c>
      <x:c r="C15" s="14" t="s">
        <x:v>16</x:v>
      </x:c>
      <x:c r="D15" s="14" t="s">
        <x:v>11</x:v>
      </x:c>
      <x:c r="E15" s="14" t="s">
        <x:v>14</x:v>
      </x:c>
      <x:c r="F15" s="14" t="s">
        <x:v>17</x:v>
      </x:c>
      <x:c r="G15" s="14" t="s">
        <x:v>20</x:v>
      </x:c>
      <x:c r="H15" s="14" t="s">
        <x:v>23</x:v>
      </x:c>
      <x:c r="I15" s="14" t="s">
        <x:v>31</x:v>
      </x:c>
      <x:c r="J15" s="14" t="s">
        <x:v>32</x:v>
      </x:c>
      <x:c r="K15" s="14" t="s">
        <x:v>25</x:v>
      </x:c>
    </x:row>
    <x:row r="16" ht="22" customHeight="1">
      <x:c r="A16" s="15" t="s">
        <x:v>3120</x:v>
      </x:c>
      <x:c r="B16" s="15" t="s">
        <x:v>3121</x:v>
      </x:c>
      <x:c r="C16" s="15">
        <x:v>32</x:v>
      </x:c>
      <x:c r="D16" s="15">
        <x:v>10</x:v>
      </x:c>
      <x:c r="E16" s="15">
        <x:v>3</x:v>
      </x:c>
      <x:c r="F16" s="15">
        <x:v>3</x:v>
      </x:c>
      <x:c r="G16" s="15">
        <x:v>7</x:v>
      </x:c>
      <x:c r="H16" s="15">
        <x:v>9</x:v>
      </x:c>
      <x:c r="I16" s="16">
        <x:v>0.479166666666667</x:v>
      </x:c>
      <x:c r="J16" s="17">
        <x:v>-2.08</x:v>
      </x:c>
      <x:c r="K16" s="16">
        <x:v>-0.065</x:v>
      </x:c>
    </x:row>
    <x:row r="17" ht="22" customHeight="1">
      <x:c r="A17" s="15" t="s">
        <x:v>3122</x:v>
      </x:c>
      <x:c r="B17" s="15" t="s">
        <x:v>3123</x:v>
      </x:c>
      <x:c r="C17" s="15">
        <x:v>13</x:v>
      </x:c>
      <x:c r="D17" s="15">
        <x:v>8</x:v>
      </x:c>
      <x:c r="E17" s="15">
        <x:v>0</x:v>
      </x:c>
      <x:c r="F17" s="15">
        <x:v>0</x:v>
      </x:c>
      <x:c r="G17" s="15">
        <x:v>2</x:v>
      </x:c>
      <x:c r="H17" s="15">
        <x:v>3</x:v>
      </x:c>
      <x:c r="I17" s="16">
        <x:v>0.666666666666667</x:v>
      </x:c>
      <x:c r="J17" s="17">
        <x:v>3.15</x:v>
      </x:c>
      <x:c r="K17" s="16">
        <x:v>0.242307692307692</x:v>
      </x:c>
    </x:row>
    <x:row r="18" ht="22" customHeight="1">
      <x:c r="A18" s="15" t="s">
        <x:v>3124</x:v>
      </x:c>
      <x:c r="B18" s="15" t="s">
        <x:v>3125</x:v>
      </x:c>
      <x:c r="C18" s="15">
        <x:v>85</x:v>
      </x:c>
      <x:c r="D18" s="15">
        <x:v>36</x:v>
      </x:c>
      <x:c r="E18" s="15">
        <x:v>5</x:v>
      </x:c>
      <x:c r="F18" s="15">
        <x:v>12</x:v>
      </x:c>
      <x:c r="G18" s="15">
        <x:v>7</x:v>
      </x:c>
      <x:c r="H18" s="15">
        <x:v>25</x:v>
      </x:c>
      <x:c r="I18" s="16">
        <x:v>0.574626865671642</x:v>
      </x:c>
      <x:c r="J18" s="17">
        <x:v>6.18</x:v>
      </x:c>
      <x:c r="K18" s="16">
        <x:v>0.0727058823529412</x:v>
      </x:c>
    </x:row>
    <x:row r="19" ht="22" customHeight="1">
      <x:c r="A19" s="15" t="s">
        <x:v>3126</x:v>
      </x:c>
      <x:c r="B19" s="15" t="s">
        <x:v>3127</x:v>
      </x:c>
      <x:c r="C19" s="15">
        <x:v>94</x:v>
      </x:c>
      <x:c r="D19" s="15">
        <x:v>32</x:v>
      </x:c>
      <x:c r="E19" s="15">
        <x:v>6</x:v>
      </x:c>
      <x:c r="F19" s="15">
        <x:v>8</x:v>
      </x:c>
      <x:c r="G19" s="15">
        <x:v>18</x:v>
      </x:c>
      <x:c r="H19" s="15">
        <x:v>30</x:v>
      </x:c>
      <x:c r="I19" s="16">
        <x:v>0.472972972972973</x:v>
      </x:c>
      <x:c r="J19" s="17">
        <x:v>-7.435</x:v>
      </x:c>
      <x:c r="K19" s="16">
        <x:v>-0.0790957446808511</x:v>
      </x:c>
    </x:row>
    <x:row r="20" ht="22" customHeight="1">
      <x:c r="A20" s="15" t="s">
        <x:v>3128</x:v>
      </x:c>
      <x:c r="B20" s="15" t="s">
        <x:v>3129</x:v>
      </x:c>
      <x:c r="C20" s="15">
        <x:v>46</x:v>
      </x:c>
      <x:c r="D20" s="15">
        <x:v>30</x:v>
      </x:c>
      <x:c r="E20" s="15">
        <x:v>0</x:v>
      </x:c>
      <x:c r="F20" s="15">
        <x:v>3</x:v>
      </x:c>
      <x:c r="G20" s="15">
        <x:v>4</x:v>
      </x:c>
      <x:c r="H20" s="15">
        <x:v>9</x:v>
      </x:c>
      <x:c r="I20" s="16">
        <x:v>0.731707317073171</x:v>
      </x:c>
      <x:c r="J20" s="17">
        <x:v>15.9</x:v>
      </x:c>
      <x:c r="K20" s="16">
        <x:v>0.345652173913043</x:v>
      </x:c>
    </x:row>
    <x:row r="21" ht="22" customHeight="1">
      <x:c r="A21" s="15" t="s">
        <x:v>3130</x:v>
      </x:c>
      <x:c r="B21" s="15" t="s">
        <x:v>3131</x:v>
      </x:c>
      <x:c r="C21" s="15">
        <x:v>270</x:v>
      </x:c>
      <x:c r="D21" s="15">
        <x:v>116</x:v>
      </x:c>
      <x:c r="E21" s="15">
        <x:v>14</x:v>
      </x:c>
      <x:c r="F21" s="15">
        <x:v>26</x:v>
      </x:c>
      <x:c r="G21" s="15">
        <x:v>38</x:v>
      </x:c>
      <x:c r="H21" s="15">
        <x:v>76</x:v>
      </x:c>
      <x:c r="I21" s="16">
        <x:v>0.564220183486238</x:v>
      </x:c>
      <x:c r="J21" s="17">
        <x:v>15.715</x:v>
      </x:c>
      <x:c r="K21" s="16">
        <x:v>0.0582037037037037</x:v>
      </x:c>
    </x:row>
    <x:row r="23" ht="23" customHeight="1">
      <x:c r="A23" s="18" t="s">
        <x:v>3132</x:v>
      </x:c>
    </x:row>
    <x:row r="24" ht="24" customHeight="1">
      <x:c r="A24" s="14" t="s">
        <x:v>3133</x:v>
      </x:c>
      <x:c r="B24" s="14" t="s">
        <x:v>3118</x:v>
      </x:c>
      <x:c r="C24" s="14" t="s">
        <x:v>16</x:v>
      </x:c>
      <x:c r="D24" s="14" t="s">
        <x:v>11</x:v>
      </x:c>
      <x:c r="E24" s="14" t="s">
        <x:v>14</x:v>
      </x:c>
      <x:c r="F24" s="14" t="s">
        <x:v>17</x:v>
      </x:c>
      <x:c r="G24" s="14" t="s">
        <x:v>20</x:v>
      </x:c>
      <x:c r="H24" s="14" t="s">
        <x:v>23</x:v>
      </x:c>
      <x:c r="I24" s="14" t="s">
        <x:v>31</x:v>
      </x:c>
      <x:c r="J24" s="14" t="s">
        <x:v>32</x:v>
      </x:c>
      <x:c r="K24" s="14" t="s">
        <x:v>25</x:v>
      </x:c>
    </x:row>
    <x:row r="25" ht="22" customHeight="1">
      <x:c r="A25" s="15" t="s">
        <x:v>87</x:v>
      </x:c>
      <x:c r="B25" s="15" t="s">
        <x:v>3122</x:v>
      </x:c>
      <x:c r="C25" s="15">
        <x:v>1</x:v>
      </x:c>
      <x:c r="D25" s="15">
        <x:v>1</x:v>
      </x:c>
      <x:c r="E25" s="15">
        <x:v>0</x:v>
      </x:c>
      <x:c r="F25" s="15">
        <x:v>0</x:v>
      </x:c>
      <x:c r="G25" s="15">
        <x:v>0</x:v>
      </x:c>
      <x:c r="H25" s="15">
        <x:v>0</x:v>
      </x:c>
      <x:c r="I25" s="16">
        <x:v>1</x:v>
      </x:c>
      <x:c r="J25" s="17">
        <x:v>0.96</x:v>
      </x:c>
      <x:c r="K25" s="16">
        <x:v>0.96</x:v>
      </x:c>
    </x:row>
    <x:row r="26" ht="22" customHeight="1">
      <x:c r="A26" s="15" t="s">
        <x:v>237</x:v>
      </x:c>
      <x:c r="B26" s="15" t="s">
        <x:v>3124</x:v>
      </x:c>
      <x:c r="C26" s="15">
        <x:v>49</x:v>
      </x:c>
      <x:c r="D26" s="15">
        <x:v>20</x:v>
      </x:c>
      <x:c r="E26" s="15">
        <x:v>2</x:v>
      </x:c>
      <x:c r="F26" s="15">
        <x:v>5</x:v>
      </x:c>
      <x:c r="G26" s="15">
        <x:v>5</x:v>
      </x:c>
      <x:c r="H26" s="15">
        <x:v>17</x:v>
      </x:c>
      <x:c r="I26" s="16">
        <x:v>0.518518518518518</x:v>
      </x:c>
      <x:c r="J26" s="17">
        <x:v>-0.83</x:v>
      </x:c>
      <x:c r="K26" s="16">
        <x:v>-0.0169387755102041</x:v>
      </x:c>
    </x:row>
    <x:row r="27" ht="22" customHeight="1">
      <x:c r="A27" s="15" t="s">
        <x:v>470</x:v>
      </x:c>
      <x:c r="B27" s="15" t="s">
        <x:v>3126</x:v>
      </x:c>
      <x:c r="C27" s="15">
        <x:v>42</x:v>
      </x:c>
      <x:c r="D27" s="15">
        <x:v>15</x:v>
      </x:c>
      <x:c r="E27" s="15">
        <x:v>4</x:v>
      </x:c>
      <x:c r="F27" s="15">
        <x:v>2</x:v>
      </x:c>
      <x:c r="G27" s="15">
        <x:v>6</x:v>
      </x:c>
      <x:c r="H27" s="15">
        <x:v>15</x:v>
      </x:c>
      <x:c r="I27" s="16">
        <x:v>0.485714285714286</x:v>
      </x:c>
      <x:c r="J27" s="17">
        <x:v>-2.585</x:v>
      </x:c>
      <x:c r="K27" s="16">
        <x:v>-0.0615476190476191</x:v>
      </x:c>
    </x:row>
    <x:row r="28" ht="22" customHeight="1">
      <x:c r="A28" s="15" t="s">
        <x:v>540</x:v>
      </x:c>
      <x:c r="B28" s="15" t="s">
        <x:v>3128</x:v>
      </x:c>
      <x:c r="C28" s="15">
        <x:v>13</x:v>
      </x:c>
      <x:c r="D28" s="15">
        <x:v>12</x:v>
      </x:c>
      <x:c r="E28" s="15">
        <x:v>0</x:v>
      </x:c>
      <x:c r="F28" s="15">
        <x:v>0</x:v>
      </x:c>
      <x:c r="G28" s="15">
        <x:v>1</x:v>
      </x:c>
      <x:c r="H28" s="15">
        <x:v>0</x:v>
      </x:c>
      <x:c r="I28" s="16">
        <x:v>0.96</x:v>
      </x:c>
      <x:c r="J28" s="17">
        <x:v>10.01</x:v>
      </x:c>
      <x:c r="K28" s="16">
        <x:v>0.77</x:v>
      </x:c>
    </x:row>
    <x:row r="29" ht="22" customHeight="1">
      <x:c r="A29" s="15" t="s">
        <x:v>1146</x:v>
      </x:c>
      <x:c r="B29" s="15" t="s">
        <x:v>3120</x:v>
      </x:c>
      <x:c r="C29" s="15">
        <x:v>24</x:v>
      </x:c>
      <x:c r="D29" s="15">
        <x:v>8</x:v>
      </x:c>
      <x:c r="E29" s="15">
        <x:v>2</x:v>
      </x:c>
      <x:c r="F29" s="15">
        <x:v>2</x:v>
      </x:c>
      <x:c r="G29" s="15">
        <x:v>5</x:v>
      </x:c>
      <x:c r="H29" s="15">
        <x:v>7</x:v>
      </x:c>
      <x:c r="I29" s="16">
        <x:v>0.486486486486487</x:v>
      </x:c>
      <x:c r="J29" s="17">
        <x:v>-1.34</x:v>
      </x:c>
      <x:c r="K29" s="16">
        <x:v>-0.0558333333333333</x:v>
      </x:c>
    </x:row>
    <x:row r="30" ht="22" customHeight="1">
      <x:c r="A30" s="15" t="s">
        <x:v>1161</x:v>
      </x:c>
      <x:c r="B30" s="15" t="s">
        <x:v>3122</x:v>
      </x:c>
      <x:c r="C30" s="15">
        <x:v>6</x:v>
      </x:c>
      <x:c r="D30" s="15">
        <x:v>4</x:v>
      </x:c>
      <x:c r="E30" s="15">
        <x:v>0</x:v>
      </x:c>
      <x:c r="F30" s="15">
        <x:v>0</x:v>
      </x:c>
      <x:c r="G30" s="15">
        <x:v>1</x:v>
      </x:c>
      <x:c r="H30" s="15">
        <x:v>1</x:v>
      </x:c>
      <x:c r="I30" s="16">
        <x:v>0.727272727272727</x:v>
      </x:c>
      <x:c r="J30" s="17">
        <x:v>2.17</x:v>
      </x:c>
      <x:c r="K30" s="16">
        <x:v>0.361666666666667</x:v>
      </x:c>
    </x:row>
    <x:row r="31" ht="22" customHeight="1">
      <x:c r="A31" s="15" t="s">
        <x:v>1204</x:v>
      </x:c>
      <x:c r="B31" s="15" t="s">
        <x:v>3124</x:v>
      </x:c>
      <x:c r="C31" s="15">
        <x:v>18</x:v>
      </x:c>
      <x:c r="D31" s="15">
        <x:v>7</x:v>
      </x:c>
      <x:c r="E31" s="15">
        <x:v>2</x:v>
      </x:c>
      <x:c r="F31" s="15">
        <x:v>5</x:v>
      </x:c>
      <x:c r="G31" s="15">
        <x:v>0</x:v>
      </x:c>
      <x:c r="H31" s="15">
        <x:v>4</x:v>
      </x:c>
      <x:c r="I31" s="16">
        <x:v>0.666666666666667</x:v>
      </x:c>
      <x:c r="J31" s="17">
        <x:v>3.345</x:v>
      </x:c>
      <x:c r="K31" s="16">
        <x:v>0.185833333333333</x:v>
      </x:c>
    </x:row>
    <x:row r="32" ht="22" customHeight="1">
      <x:c r="A32" s="15" t="s">
        <x:v>1351</x:v>
      </x:c>
      <x:c r="B32" s="15" t="s">
        <x:v>3126</x:v>
      </x:c>
      <x:c r="C32" s="15">
        <x:v>34</x:v>
      </x:c>
      <x:c r="D32" s="15">
        <x:v>12</x:v>
      </x:c>
      <x:c r="E32" s="15">
        <x:v>0</x:v>
      </x:c>
      <x:c r="F32" s="15">
        <x:v>4</x:v>
      </x:c>
      <x:c r="G32" s="15">
        <x:v>9</x:v>
      </x:c>
      <x:c r="H32" s="15">
        <x:v>9</x:v>
      </x:c>
      <x:c r="I32" s="16">
        <x:v>0.470588235294118</x:v>
      </x:c>
      <x:c r="J32" s="17">
        <x:v>-2.94</x:v>
      </x:c>
      <x:c r="K32" s="16">
        <x:v>-0.0864705882352941</x:v>
      </x:c>
    </x:row>
    <x:row r="33" ht="22" customHeight="1">
      <x:c r="A33" s="15" t="s">
        <x:v>1444</x:v>
      </x:c>
      <x:c r="B33" s="15" t="s">
        <x:v>3128</x:v>
      </x:c>
      <x:c r="C33" s="15">
        <x:v>21</x:v>
      </x:c>
      <x:c r="D33" s="15">
        <x:v>11</x:v>
      </x:c>
      <x:c r="E33" s="15">
        <x:v>0</x:v>
      </x:c>
      <x:c r="F33" s="15">
        <x:v>1</x:v>
      </x:c>
      <x:c r="G33" s="15">
        <x:v>2</x:v>
      </x:c>
      <x:c r="H33" s="15">
        <x:v>7</x:v>
      </x:c>
      <x:c r="I33" s="16">
        <x:v>0.578947368421053</x:v>
      </x:c>
      <x:c r="J33" s="17">
        <x:v>1.82</x:v>
      </x:c>
      <x:c r="K33" s="16">
        <x:v>0.0866666666666667</x:v>
      </x:c>
    </x:row>
    <x:row r="34" ht="22" customHeight="1">
      <x:c r="A34" s="15" t="s">
        <x:v>1884</x:v>
      </x:c>
      <x:c r="B34" s="15" t="s">
        <x:v>3120</x:v>
      </x:c>
      <x:c r="C34" s="15">
        <x:v>8</x:v>
      </x:c>
      <x:c r="D34" s="15">
        <x:v>2</x:v>
      </x:c>
      <x:c r="E34" s="15">
        <x:v>1</x:v>
      </x:c>
      <x:c r="F34" s="15">
        <x:v>1</x:v>
      </x:c>
      <x:c r="G34" s="15">
        <x:v>2</x:v>
      </x:c>
      <x:c r="H34" s="15">
        <x:v>2</x:v>
      </x:c>
      <x:c r="I34" s="16">
        <x:v>0.454545454545454</x:v>
      </x:c>
      <x:c r="J34" s="17">
        <x:v>-0.74</x:v>
      </x:c>
      <x:c r="K34" s="16">
        <x:v>-0.0925</x:v>
      </x:c>
    </x:row>
    <x:row r="35" ht="22" customHeight="1">
      <x:c r="A35" s="15" t="s">
        <x:v>1914</x:v>
      </x:c>
      <x:c r="B35" s="15" t="s">
        <x:v>3122</x:v>
      </x:c>
      <x:c r="C35" s="15">
        <x:v>6</x:v>
      </x:c>
      <x:c r="D35" s="15">
        <x:v>3</x:v>
      </x:c>
      <x:c r="E35" s="15">
        <x:v>0</x:v>
      </x:c>
      <x:c r="F35" s="15">
        <x:v>0</x:v>
      </x:c>
      <x:c r="G35" s="15">
        <x:v>1</x:v>
      </x:c>
      <x:c r="H35" s="15">
        <x:v>2</x:v>
      </x:c>
      <x:c r="I35" s="16">
        <x:v>0.545454545454545</x:v>
      </x:c>
      <x:c r="J35" s="17">
        <x:v>0.0199999999999999</x:v>
      </x:c>
      <x:c r="K35" s="16">
        <x:v>0.00333333333333332</x:v>
      </x:c>
    </x:row>
    <x:row r="36" ht="22" customHeight="1">
      <x:c r="A36" s="15" t="s">
        <x:v>1963</x:v>
      </x:c>
      <x:c r="B36" s="15" t="s">
        <x:v>3124</x:v>
      </x:c>
      <x:c r="C36" s="15">
        <x:v>18</x:v>
      </x:c>
      <x:c r="D36" s="15">
        <x:v>9</x:v>
      </x:c>
      <x:c r="E36" s="15">
        <x:v>1</x:v>
      </x:c>
      <x:c r="F36" s="15">
        <x:v>2</x:v>
      </x:c>
      <x:c r="G36" s="15">
        <x:v>2</x:v>
      </x:c>
      <x:c r="H36" s="15">
        <x:v>4</x:v>
      </x:c>
      <x:c r="I36" s="16">
        <x:v>0.655172413793103</x:v>
      </x:c>
      <x:c r="J36" s="17">
        <x:v>3.665</x:v>
      </x:c>
      <x:c r="K36" s="16">
        <x:v>0.203611111111111</x:v>
      </x:c>
    </x:row>
    <x:row r="37" ht="22" customHeight="1">
      <x:c r="A37" s="15" t="s">
        <x:v>2021</x:v>
      </x:c>
      <x:c r="B37" s="15" t="s">
        <x:v>3126</x:v>
      </x:c>
      <x:c r="C37" s="15">
        <x:v>18</x:v>
      </x:c>
      <x:c r="D37" s="15">
        <x:v>5</x:v>
      </x:c>
      <x:c r="E37" s="15">
        <x:v>2</x:v>
      </x:c>
      <x:c r="F37" s="15">
        <x:v>2</x:v>
      </x:c>
      <x:c r="G37" s="15">
        <x:v>3</x:v>
      </x:c>
      <x:c r="H37" s="15">
        <x:v>6</x:v>
      </x:c>
      <x:c r="I37" s="16">
        <x:v>0.444444444444444</x:v>
      </x:c>
      <x:c r="J37" s="17">
        <x:v>-1.91</x:v>
      </x:c>
      <x:c r="K37" s="16">
        <x:v>-0.106111111111111</x:v>
      </x:c>
    </x:row>
    <x:row r="38" ht="22" customHeight="1">
      <x:c r="A38" s="15" t="s">
        <x:v>2087</x:v>
      </x:c>
      <x:c r="B38" s="15" t="s">
        <x:v>3128</x:v>
      </x:c>
      <x:c r="C38" s="15">
        <x:v>12</x:v>
      </x:c>
      <x:c r="D38" s="15">
        <x:v>7</x:v>
      </x:c>
      <x:c r="E38" s="15">
        <x:v>0</x:v>
      </x:c>
      <x:c r="F38" s="15">
        <x:v>2</x:v>
      </x:c>
      <x:c r="G38" s="15">
        <x:v>1</x:v>
      </x:c>
      <x:c r="H38" s="15">
        <x:v>2</x:v>
      </x:c>
      <x:c r="I38" s="16">
        <x:v>0.736842105263158</x:v>
      </x:c>
      <x:c r="J38" s="17">
        <x:v>4.07</x:v>
      </x:c>
      <x:c r="K38" s="16">
        <x:v>0.339166666666667</x:v>
      </x:c>
    </x:row>
    <x:row r="39" ht="22" customHeight="1"/>
  </x:sheetData>
  <x:mergeCells>
    <x:mergeCell ref="A1:K1"/>
    <x:mergeCell ref="A2:K2"/>
    <x:mergeCell ref="A14:K14"/>
    <x:mergeCell ref="A23:K23"/>
  </x:mergeCells>
  <x:pageMargins left="0.7" right="0.7" top="0.75" bottom="0.75" header="0.3" footer="0.3"/>
  <x:tableParts count="3">
    <x:tablePart xmlns:r="http://schemas.openxmlformats.org/officeDocument/2006/relationships" r:id="Rcf6048bc2bc64dcd"/>
    <x:tablePart xmlns:r="http://schemas.openxmlformats.org/officeDocument/2006/relationships" r:id="Rda5c47e4665a4be7"/>
    <x:tablePart xmlns:r="http://schemas.openxmlformats.org/officeDocument/2006/relationships" r:id="R3bd2c01ffa224cb0"/>
  </x:tableParts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ColWidth="9" defaultRowHeight="13.800000190734863"/>
  <x:cols>
    <x:col min="1" max="1" width="16" customWidth="1"/>
    <x:col min="2" max="2" width="10" customWidth="1"/>
    <x:col min="3" max="3" width="22" customWidth="1"/>
    <x:col min="4" max="4" width="10" customWidth="1"/>
    <x:col min="5" max="6" width="12" customWidth="1"/>
    <x:col min="7" max="7" width="10" customWidth="1"/>
    <x:col min="8" max="9" width="12" customWidth="1"/>
    <x:col min="10" max="10" width="10" customWidth="1"/>
    <x:col min="11" max="12" width="12" customWidth="1"/>
    <x:col min="13" max="13" width="10" customWidth="1"/>
    <x:col min="14" max="14" width="24" customWidth="1"/>
    <x:col min="15" max="15" width="30" customWidth="1"/>
  </x:cols>
  <x:sheetData>
    <x:row r="1" ht="28" customHeight="1">
      <x:c r="A1" s="1" t="s">
        <x:v>3134</x:v>
      </x:c>
    </x:row>
    <x:row r="2" ht="42" customHeight="1">
      <x:c r="A2" s="2" t="s">
        <x:v>3135</x:v>
      </x:c>
    </x:row>
    <x:row r="4" ht="24" customHeight="1">
      <x:c r="A4" s="3" t="s">
        <x:v>3136</x:v>
      </x:c>
      <x:c r="B4" s="3" t="s">
        <x:v>3137</x:v>
      </x:c>
      <x:c r="C4" s="3" t="s">
        <x:v>3138</x:v>
      </x:c>
      <x:c r="D4" s="3" t="s">
        <x:v>3139</x:v>
      </x:c>
      <x:c r="E4" s="3" t="s">
        <x:v>3140</x:v>
      </x:c>
      <x:c r="F4" s="3" t="s">
        <x:v>3141</x:v>
      </x:c>
      <x:c r="G4" s="3" t="s">
        <x:v>3142</x:v>
      </x:c>
      <x:c r="H4" s="3" t="s">
        <x:v>3143</x:v>
      </x:c>
      <x:c r="I4" s="3" t="s">
        <x:v>3144</x:v>
      </x:c>
      <x:c r="J4" s="3" t="s">
        <x:v>3145</x:v>
      </x:c>
      <x:c r="K4" s="3" t="s">
        <x:v>3146</x:v>
      </x:c>
      <x:c r="L4" s="3" t="s">
        <x:v>3147</x:v>
      </x:c>
      <x:c r="M4" s="3" t="s">
        <x:v>3148</x:v>
      </x:c>
      <x:c r="N4" s="3" t="s">
        <x:v>3149</x:v>
      </x:c>
      <x:c r="O4" s="3" t="s">
        <x:v>3150</x:v>
      </x:c>
    </x:row>
    <x:row r="5" ht="23" customHeight="1">
      <x:c r="A5" s="4" t="s">
        <x:v>3151</x:v>
      </x:c>
      <x:c r="B5" s="4">
        <x:v>11</x:v>
      </x:c>
      <x:c r="C5" s="5">
        <x:v>0.714285714285714</x:v>
      </x:c>
      <x:c r="D5" s="6">
        <x:v>3.9</x:v>
      </x:c>
      <x:c r="E5" s="5">
        <x:v>0.354545454545455</x:v>
      </x:c>
      <x:c r="F5" s="4">
        <x:v>26</x:v>
      </x:c>
      <x:c r="G5" s="5">
        <x:v>0.833333333333333</x:v>
      </x:c>
      <x:c r="H5" s="6">
        <x:v>12.65</x:v>
      </x:c>
      <x:c r="I5" s="5">
        <x:v>0.486538461538461</x:v>
      </x:c>
      <x:c r="J5" s="4">
        <x:v>37</x:v>
      </x:c>
      <x:c r="K5" s="5">
        <x:v>0.793650793650794</x:v>
      </x:c>
      <x:c r="L5" s="6">
        <x:v>16.55</x:v>
      </x:c>
      <x:c r="M5" s="5">
        <x:v>0.447297297297297</x:v>
      </x:c>
      <x:c r="N5" s="7">
        <x:v>0.620327593448131</x:v>
      </x:c>
      <x:c r="O5" s="4" t="s">
        <x:v>3152</x:v>
      </x:c>
    </x:row>
    <x:row r="6" ht="23" customHeight="1">
      <x:c r="A6" s="4" t="s">
        <x:v>3153</x:v>
      </x:c>
      <x:c r="B6" s="4">
        <x:v>35</x:v>
      </x:c>
      <x:c r="C6" s="5">
        <x:v>0.637931034482759</x:v>
      </x:c>
      <x:c r="D6" s="6">
        <x:v>5.86</x:v>
      </x:c>
      <x:c r="E6" s="5">
        <x:v>0.167428571428571</x:v>
      </x:c>
      <x:c r="F6" s="4">
        <x:v>21</x:v>
      </x:c>
      <x:c r="G6" s="5">
        <x:v>0.65</x:v>
      </x:c>
      <x:c r="H6" s="6">
        <x:v>4.71</x:v>
      </x:c>
      <x:c r="I6" s="5">
        <x:v>0.224285714285714</x:v>
      </x:c>
      <x:c r="J6" s="4">
        <x:v>56</x:v>
      </x:c>
      <x:c r="K6" s="5">
        <x:v>0.642857142857143</x:v>
      </x:c>
      <x:c r="L6" s="6">
        <x:v>10.57</x:v>
      </x:c>
      <x:c r="M6" s="5">
        <x:v>0.18875</x:v>
      </x:c>
      <x:c r="N6" s="7">
        <x:v>0.812343753124937</x:v>
      </x:c>
      <x:c r="O6" s="4" t="s">
        <x:v>3152</x:v>
      </x:c>
    </x:row>
    <x:row r="7" ht="23" customHeight="1">
      <x:c r="A7" s="4" t="s">
        <x:v>3154</x:v>
      </x:c>
      <x:c r="B7" s="4">
        <x:v>46</x:v>
      </x:c>
      <x:c r="C7" s="5">
        <x:v>0.658227848101266</x:v>
      </x:c>
      <x:c r="D7" s="6">
        <x:v>9.76</x:v>
      </x:c>
      <x:c r="E7" s="5">
        <x:v>0.212173913043478</x:v>
      </x:c>
      <x:c r="F7" s="4">
        <x:v>47</x:v>
      </x:c>
      <x:c r="G7" s="5">
        <x:v>0.74390243902439</x:v>
      </x:c>
      <x:c r="H7" s="6">
        <x:v>17.36</x:v>
      </x:c>
      <x:c r="I7" s="5">
        <x:v>0.36936170212766</x:v>
      </x:c>
      <x:c r="J7" s="4">
        <x:v>93</x:v>
      </x:c>
      <x:c r="K7" s="5">
        <x:v>0.701863354037267</x:v>
      </x:c>
      <x:c r="L7" s="6">
        <x:v>27.12</x:v>
      </x:c>
      <x:c r="M7" s="5">
        <x:v>0.291612903225807</x:v>
      </x:c>
      <x:c r="N7" s="7">
        <x:v>0.346133077338453</x:v>
      </x:c>
      <x:c r="O7" s="4" t="s">
        <x:v>3152</x:v>
      </x:c>
    </x:row>
    <x:row r="8" ht="23" customHeight="1">
      <x:c r="A8" s="4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</x:row>
    <x:row r="9" ht="23" customHeight="1">
      <x:c r="A9" s="8" t="s">
        <x:v>3155</x:v>
      </x:c>
    </x:row>
    <x:row r="10" ht="23" customHeight="1">
      <x:c r="A10" s="9" t="s">
        <x:v>3156</x:v>
      </x:c>
      <x:c r="B10" s="9" t="s">
        <x:v>3054</x:v>
      </x:c>
      <x:c r="C10" s="9" t="s">
        <x:v>3157</x:v>
      </x:c>
      <x:c r="D10" s="9" t="s">
        <x:v>3137</x:v>
      </x:c>
      <x:c r="E10" s="9" t="s">
        <x:v>3138</x:v>
      </x:c>
      <x:c r="F10" s="9" t="s">
        <x:v>3139</x:v>
      </x:c>
      <x:c r="G10" s="9" t="s">
        <x:v>3141</x:v>
      </x:c>
      <x:c r="H10" s="9" t="s">
        <x:v>3142</x:v>
      </x:c>
      <x:c r="I10" s="9" t="s">
        <x:v>3143</x:v>
      </x:c>
      <x:c r="J10" s="9" t="s">
        <x:v>3145</x:v>
      </x:c>
      <x:c r="K10" s="9" t="s">
        <x:v>3146</x:v>
      </x:c>
      <x:c r="L10" s="9" t="s">
        <x:v>3147</x:v>
      </x:c>
      <x:c r="M10" s="9" t="s">
        <x:v>3149</x:v>
      </x:c>
      <x:c r="N10" s="9" t="s">
        <x:v>3158</x:v>
      </x:c>
      <x:c r="O10" s="9" t="s">
        <x:v>2923</x:v>
      </x:c>
    </x:row>
    <x:row r="11" ht="23" customHeight="1">
      <x:c r="A11" s="4" t="s">
        <x:v>678</x:v>
      </x:c>
      <x:c r="B11" s="4" t="s">
        <x:v>3159</x:v>
      </x:c>
      <x:c r="C11" s="4" t="s">
        <x:v>678</x:v>
      </x:c>
      <x:c r="D11" s="4">
        <x:v>0</x:v>
      </x:c>
      <x:c r="E11" s="5"/>
      <x:c r="F11" s="6">
        <x:v>0</x:v>
      </x:c>
      <x:c r="G11" s="4">
        <x:v>3</x:v>
      </x:c>
      <x:c r="H11" s="5">
        <x:v>1</x:v>
      </x:c>
      <x:c r="I11" s="6">
        <x:v>2.3</x:v>
      </x:c>
      <x:c r="J11" s="4">
        <x:v>3</x:v>
      </x:c>
      <x:c r="K11" s="5">
        <x:v>1</x:v>
      </x:c>
      <x:c r="L11" s="6">
        <x:v>2.3</x:v>
      </x:c>
      <x:c r="M11" s="7"/>
      <x:c r="N11" s="4" t="s">
        <x:v>3160</x:v>
      </x:c>
      <x:c r="O11" s="4" t="s">
        <x:v>3161</x:v>
      </x:c>
    </x:row>
    <x:row r="12" ht="23" customHeight="1">
      <x:c r="A12" s="4" t="s">
        <x:v>3162</x:v>
      </x:c>
      <x:c r="B12" s="4" t="s">
        <x:v>3159</x:v>
      </x:c>
      <x:c r="C12" s="4" t="s">
        <x:v>3163</x:v>
      </x:c>
      <x:c r="D12" s="4">
        <x:v>0</x:v>
      </x:c>
      <x:c r="E12" s="5"/>
      <x:c r="F12" s="6">
        <x:v>0</x:v>
      </x:c>
      <x:c r="G12" s="4">
        <x:v>6</x:v>
      </x:c>
      <x:c r="H12" s="5">
        <x:v>1</x:v>
      </x:c>
      <x:c r="I12" s="6">
        <x:v>3.88</x:v>
      </x:c>
      <x:c r="J12" s="4">
        <x:v>6</x:v>
      </x:c>
      <x:c r="K12" s="5">
        <x:v>1</x:v>
      </x:c>
      <x:c r="L12" s="6">
        <x:v>3.88</x:v>
      </x:c>
      <x:c r="M12" s="7"/>
      <x:c r="N12" s="4" t="s">
        <x:v>3160</x:v>
      </x:c>
      <x:c r="O12" s="4" t="s">
        <x:v>3161</x:v>
      </x:c>
    </x:row>
    <x:row r="13" ht="23" customHeight="1">
      <x:c r="A13" s="4" t="s">
        <x:v>3164</x:v>
      </x:c>
      <x:c r="B13" s="4" t="s">
        <x:v>3159</x:v>
      </x:c>
      <x:c r="C13" s="4" t="s">
        <x:v>3165</x:v>
      </x:c>
      <x:c r="D13" s="4">
        <x:v>0</x:v>
      </x:c>
      <x:c r="E13" s="5"/>
      <x:c r="F13" s="6">
        <x:v>0</x:v>
      </x:c>
      <x:c r="G13" s="4">
        <x:v>7</x:v>
      </x:c>
      <x:c r="H13" s="5">
        <x:v>0.615384615384615</x:v>
      </x:c>
      <x:c r="I13" s="6">
        <x:v>1.19</x:v>
      </x:c>
      <x:c r="J13" s="4">
        <x:v>7</x:v>
      </x:c>
      <x:c r="K13" s="5">
        <x:v>0.615384615384615</x:v>
      </x:c>
      <x:c r="L13" s="6">
        <x:v>1.19</x:v>
      </x:c>
      <x:c r="M13" s="7"/>
      <x:c r="N13" s="4" t="s">
        <x:v>3160</x:v>
      </x:c>
      <x:c r="O13" s="4" t="s">
        <x:v>3161</x:v>
      </x:c>
    </x:row>
    <x:row r="14" ht="23" customHeight="1">
      <x:c r="A14" s="4" t="s">
        <x:v>927</x:v>
      </x:c>
      <x:c r="B14" s="4" t="s">
        <x:v>3159</x:v>
      </x:c>
      <x:c r="C14" s="4" t="s">
        <x:v>3166</x:v>
      </x:c>
      <x:c r="D14" s="4">
        <x:v>1</x:v>
      </x:c>
      <x:c r="E14" s="5">
        <x:v>1</x:v>
      </x:c>
      <x:c r="F14" s="6">
        <x:v>0.87</x:v>
      </x:c>
      <x:c r="G14" s="4">
        <x:v>4</x:v>
      </x:c>
      <x:c r="H14" s="5">
        <x:v>0.714285714285714</x:v>
      </x:c>
      <x:c r="I14" s="6">
        <x:v>1.045</x:v>
      </x:c>
      <x:c r="J14" s="4">
        <x:v>5</x:v>
      </x:c>
      <x:c r="K14" s="5">
        <x:v>0.777777777777778</x:v>
      </x:c>
      <x:c r="L14" s="6">
        <x:v>1.915</x:v>
      </x:c>
      <x:c r="M14" s="7"/>
      <x:c r="N14" s="4" t="s">
        <x:v>3160</x:v>
      </x:c>
      <x:c r="O14" s="4" t="s">
        <x:v>3167</x:v>
      </x:c>
    </x:row>
    <x:row r="15" ht="23" customHeight="1">
      <x:c r="A15" s="4" t="s">
        <x:v>137</x:v>
      </x:c>
      <x:c r="B15" s="4" t="s">
        <x:v>3159</x:v>
      </x:c>
      <x:c r="C15" s="4" t="s">
        <x:v>137</x:v>
      </x:c>
      <x:c r="D15" s="4">
        <x:v>6</x:v>
      </x:c>
      <x:c r="E15" s="5">
        <x:v>0.636363636363636</x:v>
      </x:c>
      <x:c r="F15" s="6">
        <x:v>1.29</x:v>
      </x:c>
      <x:c r="G15" s="4">
        <x:v>2</x:v>
      </x:c>
      <x:c r="H15" s="5">
        <x:v>1</x:v>
      </x:c>
      <x:c r="I15" s="6">
        <x:v>1.555</x:v>
      </x:c>
      <x:c r="J15" s="4">
        <x:v>8</x:v>
      </x:c>
      <x:c r="K15" s="5">
        <x:v>0.714285714285714</x:v>
      </x:c>
      <x:c r="L15" s="6">
        <x:v>2.845</x:v>
      </x:c>
      <x:c r="M15" s="7"/>
      <x:c r="N15" s="4" t="s">
        <x:v>3160</x:v>
      </x:c>
      <x:c r="O15" s="4" t="s">
        <x:v>3167</x:v>
      </x:c>
    </x:row>
    <x:row r="16" ht="23" customHeight="1">
      <x:c r="A16" s="4" t="s">
        <x:v>587</x:v>
      </x:c>
      <x:c r="B16" s="4" t="s">
        <x:v>3159</x:v>
      </x:c>
      <x:c r="C16" s="4" t="s">
        <x:v>587</x:v>
      </x:c>
      <x:c r="D16" s="4">
        <x:v>0</x:v>
      </x:c>
      <x:c r="E16" s="5"/>
      <x:c r="F16" s="6">
        <x:v>0</x:v>
      </x:c>
      <x:c r="G16" s="4">
        <x:v>4</x:v>
      </x:c>
      <x:c r="H16" s="5">
        <x:v>1</x:v>
      </x:c>
      <x:c r="I16" s="6">
        <x:v>2.68</x:v>
      </x:c>
      <x:c r="J16" s="4">
        <x:v>4</x:v>
      </x:c>
      <x:c r="K16" s="5">
        <x:v>1</x:v>
      </x:c>
      <x:c r="L16" s="6">
        <x:v>2.68</x:v>
      </x:c>
      <x:c r="M16" s="7"/>
      <x:c r="N16" s="4" t="s">
        <x:v>3160</x:v>
      </x:c>
      <x:c r="O16" s="4" t="s">
        <x:v>3161</x:v>
      </x:c>
    </x:row>
    <x:row r="17" ht="23" customHeight="1">
      <x:c r="A17" s="4" t="s">
        <x:v>233</x:v>
      </x:c>
      <x:c r="B17" s="4" t="s">
        <x:v>3159</x:v>
      </x:c>
      <x:c r="C17" s="4" t="s">
        <x:v>233</x:v>
      </x:c>
      <x:c r="D17" s="4">
        <x:v>4</x:v>
      </x:c>
      <x:c r="E17" s="5">
        <x:v>0.75</x:v>
      </x:c>
      <x:c r="F17" s="6">
        <x:v>1.74</x:v>
      </x:c>
      <x:c r="G17" s="4">
        <x:v>0</x:v>
      </x:c>
      <x:c r="H17" s="5"/>
      <x:c r="I17" s="6">
        <x:v>0</x:v>
      </x:c>
      <x:c r="J17" s="4">
        <x:v>4</x:v>
      </x:c>
      <x:c r="K17" s="5">
        <x:v>0.75</x:v>
      </x:c>
      <x:c r="L17" s="6">
        <x:v>1.74</x:v>
      </x:c>
      <x:c r="M17" s="7"/>
      <x:c r="N17" s="4" t="s">
        <x:v>3160</x:v>
      </x:c>
      <x:c r="O17" s="4" t="s">
        <x:v>3161</x:v>
      </x:c>
    </x:row>
    <x:row r="18" ht="23" customHeight="1">
      <x:c r="A18" s="4" t="s">
        <x:v>953</x:v>
      </x:c>
      <x:c r="B18" s="4" t="s">
        <x:v>3168</x:v>
      </x:c>
      <x:c r="C18" s="4" t="s">
        <x:v>953</x:v>
      </x:c>
      <x:c r="D18" s="4">
        <x:v>2</x:v>
      </x:c>
      <x:c r="E18" s="5">
        <x:v>1</x:v>
      </x:c>
      <x:c r="F18" s="6">
        <x:v>1.65</x:v>
      </x:c>
      <x:c r="G18" s="4">
        <x:v>3</x:v>
      </x:c>
      <x:c r="H18" s="5">
        <x:v>1</x:v>
      </x:c>
      <x:c r="I18" s="6">
        <x:v>1.63</x:v>
      </x:c>
      <x:c r="J18" s="4">
        <x:v>5</x:v>
      </x:c>
      <x:c r="K18" s="5">
        <x:v>1</x:v>
      </x:c>
      <x:c r="L18" s="6">
        <x:v>3.28</x:v>
      </x:c>
      <x:c r="M18" s="7"/>
      <x:c r="N18" s="4" t="s">
        <x:v>3160</x:v>
      </x:c>
      <x:c r="O18" s="4" t="s">
        <x:v>3167</x:v>
      </x:c>
    </x:row>
    <x:row r="19" ht="23" customHeight="1">
      <x:c r="A19" s="4" t="s">
        <x:v>865</x:v>
      </x:c>
      <x:c r="B19" s="4" t="s">
        <x:v>3168</x:v>
      </x:c>
      <x:c r="C19" s="4" t="s">
        <x:v>865</x:v>
      </x:c>
      <x:c r="D19" s="4">
        <x:v>0</x:v>
      </x:c>
      <x:c r="E19" s="5"/>
      <x:c r="F19" s="6">
        <x:v>0</x:v>
      </x:c>
      <x:c r="G19" s="4">
        <x:v>3</x:v>
      </x:c>
      <x:c r="H19" s="5">
        <x:v>0.666666666666667</x:v>
      </x:c>
      <x:c r="I19" s="6">
        <x:v>1.06</x:v>
      </x:c>
      <x:c r="J19" s="4">
        <x:v>3</x:v>
      </x:c>
      <x:c r="K19" s="5">
        <x:v>0.666666666666667</x:v>
      </x:c>
      <x:c r="L19" s="6">
        <x:v>1.06</x:v>
      </x:c>
      <x:c r="M19" s="7"/>
      <x:c r="N19" s="4" t="s">
        <x:v>3160</x:v>
      </x:c>
      <x:c r="O19" s="4" t="s">
        <x:v>3161</x:v>
      </x:c>
    </x:row>
    <x:row r="20" ht="23" customHeight="1">
      <x:c r="A20" s="4" t="s">
        <x:v>156</x:v>
      </x:c>
      <x:c r="B20" s="4" t="s">
        <x:v>3168</x:v>
      </x:c>
      <x:c r="C20" s="4" t="s">
        <x:v>156</x:v>
      </x:c>
      <x:c r="D20" s="4">
        <x:v>11</x:v>
      </x:c>
      <x:c r="E20" s="5">
        <x:v>0.6</x:v>
      </x:c>
      <x:c r="F20" s="6">
        <x:v>0.855</x:v>
      </x:c>
      <x:c r="G20" s="4">
        <x:v>5</x:v>
      </x:c>
      <x:c r="H20" s="5">
        <x:v>0.6</x:v>
      </x:c>
      <x:c r="I20" s="6">
        <x:v>0.77</x:v>
      </x:c>
      <x:c r="J20" s="4">
        <x:v>16</x:v>
      </x:c>
      <x:c r="K20" s="5">
        <x:v>0.6</x:v>
      </x:c>
      <x:c r="L20" s="6">
        <x:v>1.625</x:v>
      </x:c>
      <x:c r="M20" s="7">
        <x:v>0.866622667546649</x:v>
      </x:c>
      <x:c r="N20" s="4" t="s">
        <x:v>3169</x:v>
      </x:c>
      <x:c r="O20" s="4" t="s">
        <x:v>3167</x:v>
      </x:c>
    </x:row>
    <x:row r="21" ht="23" customHeight="1">
      <x:c r="A21" s="4" t="s">
        <x:v>145</x:v>
      </x:c>
      <x:c r="B21" s="4" t="s">
        <x:v>3168</x:v>
      </x:c>
      <x:c r="C21" s="4" t="s">
        <x:v>145</x:v>
      </x:c>
      <x:c r="D21" s="4">
        <x:v>7</x:v>
      </x:c>
      <x:c r="E21" s="5">
        <x:v>0.909090909090909</x:v>
      </x:c>
      <x:c r="F21" s="6">
        <x:v>4.19</x:v>
      </x:c>
      <x:c r="G21" s="4">
        <x:v>3</x:v>
      </x:c>
      <x:c r="H21" s="5">
        <x:v>0.333333333333333</x:v>
      </x:c>
      <x:c r="I21" s="6">
        <x:v>-0.95</x:v>
      </x:c>
      <x:c r="J21" s="4">
        <x:v>10</x:v>
      </x:c>
      <x:c r="K21" s="5">
        <x:v>0.705882352941177</x:v>
      </x:c>
      <x:c r="L21" s="6">
        <x:v>3.24</x:v>
      </x:c>
      <x:c r="M21" s="7">
        <x:v>0.155956880862383</x:v>
      </x:c>
      <x:c r="N21" s="4" t="s">
        <x:v>3160</x:v>
      </x:c>
      <x:c r="O21" s="4" t="s">
        <x:v>3170</x:v>
      </x:c>
    </x:row>
    <x:row r="22" ht="23" customHeight="1">
      <x:c r="A22" s="4" t="s">
        <x:v>117</x:v>
      </x:c>
      <x:c r="B22" s="4" t="s">
        <x:v>3168</x:v>
      </x:c>
      <x:c r="C22" s="4" t="s">
        <x:v>117</x:v>
      </x:c>
      <x:c r="D22" s="4">
        <x:v>3</x:v>
      </x:c>
      <x:c r="E22" s="5">
        <x:v>1</x:v>
      </x:c>
      <x:c r="F22" s="6">
        <x:v>2.66</x:v>
      </x:c>
      <x:c r="G22" s="4">
        <x:v>2</x:v>
      </x:c>
      <x:c r="H22" s="5">
        <x:v>0.5</x:v>
      </x:c>
      <x:c r="I22" s="6">
        <x:v>-0.19</x:v>
      </x:c>
      <x:c r="J22" s="4">
        <x:v>5</x:v>
      </x:c>
      <x:c r="K22" s="5">
        <x:v>0.8</x:v>
      </x:c>
      <x:c r="L22" s="6">
        <x:v>2.47</x:v>
      </x:c>
      <x:c r="M22" s="7"/>
      <x:c r="N22" s="4" t="s">
        <x:v>3160</x:v>
      </x:c>
      <x:c r="O22" s="4" t="s">
        <x:v>3171</x:v>
      </x:c>
    </x:row>
    <x:row r="23" ht="23" customHeight="1">
      <x:c r="A23" s="4" t="s">
        <x:v>3172</x:v>
      </x:c>
      <x:c r="B23" s="4" t="s">
        <x:v>3168</x:v>
      </x:c>
      <x:c r="C23" s="4" t="s">
        <x:v>3173</x:v>
      </x:c>
      <x:c r="D23" s="4">
        <x:v>8</x:v>
      </x:c>
      <x:c r="E23" s="5">
        <x:v>0.2</x:v>
      </x:c>
      <x:c r="F23" s="6">
        <x:v>-4.67</x:v>
      </x:c>
      <x:c r="G23" s="4">
        <x:v>2</x:v>
      </x:c>
      <x:c r="H23" s="5">
        <x:v>1</x:v>
      </x:c>
      <x:c r="I23" s="6">
        <x:v>1.84</x:v>
      </x:c>
      <x:c r="J23" s="4">
        <x:v>10</x:v>
      </x:c>
      <x:c r="K23" s="5">
        <x:v>0.368421052631579</x:v>
      </x:c>
      <x:c r="L23" s="6">
        <x:v>-2.83</x:v>
      </x:c>
      <x:c r="M23" s="7"/>
      <x:c r="N23" s="4" t="s">
        <x:v>3160</x:v>
      </x:c>
      <x:c r="O23" s="4" t="s">
        <x:v>3174</x:v>
      </x:c>
    </x:row>
    <x:row r="24" ht="23" customHeight="1">
      <x:c r="A24" s="4" t="s">
        <x:v>3175</x:v>
      </x:c>
      <x:c r="B24" s="4" t="s">
        <x:v>3168</x:v>
      </x:c>
      <x:c r="C24" s="4" t="s">
        <x:v>3176</x:v>
      </x:c>
      <x:c r="D24" s="4">
        <x:v>4</x:v>
      </x:c>
      <x:c r="E24" s="5">
        <x:v>0.714285714285714</x:v>
      </x:c>
      <x:c r="F24" s="6">
        <x:v>1.175</x:v>
      </x:c>
      <x:c r="G24" s="4">
        <x:v>3</x:v>
      </x:c>
      <x:c r="H24" s="5">
        <x:v>0.666666666666667</x:v>
      </x:c>
      <x:c r="I24" s="6">
        <x:v>0.55</x:v>
      </x:c>
      <x:c r="J24" s="4">
        <x:v>7</x:v>
      </x:c>
      <x:c r="K24" s="5">
        <x:v>0.692307692307692</x:v>
      </x:c>
      <x:c r="L24" s="6">
        <x:v>1.725</x:v>
      </x:c>
      <x:c r="M24" s="7">
        <x:v>0.71862562748745</x:v>
      </x:c>
      <x:c r="N24" s="4" t="s">
        <x:v>3160</x:v>
      </x:c>
      <x:c r="O24" s="4" t="s">
        <x:v>3167</x:v>
      </x:c>
    </x:row>
    <x:row r="26" ht="23" customHeight="1">
      <x:c r="A26" s="10" t="s">
        <x:v>3059</x:v>
      </x:c>
    </x:row>
    <x:row r="27" ht="48" customHeight="1">
      <x:c r="A27" s="11" t="s">
        <x:v>3177</x:v>
      </x:c>
    </x:row>
    <x:row r="28" ht="48" customHeight="1"/>
  </x:sheetData>
  <x:mergeCells>
    <x:mergeCell ref="A1:O1"/>
    <x:mergeCell ref="A2:O2"/>
    <x:mergeCell ref="A9:O9"/>
    <x:mergeCell ref="A26:O26"/>
    <x:mergeCell ref="A27:O28"/>
  </x:mergeCells>
  <x:pageMargins left="0.7" right="0.7" top="0.75" bottom="0.75" header="0.3" footer="0.3"/>
  <x:tableParts count="2">
    <x:tablePart xmlns:r="http://schemas.openxmlformats.org/officeDocument/2006/relationships" r:id="Rfa8c16e48823426d"/>
    <x:tablePart xmlns:r="http://schemas.openxmlformats.org/officeDocument/2006/relationships" r:id="Rce07340c44724bb8"/>
  </x:tableParts>
</x:worksheet>
</file>