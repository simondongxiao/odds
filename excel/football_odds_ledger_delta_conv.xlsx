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30720" windowHeight="13055" tabRatio="600" firstSheet="0" activeTab="0" autoFilterDateGrouping="1"/>
  </bookViews>
  <sheets>
    <sheet xmlns:r="http://schemas.openxmlformats.org/officeDocument/2006/relationships" name="汇总" sheetId="1" state="visible" r:id="rId1"/>
    <sheet xmlns:r="http://schemas.openxmlformats.org/officeDocument/2006/relationships" name="赛事明细" sheetId="2" state="visible" r:id="rId2"/>
    <sheet xmlns:r="http://schemas.openxmlformats.org/officeDocument/2006/relationships" name="更新日志" sheetId="3" state="visible" r:id="rId3"/>
    <sheet xmlns:r="http://schemas.openxmlformats.org/officeDocument/2006/relationships" name="分类统计" sheetId="4" state="visible" r:id="rId4"/>
    <sheet xmlns:r="http://schemas.openxmlformats.org/officeDocument/2006/relationships" name="意图正反统计" sheetId="5" state="visible" r:id="rId5"/>
    <sheet xmlns:r="http://schemas.openxmlformats.org/officeDocument/2006/relationships" name="Delta回测" sheetId="6" state="visible" r:id="rId6"/>
    <sheet xmlns:r="http://schemas.openxmlformats.org/officeDocument/2006/relationships" name="周中周末盘口" sheetId="7" state="visible" r:id="rId7"/>
    <sheet xmlns:r="http://schemas.openxmlformats.org/officeDocument/2006/relationships" name="联赛方向周中周末" sheetId="8" state="visible" r:id="rId8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;\-0.000;0.000"/>
    <numFmt numFmtId="166" formatCode="0.000"/>
  </numFmts>
  <fonts count="44">
    <font>
      <name val="Carlito"/>
      <charset val="134"/>
      <sz val="11"/>
    </font>
    <font>
      <name val="Carlito"/>
      <charset val="134"/>
      <b val="1"/>
      <color rgb="FFFFFFFF"/>
      <sz val="14"/>
    </font>
    <font>
      <name val="Carlito"/>
      <charset val="134"/>
      <i val="1"/>
      <color rgb="FF404040"/>
      <sz val="11"/>
    </font>
    <font>
      <name val="Carlito"/>
      <charset val="134"/>
      <b val="1"/>
      <color rgb="FFFFFFFF"/>
      <sz val="11"/>
    </font>
    <font>
      <name val="Carlito"/>
      <charset val="134"/>
      <b val="1"/>
      <color rgb="FF1F1F1F"/>
      <sz val="11"/>
    </font>
    <font>
      <name val="Arial"/>
      <charset val="134"/>
      <b val="1"/>
      <color rgb="FFFFFFFF"/>
      <sz val="14"/>
    </font>
    <font>
      <name val="Arial"/>
      <charset val="134"/>
      <i val="1"/>
      <color rgb="FF404040"/>
      <sz val="11"/>
    </font>
    <font>
      <name val="Arial"/>
      <charset val="134"/>
      <b val="1"/>
      <color rgb="FFFFFFFF"/>
      <sz val="11"/>
    </font>
    <font>
      <name val="Arial"/>
      <charset val="134"/>
      <sz val="10"/>
    </font>
    <font>
      <name val="Arial"/>
      <charset val="134"/>
      <b val="1"/>
      <color rgb="FF1F4E78"/>
      <sz val="10"/>
    </font>
    <font>
      <name val="Arial"/>
      <charset val="134"/>
      <i val="1"/>
      <color rgb="FF595959"/>
      <sz val="10"/>
    </font>
    <font>
      <name val="Arial"/>
      <charset val="134"/>
      <i val="1"/>
      <color rgb="FFC00000"/>
      <sz val="10"/>
    </font>
    <font>
      <name val="Arial"/>
      <charset val="134"/>
      <b val="1"/>
      <color rgb="FFFFFFFF"/>
      <sz val="10"/>
    </font>
    <font>
      <name val="Arial"/>
      <charset val="134"/>
      <color rgb="FF9C0006"/>
      <sz val="10"/>
    </font>
    <font>
      <name val="Carlito"/>
      <charset val="134"/>
      <b val="1"/>
      <color rgb="FFFFFFFF"/>
      <sz val="15"/>
    </font>
    <font>
      <name val="Carlito"/>
      <charset val="134"/>
      <i val="1"/>
      <color rgb="FF404040"/>
      <sz val="9"/>
    </font>
    <font>
      <name val="Carlito"/>
      <charset val="134"/>
      <b val="1"/>
      <color rgb="FF1F4E78"/>
      <sz val="11"/>
    </font>
    <font>
      <name val="Arial"/>
      <charset val="134"/>
      <b val="1"/>
      <color rgb="FFFFFFFF"/>
      <sz val="12"/>
    </font>
    <font>
      <name val="Arial"/>
      <charset val="134"/>
      <b val="1"/>
      <color rgb="FF008000"/>
      <sz val="11"/>
    </font>
    <font>
      <name val="Arial"/>
      <charset val="134"/>
      <b val="1"/>
      <color rgb="FFC00000"/>
      <sz val="11"/>
    </font>
    <font>
      <name val="Arial"/>
      <charset val="134"/>
      <b val="1"/>
      <color rgb="FF7F6000"/>
      <sz val="11"/>
    </font>
    <font>
      <name val="Microsoft YaHei"/>
      <charset val="134"/>
      <b val="1"/>
      <color rgb="FF1F4E78"/>
      <sz val="10"/>
    </font>
    <font>
      <name val="Microsoft YaHei"/>
      <charset val="134"/>
      <sz val="10"/>
    </font>
    <font>
      <name val="Microsoft YaHei"/>
      <charset val="134"/>
      <b val="1"/>
      <color rgb="FFFFFFFF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2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9ECAE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24" fillId="0" borderId="0" applyAlignment="1">
      <alignment vertical="center"/>
    </xf>
    <xf numFmtId="43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41" fontId="24" fillId="0" borderId="0" applyAlignment="1">
      <alignment vertical="center"/>
    </xf>
    <xf numFmtId="42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4" fillId="11" borderId="4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5" applyAlignment="1">
      <alignment vertical="center"/>
    </xf>
    <xf numFmtId="0" fontId="31" fillId="0" borderId="5" applyAlignment="1">
      <alignment vertical="center"/>
    </xf>
    <xf numFmtId="0" fontId="32" fillId="0" borderId="6" applyAlignment="1">
      <alignment vertical="center"/>
    </xf>
    <xf numFmtId="0" fontId="32" fillId="0" borderId="0" applyAlignment="1">
      <alignment vertical="center"/>
    </xf>
    <xf numFmtId="0" fontId="33" fillId="12" borderId="7" applyAlignment="1">
      <alignment vertical="center"/>
    </xf>
    <xf numFmtId="0" fontId="34" fillId="13" borderId="8" applyAlignment="1">
      <alignment vertical="center"/>
    </xf>
    <xf numFmtId="0" fontId="35" fillId="13" borderId="7" applyAlignment="1">
      <alignment vertical="center"/>
    </xf>
    <xf numFmtId="0" fontId="36" fillId="14" borderId="9" applyAlignment="1">
      <alignment vertical="center"/>
    </xf>
    <xf numFmtId="0" fontId="37" fillId="0" borderId="10" applyAlignment="1">
      <alignment vertical="center"/>
    </xf>
    <xf numFmtId="0" fontId="38" fillId="0" borderId="11" applyAlignment="1">
      <alignment vertical="center"/>
    </xf>
    <xf numFmtId="0" fontId="39" fillId="15" borderId="0" applyAlignment="1">
      <alignment vertical="center"/>
    </xf>
    <xf numFmtId="0" fontId="40" fillId="16" borderId="0" applyAlignment="1">
      <alignment vertical="center"/>
    </xf>
    <xf numFmtId="0" fontId="41" fillId="17" borderId="0" applyAlignment="1">
      <alignment vertical="center"/>
    </xf>
    <xf numFmtId="0" fontId="42" fillId="18" borderId="0" applyAlignment="1">
      <alignment vertical="center"/>
    </xf>
    <xf numFmtId="0" fontId="43" fillId="19" borderId="0" applyAlignment="1">
      <alignment vertical="center"/>
    </xf>
    <xf numFmtId="0" fontId="43" fillId="20" borderId="0" applyAlignment="1">
      <alignment vertical="center"/>
    </xf>
    <xf numFmtId="0" fontId="42" fillId="21" borderId="0" applyAlignment="1">
      <alignment vertical="center"/>
    </xf>
    <xf numFmtId="0" fontId="42" fillId="22" borderId="0" applyAlignment="1">
      <alignment vertical="center"/>
    </xf>
    <xf numFmtId="0" fontId="43" fillId="23" borderId="0" applyAlignment="1">
      <alignment vertical="center"/>
    </xf>
    <xf numFmtId="0" fontId="43" fillId="24" borderId="0" applyAlignment="1">
      <alignment vertical="center"/>
    </xf>
    <xf numFmtId="0" fontId="42" fillId="25" borderId="0" applyAlignment="1">
      <alignment vertical="center"/>
    </xf>
    <xf numFmtId="0" fontId="42" fillId="26" borderId="0" applyAlignment="1">
      <alignment vertical="center"/>
    </xf>
    <xf numFmtId="0" fontId="43" fillId="27" borderId="0" applyAlignment="1">
      <alignment vertical="center"/>
    </xf>
    <xf numFmtId="0" fontId="43" fillId="28" borderId="0" applyAlignment="1">
      <alignment vertical="center"/>
    </xf>
    <xf numFmtId="0" fontId="42" fillId="29" borderId="0" applyAlignment="1">
      <alignment vertical="center"/>
    </xf>
    <xf numFmtId="0" fontId="42" fillId="30" borderId="0" applyAlignment="1">
      <alignment vertical="center"/>
    </xf>
    <xf numFmtId="0" fontId="43" fillId="31" borderId="0" applyAlignment="1">
      <alignment vertical="center"/>
    </xf>
    <xf numFmtId="0" fontId="43" fillId="32" borderId="0" applyAlignment="1">
      <alignment vertical="center"/>
    </xf>
    <xf numFmtId="0" fontId="42" fillId="33" borderId="0" applyAlignment="1">
      <alignment vertical="center"/>
    </xf>
    <xf numFmtId="0" fontId="42" fillId="34" borderId="0" applyAlignment="1">
      <alignment vertical="center"/>
    </xf>
    <xf numFmtId="0" fontId="43" fillId="35" borderId="0" applyAlignment="1">
      <alignment vertical="center"/>
    </xf>
    <xf numFmtId="0" fontId="43" fillId="36" borderId="0" applyAlignment="1">
      <alignment vertical="center"/>
    </xf>
    <xf numFmtId="0" fontId="42" fillId="37" borderId="0" applyAlignment="1">
      <alignment vertical="center"/>
    </xf>
    <xf numFmtId="0" fontId="42" fillId="38" borderId="0" applyAlignment="1">
      <alignment vertical="center"/>
    </xf>
    <xf numFmtId="0" fontId="43" fillId="39" borderId="0" applyAlignment="1">
      <alignment vertical="center"/>
    </xf>
    <xf numFmtId="0" fontId="43" fillId="40" borderId="0" applyAlignment="1">
      <alignment vertical="center"/>
    </xf>
    <xf numFmtId="0" fontId="42" fillId="41" borderId="0" applyAlignment="1">
      <alignment vertical="center"/>
    </xf>
    <xf numFmtId="0" fontId="0" fillId="0" borderId="0"/>
  </cellStyleXfs>
  <cellXfs count="93">
    <xf numFmtId="0" fontId="0" fillId="0" borderId="0" pivotButton="0" quotePrefix="0" xfId="49"/>
    <xf numFmtId="0" fontId="1" fillId="2" borderId="0" applyAlignment="1" pivotButton="0" quotePrefix="0" xfId="49">
      <alignment horizontal="left" vertical="center"/>
    </xf>
    <xf numFmtId="0" fontId="2" fillId="3" borderId="0" applyAlignment="1" pivotButton="0" quotePrefix="0" xfId="49">
      <alignment horizontal="left" vertical="center" wrapText="1"/>
    </xf>
    <xf numFmtId="0" fontId="3" fillId="4" borderId="0" applyAlignment="1" pivotButton="0" quotePrefix="0" xfId="49">
      <alignment horizontal="left" vertical="center"/>
    </xf>
    <xf numFmtId="0" fontId="0" fillId="0" borderId="0" applyAlignment="1" pivotButton="0" quotePrefix="0" xfId="49">
      <alignment horizontal="left" vertical="center" wrapText="1"/>
    </xf>
    <xf numFmtId="164" fontId="0" fillId="0" borderId="0" applyAlignment="1" pivotButton="0" quotePrefix="0" xfId="49">
      <alignment horizontal="left" vertical="center" wrapText="1"/>
    </xf>
    <xf numFmtId="165" fontId="0" fillId="0" borderId="0" applyAlignment="1" pivotButton="0" quotePrefix="0" xfId="49">
      <alignment horizontal="left" vertical="center" wrapText="1"/>
    </xf>
    <xf numFmtId="166" fontId="0" fillId="0" borderId="0" applyAlignment="1" pivotButton="0" quotePrefix="0" xfId="49">
      <alignment horizontal="left" vertical="center" wrapText="1"/>
    </xf>
    <xf numFmtId="0" fontId="3" fillId="2" borderId="0" applyAlignment="1" pivotButton="0" quotePrefix="0" xfId="49">
      <alignment horizontal="left" vertical="center" wrapText="1"/>
    </xf>
    <xf numFmtId="0" fontId="3" fillId="4" borderId="0" applyAlignment="1" pivotButton="0" quotePrefix="0" xfId="49">
      <alignment horizontal="left" vertical="center" wrapText="1"/>
    </xf>
    <xf numFmtId="0" fontId="3" fillId="2" borderId="0" applyAlignment="1" pivotButton="0" quotePrefix="0" xfId="49">
      <alignment horizontal="left" vertical="center"/>
    </xf>
    <xf numFmtId="0" fontId="4" fillId="5" borderId="0" applyAlignment="1" pivotButton="0" quotePrefix="0" xfId="49">
      <alignment horizontal="left" vertical="center" wrapText="1"/>
    </xf>
    <xf numFmtId="0" fontId="5" fillId="2" borderId="0" applyAlignment="1" pivotButton="0" quotePrefix="0" xfId="49">
      <alignment horizontal="left" vertical="center"/>
    </xf>
    <xf numFmtId="0" fontId="6" fillId="3" borderId="0" applyAlignment="1" pivotButton="0" quotePrefix="0" xfId="49">
      <alignment horizontal="left" vertical="center" wrapText="1"/>
    </xf>
    <xf numFmtId="0" fontId="7" fillId="4" borderId="0" applyAlignment="1" pivotButton="0" quotePrefix="0" xfId="49">
      <alignment horizontal="left" vertical="center"/>
    </xf>
    <xf numFmtId="0" fontId="8" fillId="0" borderId="0" applyAlignment="1" pivotButton="0" quotePrefix="0" xfId="49">
      <alignment horizontal="left" vertical="center"/>
    </xf>
    <xf numFmtId="164" fontId="8" fillId="0" borderId="0" applyAlignment="1" pivotButton="0" quotePrefix="0" xfId="49">
      <alignment horizontal="left" vertical="center"/>
    </xf>
    <xf numFmtId="165" fontId="8" fillId="0" borderId="0" applyAlignment="1" pivotButton="0" quotePrefix="0" xfId="49">
      <alignment horizontal="left" vertical="center"/>
    </xf>
    <xf numFmtId="0" fontId="7" fillId="2" borderId="0" applyAlignment="1" pivotButton="0" quotePrefix="0" xfId="49">
      <alignment horizontal="left" vertical="center"/>
    </xf>
    <xf numFmtId="0" fontId="9" fillId="0" borderId="0" applyAlignment="1" pivotButton="0" quotePrefix="0" xfId="49">
      <alignment horizontal="left" vertical="center"/>
    </xf>
    <xf numFmtId="0" fontId="10" fillId="0" borderId="0" applyAlignment="1" pivotButton="0" quotePrefix="0" xfId="49">
      <alignment horizontal="left" vertical="center"/>
    </xf>
    <xf numFmtId="0" fontId="11" fillId="0" borderId="0" applyAlignment="1" pivotButton="0" quotePrefix="0" xfId="49">
      <alignment horizontal="left" vertical="center"/>
    </xf>
    <xf numFmtId="0" fontId="12" fillId="2" borderId="0" applyAlignment="1" pivotButton="0" quotePrefix="0" xfId="49">
      <alignment horizontal="left" vertical="center"/>
    </xf>
    <xf numFmtId="0" fontId="12" fillId="6" borderId="1" applyAlignment="1" pivotButton="0" quotePrefix="0" xfId="49">
      <alignment horizontal="left" vertical="center"/>
    </xf>
    <xf numFmtId="166" fontId="8" fillId="0" borderId="0" applyAlignment="1" pivotButton="0" quotePrefix="0" xfId="49">
      <alignment horizontal="left" vertical="center"/>
    </xf>
    <xf numFmtId="0" fontId="0" fillId="0" borderId="0" applyAlignment="1" pivotButton="0" quotePrefix="0" xfId="49">
      <alignment horizontal="left" vertical="center"/>
    </xf>
    <xf numFmtId="0" fontId="13" fillId="7" borderId="0" applyAlignment="1" pivotButton="0" quotePrefix="0" xfId="49">
      <alignment horizontal="left" vertical="top" wrapText="1"/>
    </xf>
    <xf numFmtId="0" fontId="14" fillId="2" borderId="0" applyAlignment="1" pivotButton="0" quotePrefix="0" xfId="49">
      <alignment horizontal="left" vertical="center"/>
    </xf>
    <xf numFmtId="0" fontId="15" fillId="8" borderId="0" applyAlignment="1" pivotButton="0" quotePrefix="0" xfId="49">
      <alignment horizontal="left" vertical="center" wrapText="1"/>
    </xf>
    <xf numFmtId="0" fontId="0" fillId="0" borderId="0" applyAlignment="1" pivotButton="0" quotePrefix="0" xfId="49">
      <alignment horizontal="left"/>
    </xf>
    <xf numFmtId="0" fontId="16" fillId="3" borderId="2" applyAlignment="1" pivotButton="0" quotePrefix="0" xfId="49">
      <alignment horizontal="left" vertical="center" wrapText="1"/>
    </xf>
    <xf numFmtId="0" fontId="16" fillId="0" borderId="2" applyAlignment="1" pivotButton="0" quotePrefix="0" xfId="49">
      <alignment horizontal="left" vertical="center" wrapText="1"/>
    </xf>
    <xf numFmtId="3" fontId="0" fillId="0" borderId="2" applyAlignment="1" pivotButton="0" quotePrefix="0" xfId="49">
      <alignment horizontal="left" vertical="center" wrapText="1"/>
    </xf>
    <xf numFmtId="164" fontId="0" fillId="0" borderId="2" applyAlignment="1" pivotButton="0" quotePrefix="0" xfId="49">
      <alignment horizontal="left" vertical="center" wrapText="1"/>
    </xf>
    <xf numFmtId="165" fontId="0" fillId="0" borderId="2" applyAlignment="1" pivotButton="0" quotePrefix="0" xfId="49">
      <alignment horizontal="left" vertical="center" wrapText="1"/>
    </xf>
    <xf numFmtId="0" fontId="0" fillId="0" borderId="2" applyAlignment="1" pivotButton="0" quotePrefix="0" xfId="49">
      <alignment horizontal="left" vertical="center" wrapText="1"/>
    </xf>
    <xf numFmtId="0" fontId="16" fillId="9" borderId="2" applyAlignment="1" pivotButton="0" quotePrefix="0" xfId="49">
      <alignment horizontal="left" vertical="center" wrapText="1"/>
    </xf>
    <xf numFmtId="3" fontId="16" fillId="9" borderId="2" applyAlignment="1" pivotButton="0" quotePrefix="0" xfId="49">
      <alignment horizontal="left" vertical="center" wrapText="1"/>
    </xf>
    <xf numFmtId="0" fontId="17" fillId="2" borderId="0" applyAlignment="1" pivotButton="0" quotePrefix="0" xfId="49">
      <alignment horizontal="left" vertical="center"/>
    </xf>
    <xf numFmtId="0" fontId="8" fillId="0" borderId="0" applyAlignment="1" pivotButton="0" quotePrefix="0" xfId="49">
      <alignment horizontal="left" vertical="center" wrapText="1"/>
    </xf>
    <xf numFmtId="0" fontId="12" fillId="4" borderId="0" applyAlignment="1" pivotButton="0" quotePrefix="0" xfId="49">
      <alignment horizontal="left" vertical="center" wrapText="1"/>
    </xf>
    <xf numFmtId="0" fontId="8" fillId="0" borderId="0" applyAlignment="1" pivotButton="0" quotePrefix="0" xfId="49">
      <alignment horizontal="left" vertical="center"/>
    </xf>
    <xf numFmtId="164" fontId="8" fillId="0" borderId="0" applyAlignment="1" pivotButton="0" quotePrefix="0" xfId="49">
      <alignment horizontal="left" vertical="center"/>
    </xf>
    <xf numFmtId="165" fontId="8" fillId="0" borderId="0" applyAlignment="1" pivotButton="0" quotePrefix="0" xfId="49">
      <alignment horizontal="left" vertical="center"/>
    </xf>
    <xf numFmtId="0" fontId="8" fillId="3" borderId="0" applyAlignment="1" pivotButton="0" quotePrefix="0" xfId="49">
      <alignment horizontal="left" vertical="center"/>
    </xf>
    <xf numFmtId="164" fontId="8" fillId="3" borderId="0" applyAlignment="1" pivotButton="0" quotePrefix="0" xfId="49">
      <alignment horizontal="left" vertical="center"/>
    </xf>
    <xf numFmtId="165" fontId="8" fillId="3" borderId="0" applyAlignment="1" pivotButton="0" quotePrefix="0" xfId="49">
      <alignment horizontal="left" vertical="center"/>
    </xf>
    <xf numFmtId="0" fontId="1" fillId="2" borderId="0" applyAlignment="1" pivotButton="0" quotePrefix="0" xfId="49">
      <alignment horizontal="left"/>
    </xf>
    <xf numFmtId="0" fontId="3" fillId="4" borderId="2" applyAlignment="1" pivotButton="0" quotePrefix="0" xfId="49">
      <alignment horizontal="left" wrapText="1"/>
    </xf>
    <xf numFmtId="0" fontId="0" fillId="0" borderId="0" applyAlignment="1" pivotButton="0" quotePrefix="0" xfId="49">
      <alignment horizontal="left" vertical="center" wrapText="1"/>
    </xf>
    <xf numFmtId="165" fontId="0" fillId="0" borderId="0" applyAlignment="1" pivotButton="0" quotePrefix="0" xfId="49">
      <alignment horizontal="left" vertical="center" wrapText="1"/>
    </xf>
    <xf numFmtId="0" fontId="3" fillId="4" borderId="2" applyAlignment="1" pivotButton="0" quotePrefix="0" xfId="49">
      <alignment horizontal="left" vertical="center" wrapText="1"/>
    </xf>
    <xf numFmtId="0" fontId="12" fillId="4" borderId="0" applyAlignment="1" pivotButton="0" quotePrefix="0" xfId="49">
      <alignment horizontal="left" vertical="center"/>
    </xf>
    <xf numFmtId="0" fontId="0" fillId="0" borderId="2" applyAlignment="1" pivotButton="0" quotePrefix="0" xfId="49">
      <alignment horizontal="left" vertical="center" wrapText="1"/>
    </xf>
    <xf numFmtId="2" fontId="0" fillId="0" borderId="2" applyAlignment="1" pivotButton="0" quotePrefix="0" xfId="49">
      <alignment horizontal="left" vertical="center" wrapText="1"/>
    </xf>
    <xf numFmtId="164" fontId="0" fillId="0" borderId="2" applyAlignment="1" pivotButton="0" quotePrefix="0" xfId="49">
      <alignment horizontal="left" vertical="center" wrapText="1"/>
    </xf>
    <xf numFmtId="165" fontId="0" fillId="0" borderId="2" applyAlignment="1" pivotButton="0" quotePrefix="0" xfId="49">
      <alignment horizontal="left" vertical="center" wrapText="1"/>
    </xf>
    <xf numFmtId="166" fontId="0" fillId="0" borderId="0" applyAlignment="1" pivotButton="0" quotePrefix="0" xfId="49">
      <alignment horizontal="left" vertical="center"/>
    </xf>
    <xf numFmtId="164" fontId="0" fillId="0" borderId="0" applyAlignment="1" pivotButton="0" quotePrefix="0" xfId="49">
      <alignment horizontal="left" vertical="center"/>
    </xf>
    <xf numFmtId="0" fontId="0" fillId="0" borderId="0" applyAlignment="1" pivotButton="0" quotePrefix="0" xfId="49">
      <alignment horizontal="left" vertical="center"/>
    </xf>
    <xf numFmtId="2" fontId="0" fillId="0" borderId="0" applyAlignment="1" pivotButton="0" quotePrefix="0" xfId="49">
      <alignment horizontal="left" vertical="center" wrapText="1"/>
    </xf>
    <xf numFmtId="164" fontId="0" fillId="0" borderId="0" applyAlignment="1" pivotButton="0" quotePrefix="0" xfId="49">
      <alignment horizontal="left" vertical="center" wrapText="1"/>
    </xf>
    <xf numFmtId="166" fontId="0" fillId="0" borderId="0" applyAlignment="1" pivotButton="0" quotePrefix="0" xfId="49">
      <alignment horizontal="left" vertical="center" wrapText="1"/>
    </xf>
    <xf numFmtId="0" fontId="18" fillId="5" borderId="0" applyAlignment="1" pivotButton="0" quotePrefix="0" xfId="49">
      <alignment horizontal="left" vertical="center" wrapText="1"/>
    </xf>
    <xf numFmtId="0" fontId="19" fillId="7" borderId="0" applyAlignment="1" pivotButton="0" quotePrefix="0" xfId="49">
      <alignment horizontal="left" vertical="center" wrapText="1"/>
    </xf>
    <xf numFmtId="0" fontId="20" fillId="10" borderId="0" applyAlignment="1" pivotButton="0" quotePrefix="0" xfId="49">
      <alignment horizontal="left" vertical="center" wrapText="1"/>
    </xf>
    <xf numFmtId="0" fontId="21" fillId="3" borderId="3" applyAlignment="1" pivotButton="0" quotePrefix="0" xfId="49">
      <alignment horizontal="left" vertical="center"/>
    </xf>
    <xf numFmtId="0" fontId="22" fillId="0" borderId="3" applyAlignment="1" pivotButton="0" quotePrefix="0" xfId="49">
      <alignment horizontal="left" vertical="center" wrapText="1"/>
    </xf>
    <xf numFmtId="0" fontId="22" fillId="0" borderId="0" applyAlignment="1" pivotButton="0" quotePrefix="0" xfId="49">
      <alignment horizontal="left" vertical="center"/>
    </xf>
    <xf numFmtId="0" fontId="22" fillId="0" borderId="3" applyAlignment="1" pivotButton="0" quotePrefix="0" xfId="49">
      <alignment horizontal="left" vertical="center"/>
    </xf>
    <xf numFmtId="0" fontId="22" fillId="0" borderId="2" applyAlignment="1" pivotButton="0" quotePrefix="0" xfId="49">
      <alignment horizontal="left" vertical="center"/>
    </xf>
    <xf numFmtId="165" fontId="22" fillId="0" borderId="3" applyAlignment="1" pivotButton="0" quotePrefix="0" xfId="49">
      <alignment horizontal="left" vertical="center"/>
    </xf>
    <xf numFmtId="164" fontId="22" fillId="0" borderId="3" applyAlignment="1" pivotButton="0" quotePrefix="0" xfId="49">
      <alignment horizontal="left" vertical="center"/>
    </xf>
    <xf numFmtId="0" fontId="23" fillId="4" borderId="2" applyAlignment="1" pivotButton="0" quotePrefix="0" xfId="49">
      <alignment horizontal="left" vertical="center"/>
    </xf>
    <xf numFmtId="0" fontId="22" fillId="8" borderId="0" applyAlignment="1" pivotButton="0" quotePrefix="0" xfId="49">
      <alignment horizontal="left" vertical="top" wrapText="1"/>
    </xf>
    <xf numFmtId="10" fontId="8" fillId="0" borderId="0" applyAlignment="1" pivotButton="0" quotePrefix="0" xfId="49">
      <alignment horizontal="left" vertical="center"/>
    </xf>
    <xf numFmtId="0" fontId="8" fillId="3" borderId="0" applyAlignment="1" pivotButton="0" quotePrefix="0" xfId="49">
      <alignment horizontal="left" vertical="center" wrapText="1"/>
    </xf>
    <xf numFmtId="0" fontId="8" fillId="3" borderId="0" applyAlignment="1" pivotButton="0" quotePrefix="0" xfId="49">
      <alignment horizontal="left" vertical="center" wrapText="1"/>
    </xf>
    <xf numFmtId="0" fontId="0" fillId="0" borderId="0" pivotButton="0" quotePrefix="0" xfId="0"/>
    <xf numFmtId="165" fontId="22" fillId="0" borderId="3" applyAlignment="1" pivotButton="0" quotePrefix="0" xfId="49">
      <alignment horizontal="left" vertical="center"/>
    </xf>
    <xf numFmtId="164" fontId="22" fillId="0" borderId="3" applyAlignment="1" pivotButton="0" quotePrefix="0" xfId="49">
      <alignment horizontal="left" vertical="center"/>
    </xf>
    <xf numFmtId="165" fontId="8" fillId="0" borderId="0" applyAlignment="1" pivotButton="0" quotePrefix="0" xfId="49">
      <alignment horizontal="left" vertical="center"/>
    </xf>
    <xf numFmtId="164" fontId="0" fillId="0" borderId="2" applyAlignment="1" pivotButton="0" quotePrefix="0" xfId="49">
      <alignment horizontal="left" vertical="center" wrapText="1"/>
    </xf>
    <xf numFmtId="165" fontId="0" fillId="0" borderId="2" applyAlignment="1" pivotButton="0" quotePrefix="0" xfId="49">
      <alignment horizontal="left" vertical="center" wrapText="1"/>
    </xf>
    <xf numFmtId="166" fontId="0" fillId="0" borderId="0" applyAlignment="1" pivotButton="0" quotePrefix="0" xfId="49">
      <alignment horizontal="left" vertical="center"/>
    </xf>
    <xf numFmtId="164" fontId="0" fillId="0" borderId="0" applyAlignment="1" pivotButton="0" quotePrefix="0" xfId="49">
      <alignment horizontal="left" vertical="center"/>
    </xf>
    <xf numFmtId="164" fontId="0" fillId="0" borderId="0" applyAlignment="1" pivotButton="0" quotePrefix="0" xfId="49">
      <alignment horizontal="left" vertical="center" wrapText="1"/>
    </xf>
    <xf numFmtId="165" fontId="0" fillId="0" borderId="0" applyAlignment="1" pivotButton="0" quotePrefix="0" xfId="49">
      <alignment horizontal="left" vertical="center" wrapText="1"/>
    </xf>
    <xf numFmtId="166" fontId="0" fillId="0" borderId="0" applyAlignment="1" pivotButton="0" quotePrefix="0" xfId="49">
      <alignment horizontal="left" vertical="center" wrapText="1"/>
    </xf>
    <xf numFmtId="164" fontId="8" fillId="0" borderId="0" applyAlignment="1" pivotButton="0" quotePrefix="0" xfId="49">
      <alignment horizontal="left" vertical="center"/>
    </xf>
    <xf numFmtId="164" fontId="8" fillId="3" borderId="0" applyAlignment="1" pivotButton="0" quotePrefix="0" xfId="49">
      <alignment horizontal="left" vertical="center"/>
    </xf>
    <xf numFmtId="165" fontId="8" fillId="3" borderId="0" applyAlignment="1" pivotButton="0" quotePrefix="0" xfId="49">
      <alignment horizontal="left" vertical="center"/>
    </xf>
    <xf numFmtId="166" fontId="8" fillId="0" borderId="0" applyAlignment="1" pivotButton="0" quotePrefix="0" xfId="49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2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color rgb="FF006100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红/黑平均 Delta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Delta回测!$C$14</f>
              <strCache>
                <ptCount val="1"/>
                <pt idx="0">
                  <v>平均Delta</v>
                </pt>
              </strCache>
            </strRef>
          </tx>
          <spPr>
            <a:ln xmlns:a="http://schemas.openxmlformats.org/drawingml/2006/main">
              <a:noFill/>
              <a:prstDash val="solid"/>
            </a:ln>
          </spPr>
          <invertIfNegative val="0"/>
          <dLbls>
            <delete val="1"/>
          </dLbls>
          <cat>
            <strRef>
              <f>Delta回测!$A$15:$A$16</f>
              <strCache>
                <ptCount val="2"/>
                <pt idx="0">
                  <v>红</v>
                </pt>
                <pt idx="1">
                  <v>黑</v>
                </pt>
              </strCache>
            </strRef>
          </cat>
          <val>
            <numRef>
              <f>Delta回测!$C$15:$C$16</f>
              <numCache>
                <formatCode>0.000</formatCode>
                <ptCount val="2"/>
                <pt idx="0">
                  <v>-0.325091843605606</v>
                </pt>
                <pt idx="1">
                  <v>-0.336840654586348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Delta_Conv</a:t>
                </a:r>
              </a:p>
            </rich>
          </tx>
          <layout/>
          <overlay val="0"/>
        </title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阈值与有效胜率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Delta回测!$D$20</f>
              <strCache>
                <ptCount val="1"/>
                <pt idx="0">
                  <v>有效胜率</v>
                </pt>
              </strCache>
            </strRef>
          </tx>
          <spPr>
            <a:ln xmlns:a="http://schemas.openxmlformats.org/drawingml/2006/main"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strRef>
              <f>Delta回测!$A$21:$A$31</f>
              <strCache>
                <ptCount val="11"/>
                <pt idx="0">
                  <v>|Delta|≤0.030</v>
                </pt>
                <pt idx="1">
                  <v>|Delta|≤0.050</v>
                </pt>
                <pt idx="2">
                  <v>|Delta|≤0.075</v>
                </pt>
                <pt idx="3">
                  <v>|Delta|≤0.100</v>
                </pt>
                <pt idx="4">
                  <v>|Delta|≤0.125</v>
                </pt>
                <pt idx="5">
                  <v>|Delta|≤0.150</v>
                </pt>
                <pt idx="6">
                  <v>|Delta|≤0.200</v>
                </pt>
                <pt idx="7">
                  <v>|Delta|≤0.250</v>
                </pt>
                <pt idx="8">
                  <v>|Delta|≤0.300</v>
                </pt>
                <pt idx="9">
                  <v>|Delta|≤0.400</v>
                </pt>
                <pt idx="10">
                  <v>全部</v>
                </pt>
              </strCache>
            </strRef>
          </cat>
          <val>
            <numRef>
              <f>Delta回测!$D$21:$D$31</f>
              <numCache>
                <formatCode>0.0%</formatCode>
                <ptCount val="11"/>
                <pt idx="0">
                  <v>0</v>
                </pt>
                <pt idx="1">
                  <v>0.125</v>
                </pt>
                <pt idx="2">
                  <v>0.3</v>
                </pt>
                <pt idx="3">
                  <v>0.3125</v>
                </pt>
                <pt idx="4">
                  <v>0.35</v>
                </pt>
                <pt idx="5">
                  <v>0.363636363636364</v>
                </pt>
                <pt idx="6">
                  <v>0.25</v>
                </pt>
                <pt idx="7">
                  <v>0.354166666666667</v>
                </pt>
                <pt idx="8">
                  <v>0.365384615384615</v>
                </pt>
                <pt idx="9">
                  <v>0.35</v>
                </pt>
                <pt idx="10">
                  <v>0.369565217391304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过滤规则</a:t>
                </a:r>
              </a:p>
            </rich>
          </tx>
          <layout/>
          <overlay val="0"/>
        </title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有效胜率</a:t>
                </a:r>
              </a:p>
            </rich>
          </tx>
          <layout/>
          <overlay val="0"/>
        </title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4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19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atchLedger" displayName="MatchLedger" ref="A3:W96" headerRowCount="1" totalsRowShown="0">
  <tableColumns count="23">
    <tableColumn id="1" name="日期筛选"/>
    <tableColumn id="2" name="比赛时间"/>
    <tableColumn id="3" name="地区分布"/>
    <tableColumn id="4" name="赛事类型"/>
    <tableColumn id="5" name="联赛/杯赛"/>
    <tableColumn id="6" name="具体比赛"/>
    <tableColumn id="7" name="即时主水"/>
    <tableColumn id="8" name="即时盘口"/>
    <tableColumn id="9" name="即时客水"/>
    <tableColumn id="10" name="即时亚盘文本"/>
    <tableColumn id="11" name="亚盘意图"/>
    <tableColumn id="12" name="投注方"/>
    <tableColumn id="13" name="综合胜率"/>
    <tableColumn id="14" name="投注动作"/>
    <tableColumn id="15" name="赛果"/>
    <tableColumn id="16" name="结算状态"/>
    <tableColumn id="17" name="红黑"/>
    <tableColumn id="18" name="投注水位"/>
    <tableColumn id="19" name="盈亏(u)"/>
    <tableColumn id="20" name="来源"/>
    <tableColumn id="21" name="反向红黑"/>
    <tableColumn id="22" name="反向水位"/>
    <tableColumn id="23" name="反向盈亏(u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pdateLog" displayName="UpdateLog" ref="A3:J48" headerRowCount="1" totalsRowShown="0">
  <tableColumns count="10">
    <tableColumn id="1" name="更新序号"/>
    <tableColumn id="2" name="记录时间"/>
    <tableColumn id="3" name="网页筛选日期"/>
    <tableColumn id="4" name="页面更新时间"/>
    <tableColumn id="5" name="来源"/>
    <tableColumn id="6" name="本次场次"/>
    <tableColumn id="7" name="已结算"/>
    <tableColumn id="8" name="待结算"/>
    <tableColumn id="9" name="已结算盈亏(u)"/>
    <tableColumn id="10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eekdayWeekendStats" displayName="WeekdayWeekendStats" ref="A4:K12" headerRowCount="1" totalsRowShown="0">
  <tableColumns count="11">
    <tableColumn id="1" name="时段"/>
    <tableColumn id="2" name="投注盘口"/>
    <tableColumn id="3" name="已结算场次"/>
    <tableColumn id="4" name="红"/>
    <tableColumn id="5" name="半红"/>
    <tableColumn id="6" name="走"/>
    <tableColumn id="7" name="半黑"/>
    <tableColumn id="8" name="黑"/>
    <tableColumn id="9" name="有效胜率"/>
    <tableColumn id="10" name="盈亏(u)"/>
    <tableColumn id="11" name="ROI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eekdayDailyStats" displayName="WeekdayDailyStats" ref="A15:K21" headerRowCount="1" totalsRowShown="0">
  <tableColumns count="11">
    <tableColumn id="1" name="星期"/>
    <tableColumn id="2" name="覆盖日期"/>
    <tableColumn id="3" name="已结算场次"/>
    <tableColumn id="4" name="红"/>
    <tableColumn id="5" name="半红"/>
    <tableColumn id="6" name="走"/>
    <tableColumn id="7" name="半黑"/>
    <tableColumn id="8" name="黑"/>
    <tableColumn id="9" name="有效胜率"/>
    <tableColumn id="10" name="盈亏(u)"/>
    <tableColumn id="11" name="ROI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WeekdayCalendarStats" displayName="WeekdayCalendarStats" ref="A24:K38" headerRowCount="1" totalsRowShown="0">
  <tableColumns count="11">
    <tableColumn id="1" name="日期"/>
    <tableColumn id="2" name="星期"/>
    <tableColumn id="3" name="已结算场次"/>
    <tableColumn id="4" name="红"/>
    <tableColumn id="5" name="半红"/>
    <tableColumn id="6" name="走"/>
    <tableColumn id="7" name="半黑"/>
    <tableColumn id="8" name="黑"/>
    <tableColumn id="9" name="有效胜率"/>
    <tableColumn id="10" name="盈亏(u)"/>
    <tableColumn id="11" name="ROI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trategyOverall" displayName="StrategyOverall" ref="A4:O7" headerRowCount="1" totalsRowShown="0">
  <tableColumns count="15">
    <tableColumn id="1" name="组合"/>
    <tableColumn id="2" name="周中N"/>
    <tableColumn id="3" name="周中胜率"/>
    <tableColumn id="4" name="周中盈亏"/>
    <tableColumn id="5" name="周中ROI"/>
    <tableColumn id="6" name="周末N"/>
    <tableColumn id="7" name="周末胜率"/>
    <tableColumn id="8" name="周末盈亏"/>
    <tableColumn id="9" name="周末ROI"/>
    <tableColumn id="10" name="全周N"/>
    <tableColumn id="11" name="全周胜率"/>
    <tableColumn id="12" name="全周盈亏"/>
    <tableColumn id="13" name="全周ROI"/>
    <tableColumn id="14" name="p值"/>
    <tableColumn id="15" name="判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trategyByLeague" displayName="StrategyByLeague" ref="A10:O24" headerRowCount="1" totalsRowShown="0">
  <tableColumns count="15">
    <tableColumn id="1" name="联赛/国家"/>
    <tableColumn id="2" name="方向"/>
    <tableColumn id="3" name="匹配口径"/>
    <tableColumn id="4" name="周中N"/>
    <tableColumn id="5" name="周中胜率"/>
    <tableColumn id="6" name="周中盈亏"/>
    <tableColumn id="7" name="周末N"/>
    <tableColumn id="8" name="周末胜率"/>
    <tableColumn id="9" name="周末盈亏"/>
    <tableColumn id="10" name="全周N"/>
    <tableColumn id="11" name="全周胜率"/>
    <tableColumn id="12" name="全周盈亏"/>
    <tableColumn id="13" name="p值"/>
    <tableColumn id="14" name="判定"/>
    <tableColumn id="15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tabSelected="1" workbookViewId="0">
      <selection activeCell="A1" sqref="A1:F1"/>
    </sheetView>
  </sheetViews>
  <sheetFormatPr baseColWidth="8" defaultColWidth="9" defaultRowHeight="13.8"/>
  <cols>
    <col width="18" customWidth="1" style="78" min="1" max="1"/>
    <col width="54" customWidth="1" style="78" min="2" max="2"/>
    <col width="12" customWidth="1" style="78" min="3" max="4"/>
    <col width="10" customWidth="1" style="78" min="5" max="5"/>
    <col width="18" customWidth="1" style="78" min="6" max="6"/>
  </cols>
  <sheetData>
    <row r="1" ht="28" customHeight="1" s="78">
      <c r="A1" s="12" t="inlineStr">
        <is>
          <t>足球亚盘可投注赛事盈亏账本</t>
        </is>
      </c>
    </row>
    <row r="2">
      <c r="A2" s="59" t="n"/>
      <c r="B2" s="59" t="n"/>
      <c r="C2" s="59" t="n"/>
      <c r="D2" s="59" t="n"/>
      <c r="E2" s="59" t="n"/>
      <c r="F2" s="59" t="n"/>
    </row>
    <row r="3" ht="34" customHeight="1" s="78">
      <c r="A3" s="66" t="inlineStr">
        <is>
          <t>数据源</t>
        </is>
      </c>
      <c r="B3" s="67" t="inlineStr">
        <is>
          <t>GitHub V3 Legacy 最新版（完整链接见更新日志）</t>
        </is>
      </c>
      <c r="C3" s="68" t="n"/>
      <c r="D3" s="18" t="inlineStr">
        <is>
          <t>结算分布（已结算）</t>
        </is>
      </c>
    </row>
    <row r="4" ht="15.6" customHeight="1" s="78">
      <c r="A4" s="66" t="inlineStr">
        <is>
          <t>页面更新时间</t>
        </is>
      </c>
      <c r="B4" s="67" t="inlineStr">
        <is>
          <t>2026-10-04 12:30（北京时间；9/30至10/4增量）</t>
        </is>
      </c>
      <c r="C4" s="68" t="n"/>
      <c r="D4" s="66" t="inlineStr">
        <is>
          <t>结果</t>
        </is>
      </c>
      <c r="E4" s="66" t="inlineStr">
        <is>
          <t>场次</t>
        </is>
      </c>
      <c r="F4" s="66" t="inlineStr">
        <is>
          <t>说明</t>
        </is>
      </c>
    </row>
    <row r="5" ht="38" customHeight="1" s="78">
      <c r="A5" s="66" t="inlineStr">
        <is>
          <t>本次筛选日期</t>
        </is>
      </c>
      <c r="B5" s="67" t="inlineStr">
        <is>
          <t>覆盖记账日：2026-09-01至2026-10-04；新增9/30至10/4冻结记录；历史赛前字段不回刷</t>
        </is>
      </c>
      <c r="C5" s="68" t="n"/>
      <c r="D5" s="69" t="inlineStr">
        <is>
          <t>红</t>
        </is>
      </c>
      <c r="E5" s="69">
        <f>COUNTIFS(赛事明细!$P$4:$P$2000,"已结算",赛事明细!$Q$4:$Q$2000,"红")</f>
        <v/>
      </c>
      <c r="F5" s="69" t="inlineStr">
        <is>
          <t>+即时水位</t>
        </is>
      </c>
    </row>
    <row r="6" ht="15.6" customHeight="1" s="78">
      <c r="A6" s="66" t="inlineStr">
        <is>
          <t>网页可投注场次</t>
        </is>
      </c>
      <c r="B6" s="69">
        <f>COUNTA(赛事明细!F4:F2000)</f>
        <v/>
      </c>
      <c r="C6" s="68" t="n"/>
      <c r="D6" s="70" t="inlineStr">
        <is>
          <t>半红</t>
        </is>
      </c>
      <c r="E6" s="70">
        <f>COUNTIFS(赛事明细!$P$4:$P$2000,"已结算",赛事明细!$Q$4:$Q$2000,"半红")</f>
        <v/>
      </c>
      <c r="F6" s="70" t="inlineStr">
        <is>
          <t>+0.5即时水位</t>
        </is>
      </c>
    </row>
    <row r="7" ht="15.6" customHeight="1" s="78">
      <c r="A7" s="66" t="inlineStr">
        <is>
          <t>已结算场次</t>
        </is>
      </c>
      <c r="B7" s="69">
        <f>COUNTIF(赛事明细!P4:P2000,"已结算")</f>
        <v/>
      </c>
      <c r="C7" s="68" t="n"/>
      <c r="D7" s="70" t="inlineStr">
        <is>
          <t>走</t>
        </is>
      </c>
      <c r="E7" s="70">
        <f>COUNTIFS(赛事明细!$P$4:$P$2000,"已结算",赛事明细!$Q$4:$Q$2000,"走")</f>
        <v/>
      </c>
      <c r="F7" s="70" t="inlineStr">
        <is>
          <t>退回本金</t>
        </is>
      </c>
    </row>
    <row r="8" ht="15.6" customHeight="1" s="78">
      <c r="A8" s="66" t="inlineStr">
        <is>
          <t>待结算场次</t>
        </is>
      </c>
      <c r="B8" s="69">
        <f>B6-B7</f>
        <v/>
      </c>
      <c r="C8" s="68" t="n"/>
      <c r="D8" s="70" t="inlineStr">
        <is>
          <t>半黑</t>
        </is>
      </c>
      <c r="E8" s="70">
        <f>COUNTIFS(赛事明细!$P$4:$P$2000,"已结算",赛事明细!$Q$4:$Q$2000,"半黑")</f>
        <v/>
      </c>
      <c r="F8" s="70" t="inlineStr">
        <is>
          <t>-0.5u</t>
        </is>
      </c>
    </row>
    <row r="9" ht="15.6" customHeight="1" s="78">
      <c r="A9" s="66" t="inlineStr">
        <is>
          <t>总盈亏（u）</t>
        </is>
      </c>
      <c r="B9" s="79">
        <f>SUM(赛事明细!S4:S2000)</f>
        <v/>
      </c>
      <c r="C9" s="68" t="n"/>
      <c r="D9" s="70" t="inlineStr">
        <is>
          <t>黑</t>
        </is>
      </c>
      <c r="E9" s="70">
        <f>COUNTIFS(赛事明细!$P$4:$P$2000,"已结算",赛事明细!$Q$4:$Q$2000,"黑")</f>
        <v/>
      </c>
      <c r="F9" s="70" t="inlineStr">
        <is>
          <t>-1u</t>
        </is>
      </c>
    </row>
    <row r="10" ht="15.6" customHeight="1" s="78">
      <c r="A10" s="66" t="inlineStr">
        <is>
          <t>ROI</t>
        </is>
      </c>
      <c r="B10" s="80">
        <f>IFERROR(B9/B7,0)</f>
        <v/>
      </c>
      <c r="C10" s="68" t="n"/>
      <c r="D10" s="73" t="n"/>
      <c r="E10" s="73" t="n"/>
      <c r="F10" s="73" t="n"/>
    </row>
    <row r="11" ht="26" customHeight="1" s="78">
      <c r="A11" s="68" t="n"/>
      <c r="B11" s="68" t="n"/>
      <c r="C11" s="68" t="n"/>
      <c r="D11" s="74" t="inlineStr"/>
    </row>
    <row r="12" ht="26" customHeight="1" s="78">
      <c r="A12" s="68" t="n"/>
      <c r="B12" s="68" t="n"/>
      <c r="C12" s="68" t="n"/>
    </row>
    <row r="13" ht="26" customHeight="1" s="78">
      <c r="A13" s="68" t="n"/>
      <c r="B13" s="68" t="n"/>
      <c r="C13" s="68" t="n"/>
    </row>
    <row r="14" ht="26" customHeight="1" s="78">
      <c r="A14" s="68" t="n"/>
      <c r="B14" s="68" t="n"/>
      <c r="C14" s="68" t="n"/>
    </row>
    <row r="16" ht="27" customHeight="1" s="78">
      <c r="A16" s="38" t="inlineStr">
        <is>
          <t>09/29–09/29 每日更新（北京时间12:00至次日12:00）</t>
        </is>
      </c>
    </row>
    <row r="17" ht="26" customHeight="1" s="78">
      <c r="A17" s="40" t="inlineStr">
        <is>
          <t>统计日</t>
        </is>
      </c>
      <c r="B17" s="40" t="inlineStr">
        <is>
          <t>入选场次</t>
        </is>
      </c>
      <c r="C17" s="40" t="inlineStr">
        <is>
          <t>已结算</t>
        </is>
      </c>
      <c r="D17" s="40" t="inlineStr">
        <is>
          <t>有效胜率</t>
        </is>
      </c>
      <c r="E17" s="40" t="inlineStr">
        <is>
          <t>盈亏(u)</t>
        </is>
      </c>
      <c r="F17" s="40" t="inlineStr">
        <is>
          <t>ROI</t>
        </is>
      </c>
    </row>
    <row r="18" ht="24" customHeight="1" s="78">
      <c r="A18" s="41" t="inlineStr">
        <is>
          <t>2026-09-29</t>
        </is>
      </c>
      <c r="B18" s="41">
        <f>COUNTIF(赛事明细!$A$4:$A$2000,A18)</f>
        <v/>
      </c>
      <c r="C18" s="41">
        <f>COUNTIFS(赛事明细!$A$4:$A$2000,A18,赛事明细!$P$4:$P$2000,"已结算")</f>
        <v/>
      </c>
      <c r="D18" s="75">
        <f>IF(C18=0,"",IFERROR((COUNTIFS(赛事明细!$A$4:$A$2000,A18,赛事明细!$P$4:$P$2000,"已结算",赛事明细!$Q$4:$Q$2000,"红")+0.5*COUNTIFS(赛事明细!$A$4:$A$2000,A18,赛事明细!$P$4:$P$2000,"已结算",赛事明细!$Q$4:$Q$2000,"半红"))/(COUNTIFS(赛事明细!$A$4:$A$2000,A18,赛事明细!$P$4:$P$2000,"已结算",赛事明细!$Q$4:$Q$2000,"红")+0.5*COUNTIFS(赛事明细!$A$4:$A$2000,A18,赛事明细!$P$4:$P$2000,"已结算",赛事明细!$Q$4:$Q$2000,"半红")+COUNTIFS(赛事明细!$A$4:$A$2000,A18,赛事明细!$P$4:$P$2000,"已结算",赛事明细!$Q$4:$Q$2000,"黑")+0.5*COUNTIFS(赛事明细!$A$4:$A$2000,A18,赛事明细!$P$4:$P$2000,"已结算",赛事明细!$Q$4:$Q$2000,"半黑")),""))</f>
        <v/>
      </c>
      <c r="E18" s="81">
        <f>SUMIFS(赛事明细!$S$4:$S$2000,赛事明细!$A$4:$A$2000,A18,赛事明细!$P$4:$P$2000,"已结算")</f>
        <v/>
      </c>
      <c r="F18" s="75">
        <f>IF(C18=0,"",IFERROR(E18/C18,""))</f>
        <v/>
      </c>
    </row>
    <row r="19" ht="24" customHeight="1" s="78"/>
    <row r="20" ht="42" customHeight="1" s="78">
      <c r="A20" s="77" t="inlineStr">
        <is>
          <t>均注1u；有效胜率=(红+0.5×半红)/(红+0.5×半红+黑+0.5×半黑)，走盘不进胜率分母。ROI=盈亏÷已结算场次；待核实与未完赛不计入盈亏。</t>
        </is>
      </c>
    </row>
    <row r="21" ht="24" customHeight="1" s="78"/>
    <row r="23" ht="42" customHeight="1" s="78">
      <c r="A23" s="77" t="inlineStr">
        <is>
          <t>均注1u；有效胜率=(红+0.5×半红)/(红+0.5×半红+黑+0.5×半黑)，走盘不进胜率分母。ROI=盈亏÷已结算场次；待核实与未完赛不计入盈亏。</t>
        </is>
      </c>
    </row>
  </sheetData>
  <mergeCells count="6">
    <mergeCell ref="A16:F16"/>
    <mergeCell ref="D11:F14"/>
    <mergeCell ref="A1:F1"/>
    <mergeCell ref="A23:F23"/>
    <mergeCell ref="D3:F3"/>
    <mergeCell ref="A20:F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96"/>
  <sheetViews>
    <sheetView showGridLines="0" workbookViewId="0">
      <selection activeCell="A1" sqref="A1:W1"/>
    </sheetView>
  </sheetViews>
  <sheetFormatPr baseColWidth="8" defaultColWidth="9" defaultRowHeight="13.8"/>
  <cols>
    <col width="13" customWidth="1" style="78" min="1" max="1"/>
    <col width="19" customWidth="1" style="78" min="2" max="2"/>
    <col width="23" customWidth="1" style="78" min="3" max="3"/>
    <col width="11" customWidth="1" style="78" min="4" max="5"/>
    <col width="30" customWidth="1" style="78" min="6" max="6"/>
    <col width="10" customWidth="1" style="78" min="7" max="9"/>
    <col width="19" customWidth="1" style="78" min="10" max="10"/>
    <col width="18" customWidth="1" style="78" min="11" max="12"/>
    <col width="11" customWidth="1" style="78" min="13" max="13"/>
    <col width="26" customWidth="1" style="78" min="14" max="14"/>
    <col width="12" customWidth="1" style="78" min="15" max="16"/>
    <col width="10" customWidth="1" style="78" min="17" max="17"/>
    <col width="11" customWidth="1" style="78" min="18" max="19"/>
    <col width="37" customWidth="1" style="78" min="20" max="20"/>
    <col width="11" customWidth="1" style="78" min="21" max="23"/>
    <col width="15" customWidth="1" style="78" min="24" max="42"/>
    <col width="18" customWidth="1" style="78" min="43" max="43"/>
    <col width="15" customWidth="1" style="78" min="44" max="49"/>
    <col width="38" customWidth="1" style="78" min="50" max="50"/>
    <col width="24" customWidth="1" style="78" min="51" max="51"/>
  </cols>
  <sheetData>
    <row r="1" ht="28" customHeight="1" s="78">
      <c r="A1" s="1" t="inlineStr">
        <is>
          <t>赛事明细｜按网页“筛选当日可投注赛事”结果记录</t>
        </is>
      </c>
    </row>
    <row r="2" ht="32" customHeight="1" s="78">
      <c r="A2" s="28" t="inlineStr">
        <is>
          <t>正向=当前“投注方”的结算；反向=相反投注方的结算。新增U:W列用于反向回测，反向红黑按红↔黑、半红↔半黑、走↔走映射，反向水位取即时另一方水位。</t>
        </is>
      </c>
    </row>
    <row r="3" ht="32" customHeight="1" s="78">
      <c r="A3" s="51" t="inlineStr">
        <is>
          <t>日期筛选</t>
        </is>
      </c>
      <c r="B3" s="51" t="inlineStr">
        <is>
          <t>比赛时间</t>
        </is>
      </c>
      <c r="C3" s="51" t="inlineStr">
        <is>
          <t>地区分布</t>
        </is>
      </c>
      <c r="D3" s="51" t="inlineStr">
        <is>
          <t>赛事类型</t>
        </is>
      </c>
      <c r="E3" s="51" t="inlineStr">
        <is>
          <t>联赛/杯赛</t>
        </is>
      </c>
      <c r="F3" s="51" t="inlineStr">
        <is>
          <t>具体比赛</t>
        </is>
      </c>
      <c r="G3" s="51" t="inlineStr">
        <is>
          <t>即时主水</t>
        </is>
      </c>
      <c r="H3" s="51" t="inlineStr">
        <is>
          <t>即时盘口</t>
        </is>
      </c>
      <c r="I3" s="51" t="inlineStr">
        <is>
          <t>即时客水</t>
        </is>
      </c>
      <c r="J3" s="51" t="inlineStr">
        <is>
          <t>即时亚盘文本</t>
        </is>
      </c>
      <c r="K3" s="51" t="inlineStr">
        <is>
          <t>亚盘意图</t>
        </is>
      </c>
      <c r="L3" s="51" t="inlineStr">
        <is>
          <t>投注方</t>
        </is>
      </c>
      <c r="M3" s="51" t="inlineStr">
        <is>
          <t>综合胜率</t>
        </is>
      </c>
      <c r="N3" s="51" t="inlineStr">
        <is>
          <t>投注动作</t>
        </is>
      </c>
      <c r="O3" s="51" t="inlineStr">
        <is>
          <t>赛果</t>
        </is>
      </c>
      <c r="P3" s="51" t="inlineStr">
        <is>
          <t>结算状态</t>
        </is>
      </c>
      <c r="Q3" s="51" t="inlineStr">
        <is>
          <t>红黑</t>
        </is>
      </c>
      <c r="R3" s="51" t="inlineStr">
        <is>
          <t>投注水位</t>
        </is>
      </c>
      <c r="S3" s="51" t="inlineStr">
        <is>
          <t>盈亏(u)</t>
        </is>
      </c>
      <c r="T3" s="51" t="inlineStr">
        <is>
          <t>来源</t>
        </is>
      </c>
      <c r="U3" s="51" t="inlineStr">
        <is>
          <t>反向红黑</t>
        </is>
      </c>
      <c r="V3" s="51" t="inlineStr">
        <is>
          <t>反向水位</t>
        </is>
      </c>
      <c r="W3" s="51" t="inlineStr">
        <is>
          <t>反向盈亏(u)</t>
        </is>
      </c>
      <c r="X3" s="52" t="inlineStr">
        <is>
          <t>初盘主水</t>
        </is>
      </c>
      <c r="Y3" s="52" t="inlineStr">
        <is>
          <t>初盘盘口</t>
        </is>
      </c>
      <c r="Z3" s="52" t="inlineStr">
        <is>
          <t>初盘客水</t>
        </is>
      </c>
      <c r="AA3" s="52" t="inlineStr">
        <is>
          <t>初盘选中盘口</t>
        </is>
      </c>
      <c r="AB3" s="52" t="inlineStr">
        <is>
          <t>初盘投注水位</t>
        </is>
      </c>
      <c r="AC3" s="52" t="inlineStr">
        <is>
          <t>即时投注水位</t>
        </is>
      </c>
      <c r="AD3" s="52" t="inlineStr">
        <is>
          <t>即时主胜欧赔</t>
        </is>
      </c>
      <c r="AE3" s="52" t="inlineStr">
        <is>
          <t>即时平局欧赔</t>
        </is>
      </c>
      <c r="AF3" s="52" t="inlineStr">
        <is>
          <t>即时客胜欧赔</t>
        </is>
      </c>
      <c r="AG3" s="52" t="inlineStr">
        <is>
          <t>欧赔实测抽水率</t>
        </is>
      </c>
      <c r="AH3" s="52" t="inlineStr">
        <is>
          <t>相对5%抽水差</t>
        </is>
      </c>
      <c r="AI3" s="52" t="inlineStr">
        <is>
          <t>去水主胜概率</t>
        </is>
      </c>
      <c r="AJ3" s="52" t="inlineStr">
        <is>
          <t>去水平局概率</t>
        </is>
      </c>
      <c r="AK3" s="52" t="inlineStr">
        <is>
          <t>去水客胜概率</t>
        </is>
      </c>
      <c r="AL3" s="52" t="inlineStr">
        <is>
          <t>拟合主队进球λ</t>
        </is>
      </c>
      <c r="AM3" s="52" t="inlineStr">
        <is>
          <t>拟合客队进球λ</t>
        </is>
      </c>
      <c r="AN3" s="52" t="inlineStr">
        <is>
          <t>1X2拟合RMSE</t>
        </is>
      </c>
      <c r="AO3" s="52" t="inlineStr">
        <is>
          <t>欧转亚理论水位</t>
        </is>
      </c>
      <c r="AP3" s="52" t="inlineStr">
        <is>
          <t>Delta_Conv</t>
        </is>
      </c>
      <c r="AQ3" s="52" t="inlineStr">
        <is>
          <t>Delta定价标签</t>
        </is>
      </c>
      <c r="AR3" s="52" t="inlineStr">
        <is>
          <t>选中即时盘口</t>
        </is>
      </c>
      <c r="AS3" s="52" t="inlineStr">
        <is>
          <t>理论赢结算权重</t>
        </is>
      </c>
      <c r="AT3" s="52" t="inlineStr">
        <is>
          <t>理论输结算权重</t>
        </is>
      </c>
      <c r="AU3" s="52" t="inlineStr">
        <is>
          <t>开盘主胜欧赔</t>
        </is>
      </c>
      <c r="AV3" s="52" t="inlineStr">
        <is>
          <t>开盘平局欧赔</t>
        </is>
      </c>
      <c r="AW3" s="52" t="inlineStr">
        <is>
          <t>开盘客胜欧赔</t>
        </is>
      </c>
      <c r="AX3" s="52" t="inlineStr">
        <is>
          <t>赔率快照来源</t>
        </is>
      </c>
      <c r="AY3" s="52" t="inlineStr">
        <is>
          <t>Delta计算状态</t>
        </is>
      </c>
    </row>
    <row r="4" ht="22" customHeight="1" s="78">
      <c r="A4" s="49" t="inlineStr">
        <is>
          <t>2026-09-30</t>
        </is>
      </c>
      <c r="B4" s="49" t="inlineStr">
        <is>
          <t>2026-10-01 00:00:00</t>
        </is>
      </c>
      <c r="C4" s="49" t="inlineStr">
        <is>
          <t>NATIONAL_OFFICIAL</t>
        </is>
      </c>
      <c r="D4" s="49" t="inlineStr">
        <is>
          <t>杯赛</t>
        </is>
      </c>
      <c r="E4" s="49" t="inlineStr">
        <is>
          <t>非洲杯</t>
        </is>
      </c>
      <c r="F4" s="49" t="inlineStr">
        <is>
          <t>厄立特里亚 vs 南非</t>
        </is>
      </c>
      <c r="G4" s="60" t="n">
        <v>0.99</v>
      </c>
      <c r="H4" s="60" t="n">
        <v>1.5</v>
      </c>
      <c r="I4" s="60" t="n">
        <v>0.83</v>
      </c>
      <c r="J4" s="49" t="inlineStr">
        <is>
          <t>0.99/1.5/0.83</t>
        </is>
      </c>
      <c r="K4" s="49" t="inlineStr">
        <is>
          <t>降温保护/诱下</t>
        </is>
      </c>
      <c r="L4" s="49" t="inlineStr">
        <is>
          <t>厄立特里亚</t>
        </is>
      </c>
      <c r="M4" s="86" t="n">
        <v>0.545135</v>
      </c>
      <c r="N4" s="49" t="inlineStr">
        <is>
          <t>网页可投</t>
        </is>
      </c>
      <c r="O4" s="49" t="inlineStr">
        <is>
          <t>0-5</t>
        </is>
      </c>
      <c r="P4" s="49" t="inlineStr">
        <is>
          <t>已结算</t>
        </is>
      </c>
      <c r="Q4" s="49" t="inlineStr">
        <is>
          <t>黑</t>
        </is>
      </c>
      <c r="R4" s="87" t="n">
        <v>0.99</v>
      </c>
      <c r="S4" s="87" t="n">
        <v>-1</v>
      </c>
      <c r="T4" s="49" t="inlineStr">
        <is>
          <t>D:\codex\v3_legacy\outputs\football_odds_trader\raw\titan007\20261001\20261001_084801_titan007_odds_snapshot.csv</t>
        </is>
      </c>
      <c r="U4" s="49">
        <f>IF(Q4="","",IF(Q4="待结算","待结算",IF(Q4="红","黑",IF(Q4="半红","半黑",IF(Q4="走","走",IF(Q4="半黑","半红","红"))))))</f>
        <v/>
      </c>
      <c r="V4" s="87">
        <f>IF(OR(U4="",U4="待结算"),"",IF(L4=LEFT(F4,FIND(" vs ",F4)-1),I4,G4))</f>
        <v/>
      </c>
      <c r="W4" s="87">
        <f>IF(OR(U4="",U4="待结算"),"",IF(U4="红",V4,IF(U4="半红",V4*0.5,IF(U4="走",0,IF(U4="半黑",-0.5,-1)))))</f>
        <v/>
      </c>
      <c r="X4" s="49" t="n">
        <v>0.95</v>
      </c>
      <c r="Y4" s="49" t="n">
        <v>-1.75</v>
      </c>
      <c r="Z4" s="49" t="n">
        <v>0.8100000000000001</v>
      </c>
      <c r="AA4" s="49" t="n"/>
      <c r="AB4" s="49" t="n"/>
      <c r="AC4" s="49" t="n">
        <v>0.99</v>
      </c>
      <c r="AD4" s="49" t="n">
        <v>8.199999999999999</v>
      </c>
      <c r="AE4" s="49" t="n">
        <v>5.1</v>
      </c>
      <c r="AF4" s="49" t="n">
        <v>1.24</v>
      </c>
      <c r="AG4" s="49" t="n"/>
      <c r="AH4" s="49" t="n"/>
      <c r="AI4" s="49" t="n"/>
      <c r="AJ4" s="49" t="n"/>
      <c r="AK4" s="49" t="n"/>
      <c r="AL4" s="49" t="n"/>
      <c r="AM4" s="49" t="n"/>
      <c r="AN4" s="49" t="n"/>
      <c r="AO4" s="49" t="n"/>
      <c r="AP4" s="49" t="n"/>
      <c r="AQ4" s="49" t="n">
        <v>1.5</v>
      </c>
      <c r="AR4" s="49" t="n"/>
      <c r="AS4" s="49" t="n"/>
      <c r="AT4" s="49" t="n"/>
      <c r="AU4" s="49" t="n"/>
      <c r="AV4" s="49" t="n"/>
      <c r="AW4" s="49" t="n"/>
      <c r="AX4" s="49" t="n"/>
      <c r="AY4" s="49" t="inlineStr">
        <is>
          <t>Titan007 snapshot</t>
        </is>
      </c>
      <c r="AZ4" s="0" t="inlineStr">
        <is>
          <t>新增冻结记录；历史字段缺失处留空</t>
        </is>
      </c>
    </row>
    <row r="5" ht="22" customHeight="1" s="78">
      <c r="A5" s="49" t="inlineStr">
        <is>
          <t>2026-09-30</t>
        </is>
      </c>
      <c r="B5" s="49" t="inlineStr">
        <is>
          <t>2026-10-01 01:00:00</t>
        </is>
      </c>
      <c r="C5" s="49" t="inlineStr">
        <is>
          <t>CONTINENTAL_CLUB</t>
        </is>
      </c>
      <c r="D5" s="49" t="inlineStr">
        <is>
          <t>杯赛</t>
        </is>
      </c>
      <c r="E5" s="49" t="inlineStr">
        <is>
          <t>女欧罗巴杯</t>
        </is>
      </c>
      <c r="F5" s="49" t="inlineStr">
        <is>
          <t>马模女足 vs 圣珀尔滕女足</t>
        </is>
      </c>
      <c r="G5" s="60" t="n">
        <v>0.82</v>
      </c>
      <c r="H5" s="60" t="n">
        <v>1</v>
      </c>
      <c r="I5" s="60" t="n">
        <v>1</v>
      </c>
      <c r="J5" s="49" t="inlineStr">
        <is>
          <t>0.82/1.0/1.0</t>
        </is>
      </c>
      <c r="K5" s="49" t="inlineStr">
        <is>
          <t>诱上/阻下</t>
        </is>
      </c>
      <c r="L5" s="49" t="inlineStr">
        <is>
          <t>马模女足</t>
        </is>
      </c>
      <c r="M5" s="86" t="n">
        <v>0.5950825250000001</v>
      </c>
      <c r="N5" s="49" t="inlineStr">
        <is>
          <t>网页可投</t>
        </is>
      </c>
      <c r="O5" s="49" t="inlineStr">
        <is>
          <t>3-0</t>
        </is>
      </c>
      <c r="P5" s="49" t="inlineStr">
        <is>
          <t>已结算</t>
        </is>
      </c>
      <c r="Q5" s="49" t="inlineStr">
        <is>
          <t>红</t>
        </is>
      </c>
      <c r="R5" s="87" t="n">
        <v>0.82</v>
      </c>
      <c r="S5" s="87" t="n">
        <v>0.82</v>
      </c>
      <c r="T5" s="49" t="inlineStr">
        <is>
          <t>D:\codex\v3_legacy\outputs\football_odds_trader\raw\titan007\20261001\20261001_084801_titan007_odds_snapshot.csv</t>
        </is>
      </c>
      <c r="U5" s="49">
        <f>IF(Q5="","",IF(Q5="待结算","待结算",IF(Q5="红","黑",IF(Q5="半红","半黑",IF(Q5="走","走",IF(Q5="半黑","半红","红"))))))</f>
        <v/>
      </c>
      <c r="V5" s="87">
        <f>IF(OR(U5="",U5="待结算"),"",IF(L5=LEFT(F5,FIND(" vs ",F5)-1),I5,G5))</f>
        <v/>
      </c>
      <c r="W5" s="87">
        <f>IF(OR(U5="",U5="待结算"),"",IF(U5="红",V5,IF(U5="半红",V5*0.5,IF(U5="走",0,IF(U5="半黑",-0.5,-1)))))</f>
        <v/>
      </c>
      <c r="X5" s="49" t="n">
        <v>0.92</v>
      </c>
      <c r="Y5" s="49" t="n">
        <v>1</v>
      </c>
      <c r="Z5" s="49" t="n">
        <v>0.78</v>
      </c>
      <c r="AA5" s="49" t="n"/>
      <c r="AB5" s="49" t="n"/>
      <c r="AC5" s="49" t="n">
        <v>0.82</v>
      </c>
      <c r="AD5" s="49" t="n">
        <v>1.41</v>
      </c>
      <c r="AE5" s="49" t="n">
        <v>3.9</v>
      </c>
      <c r="AF5" s="49" t="n">
        <v>5.3</v>
      </c>
      <c r="AG5" s="49" t="n"/>
      <c r="AH5" s="49" t="n"/>
      <c r="AI5" s="49" t="n"/>
      <c r="AJ5" s="49" t="n"/>
      <c r="AK5" s="49" t="n"/>
      <c r="AL5" s="49" t="n"/>
      <c r="AM5" s="49" t="n"/>
      <c r="AN5" s="49" t="n"/>
      <c r="AO5" s="49" t="n"/>
      <c r="AP5" s="49" t="n"/>
      <c r="AQ5" s="49" t="n">
        <v>1</v>
      </c>
      <c r="AR5" s="49" t="n"/>
      <c r="AS5" s="49" t="n"/>
      <c r="AT5" s="49" t="n"/>
      <c r="AU5" s="49" t="n"/>
      <c r="AV5" s="49" t="n"/>
      <c r="AW5" s="49" t="n"/>
      <c r="AX5" s="49" t="n"/>
      <c r="AY5" s="49" t="inlineStr">
        <is>
          <t>Titan007 snapshot</t>
        </is>
      </c>
      <c r="AZ5" s="0" t="inlineStr">
        <is>
          <t>新增冻结记录；历史字段缺失处留空</t>
        </is>
      </c>
    </row>
    <row r="6" ht="22" customHeight="1" s="78">
      <c r="A6" s="49" t="inlineStr">
        <is>
          <t>2026-09-30</t>
        </is>
      </c>
      <c r="B6" s="49" t="inlineStr">
        <is>
          <t>2026-10-01 02:00:00</t>
        </is>
      </c>
      <c r="C6" s="49" t="inlineStr">
        <is>
          <t>UNKNOWN</t>
        </is>
      </c>
      <c r="D6" s="49" t="inlineStr">
        <is>
          <t>联赛</t>
        </is>
      </c>
      <c r="E6" s="49" t="inlineStr">
        <is>
          <t>比业余</t>
        </is>
      </c>
      <c r="F6" s="49" t="inlineStr">
        <is>
          <t>梅勒尔贝克 vs 迪塞尔</t>
        </is>
      </c>
      <c r="G6" s="60" t="n">
        <v>0.83</v>
      </c>
      <c r="H6" s="60" t="n">
        <v>0.25</v>
      </c>
      <c r="I6" s="60" t="n">
        <v>0.99</v>
      </c>
      <c r="J6" s="49" t="inlineStr">
        <is>
          <t>0.83/0.25/0.99</t>
        </is>
      </c>
      <c r="K6" s="49" t="n"/>
      <c r="L6" s="49" t="inlineStr">
        <is>
          <t>梅勒尔贝克</t>
        </is>
      </c>
      <c r="M6" s="86" t="n">
        <v>0.5760000000000001</v>
      </c>
      <c r="N6" s="49" t="inlineStr">
        <is>
          <t>网页可投</t>
        </is>
      </c>
      <c r="O6" s="49" t="inlineStr">
        <is>
          <t>1-1</t>
        </is>
      </c>
      <c r="P6" s="49" t="inlineStr">
        <is>
          <t>已结算</t>
        </is>
      </c>
      <c r="Q6" s="49" t="inlineStr">
        <is>
          <t>半黑</t>
        </is>
      </c>
      <c r="R6" s="87" t="n">
        <v>0.83</v>
      </c>
      <c r="S6" s="87" t="n">
        <v>-0.5</v>
      </c>
      <c r="T6" s="49" t="inlineStr">
        <is>
          <t>D:\codex\v3_legacy\outputs\football_odds_trader\raw\titan007\20261001\20261001_084801_titan007_odds_snapshot.csv</t>
        </is>
      </c>
      <c r="U6" s="49">
        <f>IF(Q6="","",IF(Q6="待结算","待结算",IF(Q6="红","黑",IF(Q6="半红","半黑",IF(Q6="走","走",IF(Q6="半黑","半红","红"))))))</f>
        <v/>
      </c>
      <c r="V6" s="87">
        <f>IF(OR(U6="",U6="待结算"),"",IF(L6=LEFT(F6,FIND(" vs ",F6)-1),I6,G6))</f>
        <v/>
      </c>
      <c r="W6" s="87">
        <f>IF(OR(U6="",U6="待结算"),"",IF(U6="红",V6,IF(U6="半红",V6*0.5,IF(U6="走",0,IF(U6="半黑",-0.5,-1)))))</f>
        <v/>
      </c>
      <c r="X6" s="49" t="n">
        <v>0.8</v>
      </c>
      <c r="Y6" s="49" t="n">
        <v>0.25</v>
      </c>
      <c r="Z6" s="49" t="n">
        <v>0.96</v>
      </c>
      <c r="AA6" s="49" t="n"/>
      <c r="AB6" s="49" t="n"/>
      <c r="AC6" s="49" t="n">
        <v>0.83</v>
      </c>
      <c r="AD6" s="49" t="n">
        <v>2.01</v>
      </c>
      <c r="AE6" s="49" t="n">
        <v>3.75</v>
      </c>
      <c r="AF6" s="49" t="n">
        <v>2.8</v>
      </c>
      <c r="AG6" s="49" t="n"/>
      <c r="AH6" s="49" t="n"/>
      <c r="AI6" s="49" t="n"/>
      <c r="AJ6" s="49" t="n"/>
      <c r="AK6" s="49" t="n"/>
      <c r="AL6" s="49" t="n"/>
      <c r="AM6" s="49" t="n"/>
      <c r="AN6" s="49" t="n"/>
      <c r="AO6" s="49" t="n"/>
      <c r="AP6" s="49" t="n"/>
      <c r="AQ6" s="49" t="n">
        <v>0.25</v>
      </c>
      <c r="AR6" s="49" t="n"/>
      <c r="AS6" s="49" t="n"/>
      <c r="AT6" s="49" t="n"/>
      <c r="AU6" s="49" t="n"/>
      <c r="AV6" s="49" t="n"/>
      <c r="AW6" s="49" t="n"/>
      <c r="AX6" s="49" t="n"/>
      <c r="AY6" s="49" t="inlineStr">
        <is>
          <t>Titan007 snapshot</t>
        </is>
      </c>
      <c r="AZ6" s="0" t="inlineStr">
        <is>
          <t>新增冻结记录；历史字段缺失处留空</t>
        </is>
      </c>
    </row>
    <row r="7" ht="22" customHeight="1" s="78">
      <c r="A7" s="49" t="inlineStr">
        <is>
          <t>2026-09-30</t>
        </is>
      </c>
      <c r="B7" s="49" t="inlineStr">
        <is>
          <t>2026-10-1 02:00 北京时间（东8区）</t>
        </is>
      </c>
      <c r="C7" s="49" t="inlineStr">
        <is>
          <t>CLUB_CUP</t>
        </is>
      </c>
      <c r="D7" s="49" t="inlineStr">
        <is>
          <t>杯赛</t>
        </is>
      </c>
      <c r="E7" s="49" t="inlineStr">
        <is>
          <t>英女杯</t>
        </is>
      </c>
      <c r="F7" s="49" t="inlineStr">
        <is>
          <t>水晶宫女足 vs 查尔顿竞技女足</t>
        </is>
      </c>
      <c r="G7" s="60" t="n">
        <v>0.85</v>
      </c>
      <c r="H7" s="60" t="n">
        <v>0.75</v>
      </c>
      <c r="I7" s="60" t="n">
        <v>0.85</v>
      </c>
      <c r="J7" s="49" t="inlineStr">
        <is>
          <t>0.85/0.75/0.85</t>
        </is>
      </c>
      <c r="K7" s="49" t="inlineStr">
        <is>
          <t>诱上/阻下</t>
        </is>
      </c>
      <c r="L7" s="49" t="inlineStr">
        <is>
          <t>水晶宫女足</t>
        </is>
      </c>
      <c r="M7" s="86" t="n">
        <v>0.5819257849999999</v>
      </c>
      <c r="N7" s="49" t="inlineStr">
        <is>
          <t>网页可投</t>
        </is>
      </c>
      <c r="O7" s="49" t="inlineStr">
        <is>
          <t>3-0</t>
        </is>
      </c>
      <c r="P7" s="49" t="inlineStr">
        <is>
          <t>已结算</t>
        </is>
      </c>
      <c r="Q7" s="49" t="inlineStr">
        <is>
          <t>红</t>
        </is>
      </c>
      <c r="R7" s="87" t="n">
        <v>0.79</v>
      </c>
      <c r="S7" s="87" t="n">
        <v>0.79</v>
      </c>
      <c r="T7" s="49" t="inlineStr">
        <is>
          <t>D:\codex\v3_legacy\outputs\football_odds_trader\raw\titan007\20261001\20261001_084801_titan007_odds_snapshot.csv</t>
        </is>
      </c>
      <c r="U7" s="49">
        <f>IF(Q7="","",IF(Q7="待结算","待结算",IF(Q7="红","黑",IF(Q7="半红","半黑",IF(Q7="走","走",IF(Q7="半黑","半红","红"))))))</f>
        <v/>
      </c>
      <c r="V7" s="87">
        <f>IF(OR(U7="",U7="待结算"),"",IF(L7=LEFT(F7,FIND(" vs ",F7)-1),I7,G7))</f>
        <v/>
      </c>
      <c r="W7" s="87">
        <f>IF(OR(U7="",U7="待结算"),"",IF(U7="红",V7,IF(U7="半红",V7*0.5,IF(U7="走",0,IF(U7="半黑",-0.5,-1)))))</f>
        <v/>
      </c>
      <c r="X7" s="49" t="n">
        <v>0.8</v>
      </c>
      <c r="Y7" s="49" t="n">
        <v>0.75</v>
      </c>
      <c r="Z7" s="49" t="n">
        <v>0.9</v>
      </c>
      <c r="AA7" s="49" t="n"/>
      <c r="AB7" s="49" t="n"/>
      <c r="AC7" s="49" t="n">
        <v>0.79</v>
      </c>
      <c r="AD7" s="49" t="n">
        <v>1.63</v>
      </c>
      <c r="AE7" s="49" t="n">
        <v>3.5</v>
      </c>
      <c r="AF7" s="49" t="n">
        <v>3.95</v>
      </c>
      <c r="AG7" s="49" t="n"/>
      <c r="AH7" s="49" t="n"/>
      <c r="AI7" s="49" t="n"/>
      <c r="AJ7" s="49" t="n"/>
      <c r="AK7" s="49" t="n"/>
      <c r="AL7" s="49" t="n"/>
      <c r="AM7" s="49" t="n"/>
      <c r="AN7" s="49" t="n"/>
      <c r="AO7" s="49" t="n"/>
      <c r="AP7" s="49" t="n"/>
      <c r="AQ7" s="49" t="n">
        <v>0.75</v>
      </c>
      <c r="AR7" s="49" t="n"/>
      <c r="AS7" s="49" t="n"/>
      <c r="AT7" s="49" t="n"/>
      <c r="AU7" s="49" t="n"/>
      <c r="AV7" s="49" t="n"/>
      <c r="AW7" s="49" t="n"/>
      <c r="AX7" s="49" t="n"/>
      <c r="AY7" s="49" t="inlineStr">
        <is>
          <t>Titan007 snapshot</t>
        </is>
      </c>
      <c r="AZ7" s="0" t="inlineStr">
        <is>
          <t>新增冻结记录；历史字段缺失处留空</t>
        </is>
      </c>
    </row>
    <row r="8" ht="22" customHeight="1" s="78">
      <c r="A8" s="49" t="inlineStr">
        <is>
          <t>2026-09-30</t>
        </is>
      </c>
      <c r="B8" s="49" t="inlineStr">
        <is>
          <t>2026-10-01 02:00:00</t>
        </is>
      </c>
      <c r="C8" s="49" t="inlineStr">
        <is>
          <t>CLUB_CUP</t>
        </is>
      </c>
      <c r="D8" s="49" t="inlineStr">
        <is>
          <t>杯赛</t>
        </is>
      </c>
      <c r="E8" s="49" t="inlineStr">
        <is>
          <t>英女杯</t>
        </is>
      </c>
      <c r="F8" s="49" t="inlineStr">
        <is>
          <t>达勒姆女足 vs 曼联女足</t>
        </is>
      </c>
      <c r="G8" s="60" t="n">
        <v>0.9</v>
      </c>
      <c r="H8" s="60" t="n">
        <v>4.5</v>
      </c>
      <c r="I8" s="60" t="n">
        <v>0.8</v>
      </c>
      <c r="J8" s="49" t="inlineStr">
        <is>
          <t>0.9/4.5/0.8</t>
        </is>
      </c>
      <c r="K8" s="49" t="inlineStr">
        <is>
          <t>诱上/阻下</t>
        </is>
      </c>
      <c r="L8" s="49" t="inlineStr">
        <is>
          <t>曼联女足</t>
        </is>
      </c>
      <c r="M8" s="86" t="n">
        <v>0.5819257849999999</v>
      </c>
      <c r="N8" s="49" t="inlineStr">
        <is>
          <t>网页可投</t>
        </is>
      </c>
      <c r="O8" s="49" t="inlineStr">
        <is>
          <t>1-5</t>
        </is>
      </c>
      <c r="P8" s="49" t="inlineStr">
        <is>
          <t>已结算</t>
        </is>
      </c>
      <c r="Q8" s="49" t="inlineStr">
        <is>
          <t>黑</t>
        </is>
      </c>
      <c r="R8" s="87" t="n">
        <v>0.8</v>
      </c>
      <c r="S8" s="87" t="n">
        <v>-1</v>
      </c>
      <c r="T8" s="49" t="inlineStr">
        <is>
          <t>D:\codex\v3_legacy\outputs\football_odds_trader\raw\titan007\20261001\20261001_084801_titan007_odds_snapshot.csv</t>
        </is>
      </c>
      <c r="U8" s="49">
        <f>IF(Q8="","",IF(Q8="待结算","待结算",IF(Q8="红","黑",IF(Q8="半红","半黑",IF(Q8="走","走",IF(Q8="半黑","半红","红"))))))</f>
        <v/>
      </c>
      <c r="V8" s="87">
        <f>IF(OR(U8="",U8="待结算"),"",IF(L8=LEFT(F8,FIND(" vs ",F8)-1),I8,G8))</f>
        <v/>
      </c>
      <c r="W8" s="87">
        <f>IF(OR(U8="",U8="待结算"),"",IF(U8="红",V8,IF(U8="半红",V8*0.5,IF(U8="走",0,IF(U8="半黑",-0.5,-1)))))</f>
        <v/>
      </c>
      <c r="X8" s="49" t="n">
        <v>0.79</v>
      </c>
      <c r="Y8" s="49" t="n">
        <v>-4.5</v>
      </c>
      <c r="Z8" s="49" t="n">
        <v>0.91</v>
      </c>
      <c r="AA8" s="49" t="n"/>
      <c r="AB8" s="49" t="n"/>
      <c r="AC8" s="49" t="n">
        <v>0.8</v>
      </c>
      <c r="AD8" s="49" t="n">
        <v>13</v>
      </c>
      <c r="AE8" s="49" t="n">
        <v>11</v>
      </c>
      <c r="AF8" s="49" t="n">
        <v>1.01</v>
      </c>
      <c r="AG8" s="49" t="n"/>
      <c r="AH8" s="49" t="n"/>
      <c r="AI8" s="49" t="n"/>
      <c r="AJ8" s="49" t="n"/>
      <c r="AK8" s="49" t="n"/>
      <c r="AL8" s="49" t="n"/>
      <c r="AM8" s="49" t="n"/>
      <c r="AN8" s="49" t="n"/>
      <c r="AO8" s="49" t="n"/>
      <c r="AP8" s="49" t="n"/>
      <c r="AQ8" s="49" t="n">
        <v>4.5</v>
      </c>
      <c r="AR8" s="49" t="n"/>
      <c r="AS8" s="49" t="n"/>
      <c r="AT8" s="49" t="n"/>
      <c r="AU8" s="49" t="n"/>
      <c r="AV8" s="49" t="n"/>
      <c r="AW8" s="49" t="n"/>
      <c r="AX8" s="49" t="n"/>
      <c r="AY8" s="49" t="inlineStr">
        <is>
          <t>Titan007 snapshot</t>
        </is>
      </c>
      <c r="AZ8" s="0" t="inlineStr">
        <is>
          <t>新增冻结记录；历史字段缺失处留空</t>
        </is>
      </c>
    </row>
    <row r="9" ht="22" customHeight="1" s="78">
      <c r="A9" s="49" t="inlineStr">
        <is>
          <t>2026-09-30</t>
        </is>
      </c>
      <c r="B9" s="49" t="inlineStr">
        <is>
          <t>2026-10-01 07:00:00</t>
        </is>
      </c>
      <c r="C9" s="49" t="inlineStr">
        <is>
          <t>CLUB_LEAGUE</t>
        </is>
      </c>
      <c r="D9" s="49" t="inlineStr">
        <is>
          <t>联赛</t>
        </is>
      </c>
      <c r="E9" s="49" t="inlineStr">
        <is>
          <t>美冠联</t>
        </is>
      </c>
      <c r="F9" s="49" t="inlineStr">
        <is>
          <t>布鲁克林 vs 底特律城</t>
        </is>
      </c>
      <c r="G9" s="60" t="n">
        <v>1</v>
      </c>
      <c r="H9" s="60" t="n">
        <v>0.5</v>
      </c>
      <c r="I9" s="60" t="n">
        <v>0.82</v>
      </c>
      <c r="J9" s="49" t="inlineStr">
        <is>
          <t>1.0/0.5/0.82</t>
        </is>
      </c>
      <c r="K9" s="49" t="n"/>
      <c r="L9" s="49" t="inlineStr">
        <is>
          <t>布鲁克林（下盘）</t>
        </is>
      </c>
      <c r="M9" s="86" t="n">
        <v>0.584</v>
      </c>
      <c r="N9" s="49" t="inlineStr">
        <is>
          <t>网页可投</t>
        </is>
      </c>
      <c r="O9" s="49" t="inlineStr">
        <is>
          <t>1-2</t>
        </is>
      </c>
      <c r="P9" s="49" t="inlineStr">
        <is>
          <t>已结算</t>
        </is>
      </c>
      <c r="Q9" s="49" t="inlineStr">
        <is>
          <t>黑半</t>
        </is>
      </c>
      <c r="R9" s="87" t="n">
        <v>1</v>
      </c>
      <c r="S9" s="87" t="n">
        <v>-0.5</v>
      </c>
      <c r="T9" s="49" t="inlineStr">
        <is>
          <t>D:\codex\v3_legacy\outputs\football_odds_trader\raw\titan007\20261001\20261001_084801_titan007_odds_snapshot.csv</t>
        </is>
      </c>
      <c r="U9" s="49">
        <f>IF(Q9="","",IF(Q9="待结算","待结算",IF(Q9="红","黑",IF(Q9="半红","半黑",IF(Q9="走","走",IF(Q9="半黑","半红","红"))))))</f>
        <v/>
      </c>
      <c r="V9" s="87">
        <f>IF(OR(U9="",U9="待结算"),"",IF(L9=LEFT(F9,FIND(" vs ",F9)-1),I9,G9))</f>
        <v/>
      </c>
      <c r="W9" s="87">
        <f>IF(OR(U9="",U9="待结算"),"",IF(U9="红",V9,IF(U9="半红",V9*0.5,IF(U9="走",0,IF(U9="半黑",-0.5,-1)))))</f>
        <v/>
      </c>
      <c r="X9" s="49" t="n">
        <v>0.88</v>
      </c>
      <c r="Y9" s="49" t="n">
        <v>-0.5</v>
      </c>
      <c r="Z9" s="49" t="n">
        <v>0.88</v>
      </c>
      <c r="AA9" s="49" t="n"/>
      <c r="AB9" s="49" t="n"/>
      <c r="AC9" s="49" t="n">
        <v>1</v>
      </c>
      <c r="AD9" s="49" t="n">
        <v>3.75</v>
      </c>
      <c r="AE9" s="49" t="n">
        <v>3.4</v>
      </c>
      <c r="AF9" s="49" t="n">
        <v>1.85</v>
      </c>
      <c r="AG9" s="49" t="n"/>
      <c r="AH9" s="49" t="n"/>
      <c r="AI9" s="49" t="n"/>
      <c r="AJ9" s="49" t="n"/>
      <c r="AK9" s="49" t="n"/>
      <c r="AL9" s="49" t="n"/>
      <c r="AM9" s="49" t="n"/>
      <c r="AN9" s="49" t="n"/>
      <c r="AO9" s="49" t="n"/>
      <c r="AP9" s="49" t="n"/>
      <c r="AQ9" s="49" t="n">
        <v>0.5</v>
      </c>
      <c r="AR9" s="49" t="n"/>
      <c r="AS9" s="49" t="n"/>
      <c r="AT9" s="49" t="n"/>
      <c r="AU9" s="49" t="n"/>
      <c r="AV9" s="49" t="n"/>
      <c r="AW9" s="49" t="n"/>
      <c r="AX9" s="49" t="n"/>
      <c r="AY9" s="49" t="inlineStr">
        <is>
          <t>Titan007 snapshot</t>
        </is>
      </c>
      <c r="AZ9" s="0" t="inlineStr">
        <is>
          <t>新增冻结记录；历史字段缺失处留空</t>
        </is>
      </c>
    </row>
    <row r="10" ht="22" customHeight="1" s="78">
      <c r="A10" s="49" t="inlineStr">
        <is>
          <t>2026-09-30</t>
        </is>
      </c>
      <c r="B10" s="49" t="inlineStr">
        <is>
          <t>2026-10-1 07:00 北京时间（东8区）</t>
        </is>
      </c>
      <c r="C10" s="49" t="inlineStr">
        <is>
          <t>CLUB_LEAGUE</t>
        </is>
      </c>
      <c r="D10" s="49" t="inlineStr">
        <is>
          <t>联赛</t>
        </is>
      </c>
      <c r="E10" s="49" t="inlineStr">
        <is>
          <t>美冠联</t>
        </is>
      </c>
      <c r="F10" s="49" t="inlineStr">
        <is>
          <t>迈阿密FC vs 运动Jax</t>
        </is>
      </c>
      <c r="G10" s="60" t="n">
        <v>0.9399999999999999</v>
      </c>
      <c r="H10" s="60" t="n">
        <v>1</v>
      </c>
      <c r="I10" s="60" t="n">
        <v>0.88</v>
      </c>
      <c r="J10" s="49" t="inlineStr">
        <is>
          <t>0.94/1.0/0.88</t>
        </is>
      </c>
      <c r="K10" s="49" t="n"/>
      <c r="L10" s="49" t="inlineStr">
        <is>
          <t>迈阿密FC（上盘）</t>
        </is>
      </c>
      <c r="M10" s="86" t="n">
        <v>0.523</v>
      </c>
      <c r="N10" s="49" t="inlineStr">
        <is>
          <t>网页可投</t>
        </is>
      </c>
      <c r="O10" s="49" t="inlineStr">
        <is>
          <t>2-1</t>
        </is>
      </c>
      <c r="P10" s="49" t="inlineStr">
        <is>
          <t>已结算</t>
        </is>
      </c>
      <c r="Q10" s="49" t="inlineStr">
        <is>
          <t>红半</t>
        </is>
      </c>
      <c r="R10" s="87" t="n">
        <v>1.02</v>
      </c>
      <c r="S10" s="87" t="n">
        <v>0.51</v>
      </c>
      <c r="T10" s="49" t="inlineStr">
        <is>
          <t>D:\codex\v3_legacy\outputs\football_odds_trader\raw\titan007\20261001\20261001_084801_titan007_odds_snapshot.csv</t>
        </is>
      </c>
      <c r="U10" s="49">
        <f>IF(Q10="","",IF(Q10="待结算","待结算",IF(Q10="红","黑",IF(Q10="半红","半黑",IF(Q10="走","走",IF(Q10="半黑","半红","红"))))))</f>
        <v/>
      </c>
      <c r="V10" s="87">
        <f>IF(OR(U10="",U10="待结算"),"",IF(L10=LEFT(F10,FIND(" vs ",F10)-1),I10,G10))</f>
        <v/>
      </c>
      <c r="W10" s="87">
        <f>IF(OR(U10="",U10="待结算"),"",IF(U10="红",V10,IF(U10="半红",V10*0.5,IF(U10="走",0,IF(U10="半黑",-0.5,-1)))))</f>
        <v/>
      </c>
      <c r="X10" s="49" t="n">
        <v>0.9</v>
      </c>
      <c r="Y10" s="49" t="n">
        <v>0.75</v>
      </c>
      <c r="Z10" s="49" t="n">
        <v>0.86</v>
      </c>
      <c r="AA10" s="49" t="n"/>
      <c r="AB10" s="49" t="n"/>
      <c r="AC10" s="49" t="n">
        <v>1.02</v>
      </c>
      <c r="AD10" s="49" t="n">
        <v>1.55</v>
      </c>
      <c r="AE10" s="49" t="n">
        <v>4.4</v>
      </c>
      <c r="AF10" s="49" t="n">
        <v>4.4</v>
      </c>
      <c r="AG10" s="49" t="n"/>
      <c r="AH10" s="49" t="n"/>
      <c r="AI10" s="49" t="n"/>
      <c r="AJ10" s="49" t="n"/>
      <c r="AK10" s="49" t="n"/>
      <c r="AL10" s="49" t="n"/>
      <c r="AM10" s="49" t="n"/>
      <c r="AN10" s="49" t="n"/>
      <c r="AO10" s="49" t="n"/>
      <c r="AP10" s="49" t="n"/>
      <c r="AQ10" s="49" t="n">
        <v>1</v>
      </c>
      <c r="AR10" s="49" t="n"/>
      <c r="AS10" s="49" t="n"/>
      <c r="AT10" s="49" t="n"/>
      <c r="AU10" s="49" t="n"/>
      <c r="AV10" s="49" t="n"/>
      <c r="AW10" s="49" t="n"/>
      <c r="AX10" s="49" t="n"/>
      <c r="AY10" s="49" t="inlineStr">
        <is>
          <t>Titan007 snapshot</t>
        </is>
      </c>
      <c r="AZ10" s="0" t="inlineStr">
        <is>
          <t>新增冻结记录；历史字段缺失处留空</t>
        </is>
      </c>
    </row>
    <row r="11" ht="22" customHeight="1" s="78">
      <c r="A11" s="49" t="inlineStr">
        <is>
          <t>2026-09-30</t>
        </is>
      </c>
      <c r="B11" s="49" t="inlineStr">
        <is>
          <t>2026-10-1 10:00 北京时间（东8区）</t>
        </is>
      </c>
      <c r="C11" s="49" t="inlineStr">
        <is>
          <t>CLUB_LEAGUE</t>
        </is>
      </c>
      <c r="D11" s="49" t="inlineStr">
        <is>
          <t>联赛</t>
        </is>
      </c>
      <c r="E11" s="49" t="inlineStr">
        <is>
          <t>美冠联</t>
        </is>
      </c>
      <c r="F11" s="49" t="inlineStr">
        <is>
          <t>萨克拉门托 vs 拉斯维加斯之光</t>
        </is>
      </c>
      <c r="G11" s="60" t="n">
        <v>0.79</v>
      </c>
      <c r="H11" s="60" t="n">
        <v>0.75</v>
      </c>
      <c r="I11" s="60" t="n">
        <v>1.03</v>
      </c>
      <c r="J11" s="49" t="inlineStr">
        <is>
          <t>0.79/0.75/1.03</t>
        </is>
      </c>
      <c r="K11" s="49" t="n"/>
      <c r="L11" s="49" t="inlineStr">
        <is>
          <t>拉斯维加斯之光（下盘）</t>
        </is>
      </c>
      <c r="M11" s="86" t="n">
        <v>0.546</v>
      </c>
      <c r="N11" s="49" t="inlineStr">
        <is>
          <t>网页可投</t>
        </is>
      </c>
      <c r="O11" s="49" t="inlineStr">
        <is>
          <t>3-2</t>
        </is>
      </c>
      <c r="P11" s="49" t="inlineStr">
        <is>
          <t>已结算</t>
        </is>
      </c>
      <c r="Q11" s="49" t="inlineStr">
        <is>
          <t>黑半</t>
        </is>
      </c>
      <c r="R11" s="87" t="n">
        <v>0.97</v>
      </c>
      <c r="S11" s="87" t="n">
        <v>-0.5</v>
      </c>
      <c r="T11" s="49" t="inlineStr">
        <is>
          <t>D:\codex\v3_legacy\outputs\football_odds_trader\raw\titan007\20261002\20261002_081559_titan007_odds_snapshot.csv</t>
        </is>
      </c>
      <c r="U11" s="49">
        <f>IF(Q11="","",IF(Q11="待结算","待结算",IF(Q11="红","黑",IF(Q11="半红","半黑",IF(Q11="走","走",IF(Q11="半黑","半红","红"))))))</f>
        <v/>
      </c>
      <c r="V11" s="87">
        <f>IF(OR(U11="",U11="待结算"),"",IF(L11=LEFT(F11,FIND(" vs ",F11)-1),I11,G11))</f>
        <v/>
      </c>
      <c r="W11" s="87">
        <f>IF(OR(U11="",U11="待结算"),"",IF(U11="红",V11,IF(U11="半红",V11*0.5,IF(U11="走",0,IF(U11="半黑",-0.5,-1)))))</f>
        <v/>
      </c>
      <c r="X11" s="49" t="n">
        <v>0.96</v>
      </c>
      <c r="Y11" s="49" t="n">
        <v>1</v>
      </c>
      <c r="Z11" s="49" t="n">
        <v>0.8</v>
      </c>
      <c r="AA11" s="49" t="n"/>
      <c r="AB11" s="49" t="n"/>
      <c r="AC11" s="49" t="n">
        <v>0.97</v>
      </c>
      <c r="AD11" s="49" t="n">
        <v>1.64</v>
      </c>
      <c r="AE11" s="49" t="n">
        <v>3.65</v>
      </c>
      <c r="AF11" s="49" t="n">
        <v>4.65</v>
      </c>
      <c r="AG11" s="49" t="n"/>
      <c r="AH11" s="49" t="n"/>
      <c r="AI11" s="49" t="n"/>
      <c r="AJ11" s="49" t="n"/>
      <c r="AK11" s="49" t="n"/>
      <c r="AL11" s="49" t="n"/>
      <c r="AM11" s="49" t="n"/>
      <c r="AN11" s="49" t="n"/>
      <c r="AO11" s="49" t="n"/>
      <c r="AP11" s="49" t="n"/>
      <c r="AQ11" s="49" t="n">
        <v>0.75</v>
      </c>
      <c r="AR11" s="49" t="n"/>
      <c r="AS11" s="49" t="n"/>
      <c r="AT11" s="49" t="n"/>
      <c r="AU11" s="49" t="n"/>
      <c r="AV11" s="49" t="n"/>
      <c r="AW11" s="49" t="n"/>
      <c r="AX11" s="49" t="n"/>
      <c r="AY11" s="49" t="inlineStr">
        <is>
          <t>Titan007 snapshot</t>
        </is>
      </c>
      <c r="AZ11" s="0" t="inlineStr">
        <is>
          <t>新增冻结记录；历史字段缺失处留空</t>
        </is>
      </c>
    </row>
    <row r="12" ht="22" customHeight="1" s="78">
      <c r="A12" s="49" t="inlineStr">
        <is>
          <t>2026-09-30</t>
        </is>
      </c>
      <c r="B12" s="49" t="inlineStr">
        <is>
          <t>2026-9-30 17:00 北京时间（东8区）</t>
        </is>
      </c>
      <c r="C12" s="49" t="inlineStr">
        <is>
          <t>NATIONAL_OFFICIAL</t>
        </is>
      </c>
      <c r="D12" s="49" t="inlineStr">
        <is>
          <t>杯赛</t>
        </is>
      </c>
      <c r="E12" s="49" t="inlineStr">
        <is>
          <t>东盟杯</t>
        </is>
      </c>
      <c r="F12" s="49" t="inlineStr">
        <is>
          <t>东帝汶(中) vs 柬埔寨</t>
        </is>
      </c>
      <c r="G12" s="60" t="n">
        <v>0.99</v>
      </c>
      <c r="H12" s="60" t="n">
        <v>1.25</v>
      </c>
      <c r="I12" s="60" t="n">
        <v>0.77</v>
      </c>
      <c r="J12" s="49" t="inlineStr">
        <is>
          <t>0.99/1.25/0.77</t>
        </is>
      </c>
      <c r="K12" s="49" t="inlineStr">
        <is>
          <t>降温保护/诱下</t>
        </is>
      </c>
      <c r="L12" s="49" t="inlineStr">
        <is>
          <t>东帝汶(中)</t>
        </is>
      </c>
      <c r="M12" s="86" t="n">
        <v>0.545135</v>
      </c>
      <c r="N12" s="49" t="inlineStr">
        <is>
          <t>网页可投</t>
        </is>
      </c>
      <c r="O12" s="49" t="inlineStr">
        <is>
          <t>2-2</t>
        </is>
      </c>
      <c r="P12" s="49" t="inlineStr">
        <is>
          <t>已结算</t>
        </is>
      </c>
      <c r="Q12" s="49" t="inlineStr">
        <is>
          <t>红</t>
        </is>
      </c>
      <c r="R12" s="87" t="n">
        <v>0.99</v>
      </c>
      <c r="S12" s="87" t="n">
        <v>0.99</v>
      </c>
      <c r="T12" s="49" t="inlineStr">
        <is>
          <t>D:\codex\v3_legacy\outputs\football_odds_trader\raw\titan007\20261001\20261001_084801_titan007_odds_snapshot.csv</t>
        </is>
      </c>
      <c r="U12" s="49">
        <f>IF(Q12="","",IF(Q12="待结算","待结算",IF(Q12="红","黑",IF(Q12="半红","半黑",IF(Q12="走","走",IF(Q12="半黑","半红","红"))))))</f>
        <v/>
      </c>
      <c r="V12" s="87">
        <f>IF(OR(U12="",U12="待结算"),"",IF(L12=LEFT(F12,FIND(" vs ",F12)-1),I12,G12))</f>
        <v/>
      </c>
      <c r="W12" s="87">
        <f>IF(OR(U12="",U12="待结算"),"",IF(U12="红",V12,IF(U12="半红",V12*0.5,IF(U12="走",0,IF(U12="半黑",-0.5,-1)))))</f>
        <v/>
      </c>
      <c r="X12" s="49" t="n">
        <v>0.99</v>
      </c>
      <c r="Y12" s="49" t="n">
        <v>-1.5</v>
      </c>
      <c r="Z12" s="49" t="n">
        <v>0.83</v>
      </c>
      <c r="AA12" s="49" t="n"/>
      <c r="AB12" s="49" t="n"/>
      <c r="AC12" s="49" t="n">
        <v>0.99</v>
      </c>
      <c r="AD12" s="49" t="n">
        <v>6.7</v>
      </c>
      <c r="AE12" s="49" t="n">
        <v>4.65</v>
      </c>
      <c r="AF12" s="49" t="n">
        <v>1.28</v>
      </c>
      <c r="AG12" s="49" t="n"/>
      <c r="AH12" s="49" t="n"/>
      <c r="AI12" s="49" t="n"/>
      <c r="AJ12" s="49" t="n"/>
      <c r="AK12" s="49" t="n"/>
      <c r="AL12" s="49" t="n"/>
      <c r="AM12" s="49" t="n"/>
      <c r="AN12" s="49" t="n"/>
      <c r="AO12" s="49" t="n"/>
      <c r="AP12" s="49" t="n"/>
      <c r="AQ12" s="49" t="n">
        <v>1.25</v>
      </c>
      <c r="AR12" s="49" t="n"/>
      <c r="AS12" s="49" t="n"/>
      <c r="AT12" s="49" t="n"/>
      <c r="AU12" s="49" t="n"/>
      <c r="AV12" s="49" t="n"/>
      <c r="AW12" s="49" t="n"/>
      <c r="AX12" s="49" t="n"/>
      <c r="AY12" s="49" t="inlineStr">
        <is>
          <t>Titan007 snapshot</t>
        </is>
      </c>
      <c r="AZ12" s="0" t="inlineStr">
        <is>
          <t>新增冻结记录；历史字段缺失处留空</t>
        </is>
      </c>
    </row>
    <row r="13" ht="22" customHeight="1" s="78">
      <c r="A13" s="49" t="inlineStr">
        <is>
          <t>2026-09-30</t>
        </is>
      </c>
      <c r="B13" s="49" t="inlineStr">
        <is>
          <t>2026-09-30 22:00:00</t>
        </is>
      </c>
      <c r="C13" s="49" t="inlineStr">
        <is>
          <t>CONTINENTAL_CLUB</t>
        </is>
      </c>
      <c r="D13" s="49" t="inlineStr">
        <is>
          <t>杯赛</t>
        </is>
      </c>
      <c r="E13" s="49" t="inlineStr">
        <is>
          <t>女欧罗巴杯</t>
        </is>
      </c>
      <c r="F13" s="49" t="inlineStr">
        <is>
          <t>化奴女足 vs 布拉格斯巴达女足</t>
        </is>
      </c>
      <c r="G13" s="60" t="n">
        <v>0.86</v>
      </c>
      <c r="H13" s="60" t="n">
        <v>1.5</v>
      </c>
      <c r="I13" s="60" t="n">
        <v>0.84</v>
      </c>
      <c r="J13" s="49" t="inlineStr">
        <is>
          <t>0.86/1.5/0.84</t>
        </is>
      </c>
      <c r="K13" s="49" t="inlineStr">
        <is>
          <t>诱上/阻下</t>
        </is>
      </c>
      <c r="L13" s="49" t="inlineStr">
        <is>
          <t>布拉格斯巴达女足</t>
        </is>
      </c>
      <c r="M13" s="86" t="n">
        <v>0.5950825250000001</v>
      </c>
      <c r="N13" s="49" t="inlineStr">
        <is>
          <t>网页可投</t>
        </is>
      </c>
      <c r="O13" s="49" t="inlineStr">
        <is>
          <t>0-4</t>
        </is>
      </c>
      <c r="P13" s="49" t="inlineStr">
        <is>
          <t>已结算</t>
        </is>
      </c>
      <c r="Q13" s="49" t="inlineStr">
        <is>
          <t>红</t>
        </is>
      </c>
      <c r="R13" s="87" t="n">
        <v>0.84</v>
      </c>
      <c r="S13" s="87" t="n">
        <v>0.84</v>
      </c>
      <c r="T13" s="49" t="inlineStr">
        <is>
          <t>D:\codex\v3_legacy\outputs\football_odds_trader\raw\titan007\20261001\20261001_084801_titan007_odds_snapshot.csv</t>
        </is>
      </c>
      <c r="U13" s="49">
        <f>IF(Q13="","",IF(Q13="待结算","待结算",IF(Q13="红","黑",IF(Q13="半红","半黑",IF(Q13="走","走",IF(Q13="半黑","半红","红"))))))</f>
        <v/>
      </c>
      <c r="V13" s="87">
        <f>IF(OR(U13="",U13="待结算"),"",IF(L13=LEFT(F13,FIND(" vs ",F13)-1),I13,G13))</f>
        <v/>
      </c>
      <c r="W13" s="87">
        <f>IF(OR(U13="",U13="待结算"),"",IF(U13="红",V13,IF(U13="半红",V13*0.5,IF(U13="走",0,IF(U13="半黑",-0.5,-1)))))</f>
        <v/>
      </c>
      <c r="X13" s="49" t="n">
        <v>0.86</v>
      </c>
      <c r="Y13" s="49" t="n">
        <v>-1.5</v>
      </c>
      <c r="Z13" s="49" t="n">
        <v>0.84</v>
      </c>
      <c r="AA13" s="49" t="n"/>
      <c r="AB13" s="49" t="n"/>
      <c r="AC13" s="49" t="n">
        <v>0.84</v>
      </c>
      <c r="AD13" s="49" t="n">
        <v>6.2</v>
      </c>
      <c r="AE13" s="49" t="n">
        <v>4.85</v>
      </c>
      <c r="AF13" s="49" t="n">
        <v>1.27</v>
      </c>
      <c r="AG13" s="49" t="n"/>
      <c r="AH13" s="49" t="n"/>
      <c r="AI13" s="49" t="n"/>
      <c r="AJ13" s="49" t="n"/>
      <c r="AK13" s="49" t="n"/>
      <c r="AL13" s="49" t="n"/>
      <c r="AM13" s="49" t="n"/>
      <c r="AN13" s="49" t="n"/>
      <c r="AO13" s="49" t="n"/>
      <c r="AP13" s="49" t="n"/>
      <c r="AQ13" s="49" t="n">
        <v>1.5</v>
      </c>
      <c r="AR13" s="49" t="n"/>
      <c r="AS13" s="49" t="n"/>
      <c r="AT13" s="49" t="n"/>
      <c r="AU13" s="49" t="n"/>
      <c r="AV13" s="49" t="n"/>
      <c r="AW13" s="49" t="n"/>
      <c r="AX13" s="49" t="n"/>
      <c r="AY13" s="49" t="inlineStr">
        <is>
          <t>Titan007 snapshot</t>
        </is>
      </c>
      <c r="AZ13" s="0" t="inlineStr">
        <is>
          <t>新增冻结记录；历史字段缺失处留空</t>
        </is>
      </c>
    </row>
    <row r="14" ht="22" customHeight="1" s="78">
      <c r="A14" s="49" t="inlineStr">
        <is>
          <t>2026-09-30</t>
        </is>
      </c>
      <c r="B14" s="49" t="inlineStr">
        <is>
          <t>2026-09-30 23:30:00</t>
        </is>
      </c>
      <c r="C14" s="49" t="inlineStr">
        <is>
          <t>CLUB_CUP</t>
        </is>
      </c>
      <c r="D14" s="49" t="inlineStr">
        <is>
          <t>杯赛</t>
        </is>
      </c>
      <c r="E14" s="49" t="inlineStr">
        <is>
          <t>皇后杯</t>
        </is>
      </c>
      <c r="F14" s="49" t="inlineStr">
        <is>
          <t>塞尔塔女足 vs 皇家奥维耶多女足</t>
        </is>
      </c>
      <c r="G14" s="60" t="n">
        <v>1.01</v>
      </c>
      <c r="H14" s="60" t="n">
        <v>0.25</v>
      </c>
      <c r="I14" s="60" t="n">
        <v>0.8100000000000001</v>
      </c>
      <c r="J14" s="49" t="inlineStr">
        <is>
          <t>1.01/0.25/0.81</t>
        </is>
      </c>
      <c r="K14" s="49" t="inlineStr">
        <is>
          <t>诱上/阻下</t>
        </is>
      </c>
      <c r="L14" s="49" t="inlineStr">
        <is>
          <t>皇家奥维耶多女足</t>
        </is>
      </c>
      <c r="M14" s="86" t="n">
        <v>0.5909053900000001</v>
      </c>
      <c r="N14" s="49" t="inlineStr">
        <is>
          <t>网页可投</t>
        </is>
      </c>
      <c r="O14" s="49" t="inlineStr">
        <is>
          <t>3-1</t>
        </is>
      </c>
      <c r="P14" s="49" t="inlineStr">
        <is>
          <t>已结算</t>
        </is>
      </c>
      <c r="Q14" s="49" t="inlineStr">
        <is>
          <t>黑</t>
        </is>
      </c>
      <c r="R14" s="87" t="n">
        <v>0.8100000000000001</v>
      </c>
      <c r="S14" s="87" t="n">
        <v>-1</v>
      </c>
      <c r="T14" s="49" t="inlineStr">
        <is>
          <t>D:\codex\v3_legacy\outputs\football_odds_trader\raw\titan007\20261001\20261001_084801_titan007_odds_snapshot.csv</t>
        </is>
      </c>
      <c r="U14" s="49">
        <f>IF(Q14="","",IF(Q14="待结算","待结算",IF(Q14="红","黑",IF(Q14="半红","半黑",IF(Q14="走","走",IF(Q14="半黑","半红","红"))))))</f>
        <v/>
      </c>
      <c r="V14" s="87">
        <f>IF(OR(U14="",U14="待结算"),"",IF(L14=LEFT(F14,FIND(" vs ",F14)-1),I14,G14))</f>
        <v/>
      </c>
      <c r="W14" s="87">
        <f>IF(OR(U14="",U14="待结算"),"",IF(U14="红",V14,IF(U14="半红",V14*0.5,IF(U14="走",0,IF(U14="半黑",-0.5,-1)))))</f>
        <v/>
      </c>
      <c r="X14" s="49" t="n">
        <v>0.95</v>
      </c>
      <c r="Y14" s="49" t="n">
        <v>-0.25</v>
      </c>
      <c r="Z14" s="49" t="n">
        <v>0.8100000000000001</v>
      </c>
      <c r="AA14" s="49" t="n"/>
      <c r="AB14" s="49" t="n"/>
      <c r="AC14" s="49" t="n">
        <v>0.8100000000000001</v>
      </c>
      <c r="AD14" s="49" t="n">
        <v>2.94</v>
      </c>
      <c r="AE14" s="49" t="n">
        <v>3.55</v>
      </c>
      <c r="AF14" s="49" t="n">
        <v>2.01</v>
      </c>
      <c r="AG14" s="49" t="n"/>
      <c r="AH14" s="49" t="n"/>
      <c r="AI14" s="49" t="n"/>
      <c r="AJ14" s="49" t="n"/>
      <c r="AK14" s="49" t="n"/>
      <c r="AL14" s="49" t="n"/>
      <c r="AM14" s="49" t="n"/>
      <c r="AN14" s="49" t="n"/>
      <c r="AO14" s="49" t="n"/>
      <c r="AP14" s="49" t="n"/>
      <c r="AQ14" s="49" t="n">
        <v>0.25</v>
      </c>
      <c r="AR14" s="49" t="n"/>
      <c r="AS14" s="49" t="n"/>
      <c r="AT14" s="49" t="n"/>
      <c r="AU14" s="49" t="n"/>
      <c r="AV14" s="49" t="n"/>
      <c r="AW14" s="49" t="n"/>
      <c r="AX14" s="49" t="n"/>
      <c r="AY14" s="49" t="inlineStr">
        <is>
          <t>Titan007 snapshot</t>
        </is>
      </c>
      <c r="AZ14" s="0" t="inlineStr">
        <is>
          <t>新增冻结记录；历史字段缺失处留空</t>
        </is>
      </c>
    </row>
    <row r="15" ht="22" customHeight="1" s="78">
      <c r="A15" s="49" t="inlineStr">
        <is>
          <t>2026-10-01</t>
        </is>
      </c>
      <c r="B15" s="49" t="inlineStr">
        <is>
          <t>2026-10-01 14:10:00</t>
        </is>
      </c>
      <c r="C15" s="49" t="inlineStr">
        <is>
          <t>CLUB_CUP</t>
        </is>
      </c>
      <c r="D15" s="49" t="inlineStr">
        <is>
          <t>杯赛</t>
        </is>
      </c>
      <c r="E15" s="49" t="inlineStr">
        <is>
          <t>麒麟杯</t>
        </is>
      </c>
      <c r="F15" s="49" t="inlineStr">
        <is>
          <t>巴拿马 vs 新西兰</t>
        </is>
      </c>
      <c r="G15" s="60" t="n">
        <v>0.83</v>
      </c>
      <c r="H15" s="60" t="n">
        <v>0</v>
      </c>
      <c r="I15" s="60" t="n">
        <v>0.99</v>
      </c>
      <c r="J15" s="49" t="inlineStr">
        <is>
          <t>0.83/0.0/0.99</t>
        </is>
      </c>
      <c r="K15" s="49" t="inlineStr">
        <is>
          <t>诱上/阻下</t>
        </is>
      </c>
      <c r="L15" s="49" t="inlineStr">
        <is>
          <t>巴拿马</t>
        </is>
      </c>
      <c r="M15" s="86" t="n">
        <v>0.5909053900000001</v>
      </c>
      <c r="N15" s="49" t="inlineStr">
        <is>
          <t>网页可投</t>
        </is>
      </c>
      <c r="O15" s="49" t="inlineStr">
        <is>
          <t>1-1</t>
        </is>
      </c>
      <c r="P15" s="49" t="inlineStr">
        <is>
          <t>已结算</t>
        </is>
      </c>
      <c r="Q15" s="49" t="inlineStr">
        <is>
          <t>走</t>
        </is>
      </c>
      <c r="R15" s="87" t="n">
        <v>0.83</v>
      </c>
      <c r="S15" s="87" t="n">
        <v>0</v>
      </c>
      <c r="T15" s="49" t="inlineStr">
        <is>
          <t>D:\codex\v3_legacy\outputs\football_odds_trader\raw\titan007\20261002\20261002_081559_titan007_odds_snapshot.csv</t>
        </is>
      </c>
      <c r="U15" s="49">
        <f>IF(Q15="","",IF(Q15="待结算","待结算",IF(Q15="红","黑",IF(Q15="半红","半黑",IF(Q15="走","走",IF(Q15="半黑","半红","红"))))))</f>
        <v/>
      </c>
      <c r="V15" s="87">
        <f>IF(OR(U15="",U15="待结算"),"",IF(L15=LEFT(F15,FIND(" vs ",F15)-1),I15,G15))</f>
        <v/>
      </c>
      <c r="W15" s="87">
        <f>IF(OR(U15="",U15="待结算"),"",IF(U15="红",V15,IF(U15="半红",V15*0.5,IF(U15="走",0,IF(U15="半黑",-0.5,-1)))))</f>
        <v/>
      </c>
      <c r="X15" s="49" t="n">
        <v>0.78</v>
      </c>
      <c r="Y15" s="49" t="n">
        <v>0</v>
      </c>
      <c r="Z15" s="49" t="n">
        <v>1.04</v>
      </c>
      <c r="AA15" s="49" t="n"/>
      <c r="AB15" s="49" t="n"/>
      <c r="AC15" s="49" t="n">
        <v>0.83</v>
      </c>
      <c r="AD15" s="49" t="n">
        <v>2.35</v>
      </c>
      <c r="AE15" s="49" t="n">
        <v>3.22</v>
      </c>
      <c r="AF15" s="49" t="n">
        <v>2.87</v>
      </c>
      <c r="AG15" s="49" t="n"/>
      <c r="AH15" s="49" t="n"/>
      <c r="AI15" s="49" t="n"/>
      <c r="AJ15" s="49" t="n"/>
      <c r="AK15" s="49" t="n"/>
      <c r="AL15" s="49" t="n"/>
      <c r="AM15" s="49" t="n"/>
      <c r="AN15" s="49" t="n"/>
      <c r="AO15" s="49" t="n"/>
      <c r="AP15" s="49" t="n"/>
      <c r="AQ15" s="49" t="n">
        <v>0</v>
      </c>
      <c r="AR15" s="49" t="n"/>
      <c r="AS15" s="49" t="n"/>
      <c r="AT15" s="49" t="n"/>
      <c r="AU15" s="49" t="n"/>
      <c r="AV15" s="49" t="n"/>
      <c r="AW15" s="49" t="n"/>
      <c r="AX15" s="49" t="n"/>
      <c r="AY15" s="49" t="inlineStr">
        <is>
          <t>Titan007 Next</t>
        </is>
      </c>
      <c r="AZ15" s="0" t="inlineStr">
        <is>
          <t>新增冻结记录；历史字段缺失处留空</t>
        </is>
      </c>
    </row>
    <row r="16" ht="22" customHeight="1" s="78">
      <c r="A16" s="49" t="inlineStr">
        <is>
          <t>2026-10-01</t>
        </is>
      </c>
      <c r="B16" s="49" t="inlineStr">
        <is>
          <t>2026-10-01 18:10:00</t>
        </is>
      </c>
      <c r="C16" s="49" t="inlineStr">
        <is>
          <t>CLUB_CUP</t>
        </is>
      </c>
      <c r="D16" s="49" t="inlineStr">
        <is>
          <t>杯赛</t>
        </is>
      </c>
      <c r="E16" s="49" t="inlineStr">
        <is>
          <t>麒麟杯</t>
        </is>
      </c>
      <c r="F16" s="49" t="inlineStr">
        <is>
          <t>日本 vs 厄瓜多尔</t>
        </is>
      </c>
      <c r="G16" s="60" t="n">
        <v>0.82</v>
      </c>
      <c r="H16" s="60" t="n">
        <v>0.75</v>
      </c>
      <c r="I16" s="60" t="n">
        <v>1</v>
      </c>
      <c r="J16" s="49" t="inlineStr">
        <is>
          <t>0.82/0.75/1.0</t>
        </is>
      </c>
      <c r="K16" s="49" t="inlineStr">
        <is>
          <t>诱上/阻下</t>
        </is>
      </c>
      <c r="L16" s="49" t="inlineStr">
        <is>
          <t>日本</t>
        </is>
      </c>
      <c r="M16" s="86" t="n">
        <v>0.5909053900000001</v>
      </c>
      <c r="N16" s="49" t="inlineStr">
        <is>
          <t>网页可投</t>
        </is>
      </c>
      <c r="O16" s="49" t="inlineStr">
        <is>
          <t>0-0</t>
        </is>
      </c>
      <c r="P16" s="49" t="inlineStr">
        <is>
          <t>已结算</t>
        </is>
      </c>
      <c r="Q16" s="49" t="inlineStr">
        <is>
          <t>黑</t>
        </is>
      </c>
      <c r="R16" s="87" t="n">
        <v>0.82</v>
      </c>
      <c r="S16" s="87" t="n">
        <v>-1</v>
      </c>
      <c r="T16" s="49" t="inlineStr">
        <is>
          <t>D:\codex\v3_legacy\outputs\football_odds_trader\raw\titan007\20261002\20261002_081559_titan007_odds_snapshot.csv</t>
        </is>
      </c>
      <c r="U16" s="49">
        <f>IF(Q16="","",IF(Q16="待结算","待结算",IF(Q16="红","黑",IF(Q16="半红","半黑",IF(Q16="走","走",IF(Q16="半黑","半红","红"))))))</f>
        <v/>
      </c>
      <c r="V16" s="87">
        <f>IF(OR(U16="",U16="待结算"),"",IF(L16=LEFT(F16,FIND(" vs ",F16)-1),I16,G16))</f>
        <v/>
      </c>
      <c r="W16" s="87">
        <f>IF(OR(U16="",U16="待结算"),"",IF(U16="红",V16,IF(U16="半红",V16*0.5,IF(U16="走",0,IF(U16="半黑",-0.5,-1)))))</f>
        <v/>
      </c>
      <c r="X16" s="49" t="n">
        <v>0.88</v>
      </c>
      <c r="Y16" s="49" t="n">
        <v>0.5</v>
      </c>
      <c r="Z16" s="49" t="n">
        <v>0.9399999999999999</v>
      </c>
      <c r="AA16" s="49" t="n"/>
      <c r="AB16" s="49" t="n"/>
      <c r="AC16" s="49" t="n">
        <v>0.82</v>
      </c>
      <c r="AD16" s="49" t="n">
        <v>1.88</v>
      </c>
      <c r="AE16" s="49" t="n">
        <v>3.33</v>
      </c>
      <c r="AF16" s="49" t="n">
        <v>4.01</v>
      </c>
      <c r="AG16" s="49" t="n"/>
      <c r="AH16" s="49" t="n"/>
      <c r="AI16" s="49" t="n"/>
      <c r="AJ16" s="49" t="n"/>
      <c r="AK16" s="49" t="n"/>
      <c r="AL16" s="49" t="n"/>
      <c r="AM16" s="49" t="n"/>
      <c r="AN16" s="49" t="n"/>
      <c r="AO16" s="49" t="n"/>
      <c r="AP16" s="49" t="n"/>
      <c r="AQ16" s="49" t="n">
        <v>0.75</v>
      </c>
      <c r="AR16" s="49" t="n"/>
      <c r="AS16" s="49" t="n"/>
      <c r="AT16" s="49" t="n"/>
      <c r="AU16" s="49" t="n"/>
      <c r="AV16" s="49" t="n"/>
      <c r="AW16" s="49" t="n"/>
      <c r="AX16" s="49" t="n"/>
      <c r="AY16" s="49" t="inlineStr">
        <is>
          <t>Titan007 Next</t>
        </is>
      </c>
      <c r="AZ16" s="0" t="inlineStr">
        <is>
          <t>新增冻结记录；历史字段缺失处留空</t>
        </is>
      </c>
    </row>
    <row r="17" ht="22" customHeight="1" s="78">
      <c r="A17" s="49" t="inlineStr">
        <is>
          <t>2026-10-01</t>
        </is>
      </c>
      <c r="B17" s="49" t="inlineStr">
        <is>
          <t>2026-10-02 00:00:00</t>
        </is>
      </c>
      <c r="C17" s="49" t="inlineStr">
        <is>
          <t>CLUB_CUP</t>
        </is>
      </c>
      <c r="D17" s="49" t="inlineStr">
        <is>
          <t>杯赛</t>
        </is>
      </c>
      <c r="E17" s="49" t="inlineStr">
        <is>
          <t>挪威杯</t>
        </is>
      </c>
      <c r="F17" s="49" t="inlineStr">
        <is>
          <t>巴洛姆 vs 利勒斯特罗姆</t>
        </is>
      </c>
      <c r="G17" s="60" t="n">
        <v>0.86</v>
      </c>
      <c r="H17" s="60" t="n">
        <v>2.5</v>
      </c>
      <c r="I17" s="60" t="n">
        <v>0.84</v>
      </c>
      <c r="J17" s="49" t="inlineStr">
        <is>
          <t>0.86/2.5/0.84</t>
        </is>
      </c>
      <c r="K17" s="49" t="inlineStr">
        <is>
          <t>诱上/阻下</t>
        </is>
      </c>
      <c r="L17" s="49" t="inlineStr">
        <is>
          <t>利勒斯特罗姆</t>
        </is>
      </c>
      <c r="M17" s="86" t="n">
        <v>0.57826776</v>
      </c>
      <c r="N17" s="49" t="inlineStr">
        <is>
          <t>网页可投</t>
        </is>
      </c>
      <c r="O17" s="49" t="inlineStr">
        <is>
          <t>1-5</t>
        </is>
      </c>
      <c r="P17" s="49" t="inlineStr">
        <is>
          <t>已结算</t>
        </is>
      </c>
      <c r="Q17" s="49" t="inlineStr">
        <is>
          <t>红</t>
        </is>
      </c>
      <c r="R17" s="87" t="n">
        <v>0.84</v>
      </c>
      <c r="S17" s="87" t="n">
        <v>0.84</v>
      </c>
      <c r="T17" s="49" t="inlineStr">
        <is>
          <t>D:\codex\v3_legacy\outputs\football_odds_trader\raw\titan007\20261002\20261002_081559_titan007_odds_snapshot.csv</t>
        </is>
      </c>
      <c r="U17" s="49">
        <f>IF(Q17="","",IF(Q17="待结算","待结算",IF(Q17="红","黑",IF(Q17="半红","半黑",IF(Q17="走","走",IF(Q17="半黑","半红","红"))))))</f>
        <v/>
      </c>
      <c r="V17" s="87">
        <f>IF(OR(U17="",U17="待结算"),"",IF(L17=LEFT(F17,FIND(" vs ",F17)-1),I17,G17))</f>
        <v/>
      </c>
      <c r="W17" s="87">
        <f>IF(OR(U17="",U17="待结算"),"",IF(U17="红",V17,IF(U17="半红",V17*0.5,IF(U17="走",0,IF(U17="半黑",-0.5,-1)))))</f>
        <v/>
      </c>
      <c r="X17" s="49" t="n">
        <v>0.86</v>
      </c>
      <c r="Y17" s="49" t="n">
        <v>-2.5</v>
      </c>
      <c r="Z17" s="49" t="n">
        <v>0.84</v>
      </c>
      <c r="AA17" s="49" t="n"/>
      <c r="AB17" s="49" t="n"/>
      <c r="AC17" s="49" t="n">
        <v>0.84</v>
      </c>
      <c r="AD17" s="49" t="n">
        <v>12.62</v>
      </c>
      <c r="AE17" s="49" t="n">
        <v>6.95</v>
      </c>
      <c r="AF17" s="49" t="n">
        <v>1.14</v>
      </c>
      <c r="AG17" s="49" t="n"/>
      <c r="AH17" s="49" t="n"/>
      <c r="AI17" s="49" t="n"/>
      <c r="AJ17" s="49" t="n"/>
      <c r="AK17" s="49" t="n"/>
      <c r="AL17" s="49" t="n"/>
      <c r="AM17" s="49" t="n"/>
      <c r="AN17" s="49" t="n"/>
      <c r="AO17" s="49" t="n"/>
      <c r="AP17" s="49" t="n"/>
      <c r="AQ17" s="49" t="n">
        <v>2.5</v>
      </c>
      <c r="AR17" s="49" t="n"/>
      <c r="AS17" s="49" t="n"/>
      <c r="AT17" s="49" t="n"/>
      <c r="AU17" s="49" t="n"/>
      <c r="AV17" s="49" t="n"/>
      <c r="AW17" s="49" t="n"/>
      <c r="AX17" s="49" t="n"/>
      <c r="AY17" s="49" t="inlineStr">
        <is>
          <t>Titan007 Next</t>
        </is>
      </c>
      <c r="AZ17" s="0" t="inlineStr">
        <is>
          <t>新增冻结记录；历史字段缺失处留空</t>
        </is>
      </c>
    </row>
    <row r="18" ht="22" customHeight="1" s="78">
      <c r="A18" s="49" t="inlineStr">
        <is>
          <t>2026-10-01</t>
        </is>
      </c>
      <c r="B18" s="49" t="inlineStr">
        <is>
          <t>2026-10-02 00:00:00</t>
        </is>
      </c>
      <c r="C18" s="49" t="inlineStr">
        <is>
          <t>NATIONAL_OFFICIAL</t>
        </is>
      </c>
      <c r="D18" s="49" t="inlineStr">
        <is>
          <t>杯赛</t>
        </is>
      </c>
      <c r="E18" s="49" t="inlineStr">
        <is>
          <t>非洲杯</t>
        </is>
      </c>
      <c r="F18" s="49" t="inlineStr">
        <is>
          <t>几内亚 vs 肯尼亚</t>
        </is>
      </c>
      <c r="G18" s="60" t="n">
        <v>0.78</v>
      </c>
      <c r="H18" s="60" t="n">
        <v>0.75</v>
      </c>
      <c r="I18" s="60" t="n">
        <v>0.92</v>
      </c>
      <c r="J18" s="49" t="inlineStr">
        <is>
          <t>0.78/0.75/0.92</t>
        </is>
      </c>
      <c r="K18" s="49" t="inlineStr">
        <is>
          <t>诱上/阻下</t>
        </is>
      </c>
      <c r="L18" s="49" t="inlineStr">
        <is>
          <t>几内亚</t>
        </is>
      </c>
      <c r="M18" s="86" t="n">
        <v>0.59700388</v>
      </c>
      <c r="N18" s="49" t="inlineStr">
        <is>
          <t>网页可投</t>
        </is>
      </c>
      <c r="O18" s="49" t="inlineStr">
        <is>
          <t>1-0</t>
        </is>
      </c>
      <c r="P18" s="49" t="inlineStr">
        <is>
          <t>已结算</t>
        </is>
      </c>
      <c r="Q18" s="49" t="inlineStr">
        <is>
          <t>半红</t>
        </is>
      </c>
      <c r="R18" s="87" t="n">
        <v>0.78</v>
      </c>
      <c r="S18" s="87" t="n">
        <v>0.39</v>
      </c>
      <c r="T18" s="49" t="inlineStr">
        <is>
          <t>D:\codex\v3_legacy\outputs\football_odds_trader\raw\titan007\20261002\20261002_081559_titan007_odds_snapshot.csv</t>
        </is>
      </c>
      <c r="U18" s="49">
        <f>IF(Q18="","",IF(Q18="待结算","待结算",IF(Q18="红","黑",IF(Q18="半红","半黑",IF(Q18="走","走",IF(Q18="半黑","半红","红"))))))</f>
        <v/>
      </c>
      <c r="V18" s="87">
        <f>IF(OR(U18="",U18="待结算"),"",IF(L18=LEFT(F18,FIND(" vs ",F18)-1),I18,G18))</f>
        <v/>
      </c>
      <c r="W18" s="87">
        <f>IF(OR(U18="",U18="待结算"),"",IF(U18="红",V18,IF(U18="半红",V18*0.5,IF(U18="走",0,IF(U18="半黑",-0.5,-1)))))</f>
        <v/>
      </c>
      <c r="X18" s="49" t="n">
        <v>0.88</v>
      </c>
      <c r="Y18" s="49" t="n">
        <v>0.75</v>
      </c>
      <c r="Z18" s="49" t="n">
        <v>0.82</v>
      </c>
      <c r="AA18" s="49" t="n"/>
      <c r="AB18" s="49" t="n"/>
      <c r="AC18" s="49" t="n">
        <v>0.78</v>
      </c>
      <c r="AD18" s="49" t="n">
        <v>1.64</v>
      </c>
      <c r="AE18" s="49" t="n">
        <v>3.24</v>
      </c>
      <c r="AF18" s="49" t="n">
        <v>5.65</v>
      </c>
      <c r="AG18" s="49" t="n"/>
      <c r="AH18" s="49" t="n"/>
      <c r="AI18" s="49" t="n"/>
      <c r="AJ18" s="49" t="n"/>
      <c r="AK18" s="49" t="n"/>
      <c r="AL18" s="49" t="n"/>
      <c r="AM18" s="49" t="n"/>
      <c r="AN18" s="49" t="n"/>
      <c r="AO18" s="49" t="n"/>
      <c r="AP18" s="49" t="n"/>
      <c r="AQ18" s="49" t="n">
        <v>0.75</v>
      </c>
      <c r="AR18" s="49" t="n"/>
      <c r="AS18" s="49" t="n"/>
      <c r="AT18" s="49" t="n"/>
      <c r="AU18" s="49" t="n"/>
      <c r="AV18" s="49" t="n"/>
      <c r="AW18" s="49" t="n"/>
      <c r="AX18" s="49" t="n"/>
      <c r="AY18" s="49" t="inlineStr">
        <is>
          <t>Titan007 Next</t>
        </is>
      </c>
      <c r="AZ18" s="0" t="inlineStr">
        <is>
          <t>新增冻结记录；历史字段缺失处留空</t>
        </is>
      </c>
    </row>
    <row r="19" ht="22" customHeight="1" s="78">
      <c r="A19" s="49" t="inlineStr">
        <is>
          <t>2026-10-01</t>
        </is>
      </c>
      <c r="B19" s="49" t="inlineStr">
        <is>
          <t>2026-10-02 00:45:00</t>
        </is>
      </c>
      <c r="C19" s="49" t="inlineStr">
        <is>
          <t>CLUB_CUP</t>
        </is>
      </c>
      <c r="D19" s="49" t="inlineStr">
        <is>
          <t>杯赛</t>
        </is>
      </c>
      <c r="E19" s="49" t="inlineStr">
        <is>
          <t>欧女杯</t>
        </is>
      </c>
      <c r="F19" s="49" t="inlineStr">
        <is>
          <t>靴尔科治女足 vs 塞尔维特女足</t>
        </is>
      </c>
      <c r="G19" s="60" t="n">
        <v>0.83</v>
      </c>
      <c r="H19" s="60" t="n">
        <v>1.5</v>
      </c>
      <c r="I19" s="60" t="n">
        <v>0.87</v>
      </c>
      <c r="J19" s="49" t="inlineStr">
        <is>
          <t>0.83/1.5/0.87</t>
        </is>
      </c>
      <c r="K19" s="49" t="inlineStr">
        <is>
          <t>诱上/阻下</t>
        </is>
      </c>
      <c r="L19" s="49" t="inlineStr">
        <is>
          <t>靴尔科治女足</t>
        </is>
      </c>
      <c r="M19" s="86" t="n">
        <v>0.5751208350000001</v>
      </c>
      <c r="N19" s="49" t="inlineStr">
        <is>
          <t>网页可投</t>
        </is>
      </c>
      <c r="O19" s="49" t="inlineStr">
        <is>
          <t>5-1</t>
        </is>
      </c>
      <c r="P19" s="49" t="inlineStr">
        <is>
          <t>已结算</t>
        </is>
      </c>
      <c r="Q19" s="49" t="inlineStr">
        <is>
          <t>红</t>
        </is>
      </c>
      <c r="R19" s="87" t="n">
        <v>0.83</v>
      </c>
      <c r="S19" s="87" t="n">
        <v>0.83</v>
      </c>
      <c r="T19" s="49" t="inlineStr">
        <is>
          <t>D:\codex\v3_legacy\outputs\football_odds_trader\raw\titan007\20261002\20261002_081559_titan007_odds_snapshot.csv</t>
        </is>
      </c>
      <c r="U19" s="49">
        <f>IF(Q19="","",IF(Q19="待结算","待结算",IF(Q19="红","黑",IF(Q19="半红","半黑",IF(Q19="走","走",IF(Q19="半黑","半红","红"))))))</f>
        <v/>
      </c>
      <c r="V19" s="87">
        <f>IF(OR(U19="",U19="待结算"),"",IF(L19=LEFT(F19,FIND(" vs ",F19)-1),I19,G19))</f>
        <v/>
      </c>
      <c r="W19" s="87">
        <f>IF(OR(U19="",U19="待结算"),"",IF(U19="红",V19,IF(U19="半红",V19*0.5,IF(U19="走",0,IF(U19="半黑",-0.5,-1)))))</f>
        <v/>
      </c>
      <c r="X19" s="49" t="n">
        <v>0.83</v>
      </c>
      <c r="Y19" s="49" t="n">
        <v>1.5</v>
      </c>
      <c r="Z19" s="49" t="n">
        <v>0.87</v>
      </c>
      <c r="AA19" s="49" t="n"/>
      <c r="AB19" s="49" t="n"/>
      <c r="AC19" s="49" t="n">
        <v>0.83</v>
      </c>
      <c r="AD19" s="49" t="n">
        <v>1.28</v>
      </c>
      <c r="AE19" s="49" t="n">
        <v>5.32</v>
      </c>
      <c r="AF19" s="49" t="n">
        <v>8.08</v>
      </c>
      <c r="AG19" s="49" t="n"/>
      <c r="AH19" s="49" t="n"/>
      <c r="AI19" s="49" t="n"/>
      <c r="AJ19" s="49" t="n"/>
      <c r="AK19" s="49" t="n"/>
      <c r="AL19" s="49" t="n"/>
      <c r="AM19" s="49" t="n"/>
      <c r="AN19" s="49" t="n"/>
      <c r="AO19" s="49" t="n"/>
      <c r="AP19" s="49" t="n"/>
      <c r="AQ19" s="49" t="n">
        <v>1.5</v>
      </c>
      <c r="AR19" s="49" t="n"/>
      <c r="AS19" s="49" t="n"/>
      <c r="AT19" s="49" t="n"/>
      <c r="AU19" s="49" t="n"/>
      <c r="AV19" s="49" t="n"/>
      <c r="AW19" s="49" t="n"/>
      <c r="AX19" s="49" t="n"/>
      <c r="AY19" s="49" t="inlineStr">
        <is>
          <t>Titan007 Next</t>
        </is>
      </c>
      <c r="AZ19" s="0" t="inlineStr">
        <is>
          <t>新增冻结记录；历史字段缺失处留空</t>
        </is>
      </c>
    </row>
    <row r="20" ht="22" customHeight="1" s="78">
      <c r="A20" s="49" t="inlineStr">
        <is>
          <t>2026-10-01</t>
        </is>
      </c>
      <c r="B20" s="49" t="inlineStr">
        <is>
          <t>2026-10-02 08:00:00</t>
        </is>
      </c>
      <c r="C20" s="49" t="inlineStr">
        <is>
          <t>NATIONAL_OFFICIAL</t>
        </is>
      </c>
      <c r="D20" s="49" t="inlineStr">
        <is>
          <t>联赛</t>
        </is>
      </c>
      <c r="E20" s="49" t="inlineStr">
        <is>
          <t>中北美国联</t>
        </is>
      </c>
      <c r="F20" s="49" t="inlineStr">
        <is>
          <t>开曼群岛 vs 波多黎各</t>
        </is>
      </c>
      <c r="G20" s="60" t="n">
        <v>0.9399999999999999</v>
      </c>
      <c r="H20" s="60" t="n">
        <v>2.5</v>
      </c>
      <c r="I20" s="60" t="n">
        <v>0.76</v>
      </c>
      <c r="J20" s="49" t="inlineStr">
        <is>
          <t>0.94/2.5/0.76</t>
        </is>
      </c>
      <c r="K20" s="49" t="inlineStr">
        <is>
          <t>诱上/阻下</t>
        </is>
      </c>
      <c r="L20" s="49" t="inlineStr">
        <is>
          <t>开曼群岛（下盘）</t>
        </is>
      </c>
      <c r="M20" s="86" t="n">
        <v>0.59048388</v>
      </c>
      <c r="N20" s="49" t="inlineStr">
        <is>
          <t>网页可投</t>
        </is>
      </c>
      <c r="O20" s="49" t="inlineStr">
        <is>
          <t>0-3</t>
        </is>
      </c>
      <c r="P20" s="49" t="inlineStr">
        <is>
          <t>已结算</t>
        </is>
      </c>
      <c r="Q20" s="49" t="inlineStr">
        <is>
          <t>黑半</t>
        </is>
      </c>
      <c r="R20" s="87" t="n">
        <v>0.9399999999999999</v>
      </c>
      <c r="S20" s="87" t="n">
        <v>-0.5</v>
      </c>
      <c r="T20" s="49" t="inlineStr">
        <is>
          <t>D:\codex\v3_legacy\outputs\football_odds_trader\raw\titan007\20261003\20261003_092303_titan007_odds_snapshot.csv</t>
        </is>
      </c>
      <c r="U20" s="49">
        <f>IF(Q20="","",IF(Q20="待结算","待结算",IF(Q20="红","黑",IF(Q20="半红","半黑",IF(Q20="走","走",IF(Q20="半黑","半红","红"))))))</f>
        <v/>
      </c>
      <c r="V20" s="87">
        <f>IF(OR(U20="",U20="待结算"),"",IF(L20=LEFT(F20,FIND(" vs ",F20)-1),I20,G20))</f>
        <v/>
      </c>
      <c r="W20" s="87">
        <f>IF(OR(U20="",U20="待结算"),"",IF(U20="红",V20,IF(U20="半红",V20*0.5,IF(U20="走",0,IF(U20="半黑",-0.5,-1)))))</f>
        <v/>
      </c>
      <c r="X20" s="49" t="n">
        <v>0.9399999999999999</v>
      </c>
      <c r="Y20" s="49" t="n">
        <v>-2.5</v>
      </c>
      <c r="Z20" s="49" t="n">
        <v>0.76</v>
      </c>
      <c r="AA20" s="49" t="n"/>
      <c r="AB20" s="49" t="n"/>
      <c r="AC20" s="49" t="n">
        <v>0.9399999999999999</v>
      </c>
      <c r="AD20" s="49" t="n">
        <v>21.12</v>
      </c>
      <c r="AE20" s="49" t="n">
        <v>7.56</v>
      </c>
      <c r="AF20" s="49" t="n">
        <v>1.1</v>
      </c>
      <c r="AG20" s="49" t="n"/>
      <c r="AH20" s="49" t="n"/>
      <c r="AI20" s="49" t="n"/>
      <c r="AJ20" s="49" t="n"/>
      <c r="AK20" s="49" t="n"/>
      <c r="AL20" s="49" t="n"/>
      <c r="AM20" s="49" t="n"/>
      <c r="AN20" s="49" t="n"/>
      <c r="AO20" s="49" t="n"/>
      <c r="AP20" s="49" t="n"/>
      <c r="AQ20" s="49" t="n">
        <v>2.5</v>
      </c>
      <c r="AR20" s="49" t="n"/>
      <c r="AS20" s="49" t="n"/>
      <c r="AT20" s="49" t="n"/>
      <c r="AU20" s="49" t="n"/>
      <c r="AV20" s="49" t="n"/>
      <c r="AW20" s="49" t="n"/>
      <c r="AX20" s="49" t="n"/>
      <c r="AY20" s="49" t="inlineStr">
        <is>
          <t>Titan007 Next</t>
        </is>
      </c>
      <c r="AZ20" s="0" t="inlineStr">
        <is>
          <t>新增冻结记录；历史字段缺失处留空</t>
        </is>
      </c>
    </row>
    <row r="21" ht="22" customHeight="1" s="78">
      <c r="A21" s="49" t="inlineStr">
        <is>
          <t>2026-10-02</t>
        </is>
      </c>
      <c r="B21" s="49" t="inlineStr">
        <is>
          <t>2026-10-03 00:00:00</t>
        </is>
      </c>
      <c r="C21" s="49" t="inlineStr">
        <is>
          <t>CLUB_LEAGUE</t>
        </is>
      </c>
      <c r="D21" s="49" t="inlineStr">
        <is>
          <t>联赛</t>
        </is>
      </c>
      <c r="E21" s="49" t="inlineStr">
        <is>
          <t>捷丙</t>
        </is>
      </c>
      <c r="F21" s="49" t="inlineStr">
        <is>
          <t>赫拉尼斯 vs 利森B队</t>
        </is>
      </c>
      <c r="G21" s="60" t="n">
        <v>0.9</v>
      </c>
      <c r="H21" s="60" t="n">
        <v>0.75</v>
      </c>
      <c r="I21" s="60" t="n">
        <v>0.8</v>
      </c>
      <c r="J21" s="49" t="inlineStr">
        <is>
          <t>0.9/0.75/0.8</t>
        </is>
      </c>
      <c r="K21" s="49" t="n"/>
      <c r="L21" s="49" t="inlineStr">
        <is>
          <t>利森B队</t>
        </is>
      </c>
      <c r="M21" s="86" t="n">
        <v>0.5760000000000001</v>
      </c>
      <c r="N21" s="49" t="inlineStr">
        <is>
          <t>网页可投</t>
        </is>
      </c>
      <c r="O21" s="49" t="inlineStr">
        <is>
          <t>1-1</t>
        </is>
      </c>
      <c r="P21" s="49" t="inlineStr">
        <is>
          <t>已结算</t>
        </is>
      </c>
      <c r="Q21" s="49" t="inlineStr">
        <is>
          <t>黑</t>
        </is>
      </c>
      <c r="R21" s="87" t="n">
        <v>0.8</v>
      </c>
      <c r="S21" s="87" t="n">
        <v>-1</v>
      </c>
      <c r="T21" s="49" t="inlineStr">
        <is>
          <t>D:\codex\v3_legacy\outputs\football_odds_trader\raw\titan007\20261003\20261003_092303_titan007_odds_snapshot.csv</t>
        </is>
      </c>
      <c r="U21" s="49">
        <f>IF(Q21="","",IF(Q21="待结算","待结算",IF(Q21="红","黑",IF(Q21="半红","半黑",IF(Q21="走","走",IF(Q21="半黑","半红","红"))))))</f>
        <v/>
      </c>
      <c r="V21" s="87">
        <f>IF(OR(U21="",U21="待结算"),"",IF(L21=LEFT(F21,FIND(" vs ",F21)-1),I21,G21))</f>
        <v/>
      </c>
      <c r="W21" s="87">
        <f>IF(OR(U21="",U21="待结算"),"",IF(U21="红",V21,IF(U21="半红",V21*0.5,IF(U21="走",0,IF(U21="半黑",-0.5,-1)))))</f>
        <v/>
      </c>
      <c r="X21" s="49" t="n">
        <v>0.9</v>
      </c>
      <c r="Y21" s="49" t="n">
        <v>-0.75</v>
      </c>
      <c r="Z21" s="49" t="n">
        <v>0.8</v>
      </c>
      <c r="AA21" s="49" t="n"/>
      <c r="AB21" s="49" t="n"/>
      <c r="AC21" s="49" t="n">
        <v>0.8</v>
      </c>
      <c r="AD21" s="49" t="n">
        <v>5.03</v>
      </c>
      <c r="AE21" s="49" t="n">
        <v>4.28</v>
      </c>
      <c r="AF21" s="49" t="n">
        <v>1.5</v>
      </c>
      <c r="AG21" s="49" t="n"/>
      <c r="AH21" s="49" t="n"/>
      <c r="AI21" s="49" t="n"/>
      <c r="AJ21" s="49" t="n"/>
      <c r="AK21" s="49" t="n"/>
      <c r="AL21" s="49" t="n"/>
      <c r="AM21" s="49" t="n"/>
      <c r="AN21" s="49" t="n"/>
      <c r="AO21" s="49" t="n"/>
      <c r="AP21" s="49" t="n"/>
      <c r="AQ21" s="49" t="n">
        <v>0.75</v>
      </c>
      <c r="AR21" s="49" t="n"/>
      <c r="AS21" s="49" t="n"/>
      <c r="AT21" s="49" t="n"/>
      <c r="AU21" s="49" t="n"/>
      <c r="AV21" s="49" t="n"/>
      <c r="AW21" s="49" t="n"/>
      <c r="AX21" s="49" t="n"/>
      <c r="AY21" s="49" t="inlineStr">
        <is>
          <t>Titan007 Next</t>
        </is>
      </c>
      <c r="AZ21" s="0" t="inlineStr">
        <is>
          <t>新增冻结记录；历史字段缺失处留空</t>
        </is>
      </c>
    </row>
    <row r="22" ht="22" customHeight="1" s="78">
      <c r="A22" s="49" t="inlineStr">
        <is>
          <t>2026-10-02</t>
        </is>
      </c>
      <c r="B22" s="49" t="inlineStr">
        <is>
          <t>2026-10-03 02:30:00</t>
        </is>
      </c>
      <c r="C22" s="49" t="inlineStr">
        <is>
          <t>CLUB_CUP</t>
        </is>
      </c>
      <c r="D22" s="49" t="inlineStr">
        <is>
          <t>杯赛</t>
        </is>
      </c>
      <c r="E22" s="49" t="inlineStr">
        <is>
          <t>苏总杯</t>
        </is>
      </c>
      <c r="F22" s="49" t="inlineStr">
        <is>
          <t>卡诺克少年 vs 奥治尼历克</t>
        </is>
      </c>
      <c r="G22" s="60" t="n">
        <v>0.98</v>
      </c>
      <c r="H22" s="60" t="n">
        <v>0.25</v>
      </c>
      <c r="I22" s="60" t="n">
        <v>0.84</v>
      </c>
      <c r="J22" s="49" t="inlineStr">
        <is>
          <t>0.98/0.25/0.84</t>
        </is>
      </c>
      <c r="K22" s="49" t="inlineStr">
        <is>
          <t>诱上/阻下</t>
        </is>
      </c>
      <c r="L22" s="49" t="inlineStr">
        <is>
          <t>奥治尼历克</t>
        </is>
      </c>
      <c r="M22" s="86" t="n">
        <v>0.57754539</v>
      </c>
      <c r="N22" s="49" t="inlineStr">
        <is>
          <t>网页可投</t>
        </is>
      </c>
      <c r="O22" s="49" t="inlineStr">
        <is>
          <t>2-0</t>
        </is>
      </c>
      <c r="P22" s="49" t="inlineStr">
        <is>
          <t>已结算</t>
        </is>
      </c>
      <c r="Q22" s="49" t="inlineStr">
        <is>
          <t>黑</t>
        </is>
      </c>
      <c r="R22" s="87" t="n">
        <v>0.84</v>
      </c>
      <c r="S22" s="87" t="n">
        <v>-1</v>
      </c>
      <c r="T22" s="49" t="inlineStr">
        <is>
          <t>D:\codex\v3_legacy\outputs\football_odds_trader\raw\titan007\20261003\20261003_092303_titan007_odds_snapshot.csv</t>
        </is>
      </c>
      <c r="U22" s="49">
        <f>IF(Q22="","",IF(Q22="待结算","待结算",IF(Q22="红","黑",IF(Q22="半红","半黑",IF(Q22="走","走",IF(Q22="半黑","半红","红"))))))</f>
        <v/>
      </c>
      <c r="V22" s="87">
        <f>IF(OR(U22="",U22="待结算"),"",IF(L22=LEFT(F22,FIND(" vs ",F22)-1),I22,G22))</f>
        <v/>
      </c>
      <c r="W22" s="87">
        <f>IF(OR(U22="",U22="待结算"),"",IF(U22="红",V22,IF(U22="半红",V22*0.5,IF(U22="走",0,IF(U22="半黑",-0.5,-1)))))</f>
        <v/>
      </c>
      <c r="X22" s="49" t="n">
        <v>0.98</v>
      </c>
      <c r="Y22" s="49" t="n">
        <v>-0.25</v>
      </c>
      <c r="Z22" s="49" t="n">
        <v>0.84</v>
      </c>
      <c r="AA22" s="49" t="n"/>
      <c r="AB22" s="49" t="n"/>
      <c r="AC22" s="49" t="n">
        <v>0.84</v>
      </c>
      <c r="AD22" s="49" t="n">
        <v>2.65</v>
      </c>
      <c r="AE22" s="49" t="n">
        <v>3.99</v>
      </c>
      <c r="AF22" s="49" t="n">
        <v>2.12</v>
      </c>
      <c r="AG22" s="49" t="n"/>
      <c r="AH22" s="49" t="n"/>
      <c r="AI22" s="49" t="n"/>
      <c r="AJ22" s="49" t="n"/>
      <c r="AK22" s="49" t="n"/>
      <c r="AL22" s="49" t="n"/>
      <c r="AM22" s="49" t="n"/>
      <c r="AN22" s="49" t="n"/>
      <c r="AO22" s="49" t="n"/>
      <c r="AP22" s="49" t="n"/>
      <c r="AQ22" s="49" t="n">
        <v>0.25</v>
      </c>
      <c r="AR22" s="49" t="n"/>
      <c r="AS22" s="49" t="n"/>
      <c r="AT22" s="49" t="n"/>
      <c r="AU22" s="49" t="n"/>
      <c r="AV22" s="49" t="n"/>
      <c r="AW22" s="49" t="n"/>
      <c r="AX22" s="49" t="n"/>
      <c r="AY22" s="49" t="inlineStr">
        <is>
          <t>Titan007 Next</t>
        </is>
      </c>
      <c r="AZ22" s="0" t="inlineStr">
        <is>
          <t>新增冻结记录；历史字段缺失处留空</t>
        </is>
      </c>
    </row>
    <row r="23" ht="22" customHeight="1" s="78">
      <c r="A23" s="49" t="inlineStr">
        <is>
          <t>2026-10-02</t>
        </is>
      </c>
      <c r="B23" s="49" t="inlineStr">
        <is>
          <t>2026-10-03 03:15:00</t>
        </is>
      </c>
      <c r="C23" s="49" t="inlineStr">
        <is>
          <t>CLUB_LEAGUE</t>
        </is>
      </c>
      <c r="D23" s="49" t="inlineStr">
        <is>
          <t>联赛</t>
        </is>
      </c>
      <c r="E23" s="49" t="inlineStr">
        <is>
          <t>西协甲</t>
        </is>
      </c>
      <c r="F23" s="49" t="inlineStr">
        <is>
          <t>皇家马德里B队 vs 马德里竞技B队</t>
        </is>
      </c>
      <c r="G23" s="60" t="n">
        <v>0.8</v>
      </c>
      <c r="H23" s="60" t="n">
        <v>0.75</v>
      </c>
      <c r="I23" s="60" t="n">
        <v>0.9</v>
      </c>
      <c r="J23" s="49" t="inlineStr">
        <is>
          <t>0.8/0.75/0.9</t>
        </is>
      </c>
      <c r="K23" s="49" t="n"/>
      <c r="L23" s="49" t="inlineStr">
        <is>
          <t>皇家马德里B队</t>
        </is>
      </c>
      <c r="M23" s="86" t="n">
        <v>0.584</v>
      </c>
      <c r="N23" s="49" t="inlineStr">
        <is>
          <t>网页可投</t>
        </is>
      </c>
      <c r="O23" s="49" t="inlineStr">
        <is>
          <t>3-2</t>
        </is>
      </c>
      <c r="P23" s="49" t="inlineStr">
        <is>
          <t>已结算</t>
        </is>
      </c>
      <c r="Q23" s="49" t="inlineStr">
        <is>
          <t>半红</t>
        </is>
      </c>
      <c r="R23" s="87" t="n">
        <v>0.8</v>
      </c>
      <c r="S23" s="87" t="n">
        <v>0.4</v>
      </c>
      <c r="T23" s="49" t="inlineStr">
        <is>
          <t>D:\codex\v3_legacy\outputs\football_odds_trader\raw\titan007\20261003\20261003_092303_titan007_odds_snapshot.csv</t>
        </is>
      </c>
      <c r="U23" s="49">
        <f>IF(Q23="","",IF(Q23="待结算","待结算",IF(Q23="红","黑",IF(Q23="半红","半黑",IF(Q23="走","走",IF(Q23="半黑","半红","红"))))))</f>
        <v/>
      </c>
      <c r="V23" s="87">
        <f>IF(OR(U23="",U23="待结算"),"",IF(L23=LEFT(F23,FIND(" vs ",F23)-1),I23,G23))</f>
        <v/>
      </c>
      <c r="W23" s="87">
        <f>IF(OR(U23="",U23="待结算"),"",IF(U23="红",V23,IF(U23="半红",V23*0.5,IF(U23="走",0,IF(U23="半黑",-0.5,-1)))))</f>
        <v/>
      </c>
      <c r="X23" s="49" t="n">
        <v>0.8</v>
      </c>
      <c r="Y23" s="49" t="n">
        <v>0.75</v>
      </c>
      <c r="Z23" s="49" t="n">
        <v>0.9</v>
      </c>
      <c r="AA23" s="49" t="n"/>
      <c r="AB23" s="49" t="n"/>
      <c r="AC23" s="49" t="n">
        <v>0.8</v>
      </c>
      <c r="AD23" s="49" t="n">
        <v>1.79</v>
      </c>
      <c r="AE23" s="49" t="n">
        <v>3.59</v>
      </c>
      <c r="AF23" s="49" t="n">
        <v>3.82</v>
      </c>
      <c r="AG23" s="49" t="n"/>
      <c r="AH23" s="49" t="n"/>
      <c r="AI23" s="49" t="n"/>
      <c r="AJ23" s="49" t="n"/>
      <c r="AK23" s="49" t="n"/>
      <c r="AL23" s="49" t="n"/>
      <c r="AM23" s="49" t="n"/>
      <c r="AN23" s="49" t="n"/>
      <c r="AO23" s="49" t="n"/>
      <c r="AP23" s="49" t="n"/>
      <c r="AQ23" s="49" t="n">
        <v>0.75</v>
      </c>
      <c r="AR23" s="49" t="n"/>
      <c r="AS23" s="49" t="n"/>
      <c r="AT23" s="49" t="n"/>
      <c r="AU23" s="49" t="n"/>
      <c r="AV23" s="49" t="n"/>
      <c r="AW23" s="49" t="n"/>
      <c r="AX23" s="49" t="n"/>
      <c r="AY23" s="49" t="inlineStr">
        <is>
          <t>Titan007 Next</t>
        </is>
      </c>
      <c r="AZ23" s="0" t="inlineStr">
        <is>
          <t>新增冻结记录；历史字段缺失处留空</t>
        </is>
      </c>
    </row>
    <row r="24" ht="22" customHeight="1" s="78">
      <c r="A24" s="49" t="inlineStr">
        <is>
          <t>2026-10-02</t>
        </is>
      </c>
      <c r="B24" s="49" t="inlineStr">
        <is>
          <t>2026-10-03 05:00:00</t>
        </is>
      </c>
      <c r="C24" s="49" t="inlineStr">
        <is>
          <t>NATIONAL_OFFICIAL</t>
        </is>
      </c>
      <c r="D24" s="49" t="inlineStr">
        <is>
          <t>联赛</t>
        </is>
      </c>
      <c r="E24" s="49" t="inlineStr">
        <is>
          <t>中北美国联</t>
        </is>
      </c>
      <c r="F24" s="49" t="inlineStr">
        <is>
          <t>圣基茨和尼维斯 vs 古巴</t>
        </is>
      </c>
      <c r="G24" s="60" t="n">
        <v>0.95</v>
      </c>
      <c r="H24" s="60" t="n">
        <v>0.5</v>
      </c>
      <c r="I24" s="60" t="n">
        <v>0.75</v>
      </c>
      <c r="J24" s="49" t="inlineStr">
        <is>
          <t>0.95/0.5/0.75</t>
        </is>
      </c>
      <c r="K24" s="49" t="inlineStr">
        <is>
          <t>诱上/阻下</t>
        </is>
      </c>
      <c r="L24" s="49" t="inlineStr">
        <is>
          <t>圣基茨和尼维斯（下盘）</t>
        </is>
      </c>
      <c r="M24" s="86" t="n">
        <v>0.59048388</v>
      </c>
      <c r="N24" s="49" t="inlineStr">
        <is>
          <t>网页可投</t>
        </is>
      </c>
      <c r="O24" s="49" t="inlineStr">
        <is>
          <t>3-3</t>
        </is>
      </c>
      <c r="P24" s="49" t="inlineStr">
        <is>
          <t>已结算</t>
        </is>
      </c>
      <c r="Q24" s="49" t="inlineStr">
        <is>
          <t>红</t>
        </is>
      </c>
      <c r="R24" s="87" t="n">
        <v>0.95</v>
      </c>
      <c r="S24" s="87" t="n">
        <v>0.95</v>
      </c>
      <c r="T24" s="49" t="inlineStr">
        <is>
          <t>D:\codex\v3_legacy\outputs\football_odds_trader\raw\titan007\20261003\20261003_092303_titan007_odds_snapshot.csv</t>
        </is>
      </c>
      <c r="U24" s="49">
        <f>IF(Q24="","",IF(Q24="待结算","待结算",IF(Q24="红","黑",IF(Q24="半红","半黑",IF(Q24="走","走",IF(Q24="半黑","半红","红"))))))</f>
        <v/>
      </c>
      <c r="V24" s="87">
        <f>IF(OR(U24="",U24="待结算"),"",IF(L24=LEFT(F24,FIND(" vs ",F24)-1),I24,G24))</f>
        <v/>
      </c>
      <c r="W24" s="87">
        <f>IF(OR(U24="",U24="待结算"),"",IF(U24="红",V24,IF(U24="半红",V24*0.5,IF(U24="走",0,IF(U24="半黑",-0.5,-1)))))</f>
        <v/>
      </c>
      <c r="X24" s="49" t="n">
        <v>0.95</v>
      </c>
      <c r="Y24" s="49" t="n">
        <v>-0.5</v>
      </c>
      <c r="Z24" s="49" t="n">
        <v>0.75</v>
      </c>
      <c r="AA24" s="49" t="n"/>
      <c r="AB24" s="49" t="n"/>
      <c r="AC24" s="49" t="n">
        <v>0.95</v>
      </c>
      <c r="AD24" s="49" t="n">
        <v>3.85</v>
      </c>
      <c r="AE24" s="49" t="n">
        <v>3.4</v>
      </c>
      <c r="AF24" s="49" t="n">
        <v>1.84</v>
      </c>
      <c r="AG24" s="49" t="n"/>
      <c r="AH24" s="49" t="n"/>
      <c r="AI24" s="49" t="n"/>
      <c r="AJ24" s="49" t="n"/>
      <c r="AK24" s="49" t="n"/>
      <c r="AL24" s="49" t="n"/>
      <c r="AM24" s="49" t="n"/>
      <c r="AN24" s="49" t="n"/>
      <c r="AO24" s="49" t="n"/>
      <c r="AP24" s="49" t="n"/>
      <c r="AQ24" s="49" t="n">
        <v>0.5</v>
      </c>
      <c r="AR24" s="49" t="n"/>
      <c r="AS24" s="49" t="n"/>
      <c r="AT24" s="49" t="n"/>
      <c r="AU24" s="49" t="n"/>
      <c r="AV24" s="49" t="n"/>
      <c r="AW24" s="49" t="n"/>
      <c r="AX24" s="49" t="n"/>
      <c r="AY24" s="49" t="inlineStr">
        <is>
          <t>Titan007 Next</t>
        </is>
      </c>
      <c r="AZ24" s="0" t="inlineStr">
        <is>
          <t>新增冻结记录；历史字段缺失处留空</t>
        </is>
      </c>
    </row>
    <row r="25" ht="22" customHeight="1" s="78">
      <c r="A25" s="49" t="inlineStr">
        <is>
          <t>2026-10-02</t>
        </is>
      </c>
      <c r="B25" s="49" t="inlineStr">
        <is>
          <t>2026-10-03 08:00:00</t>
        </is>
      </c>
      <c r="C25" s="49" t="inlineStr">
        <is>
          <t>NATIONAL_OFFICIAL</t>
        </is>
      </c>
      <c r="D25" s="49" t="inlineStr">
        <is>
          <t>联赛</t>
        </is>
      </c>
      <c r="E25" s="49" t="inlineStr">
        <is>
          <t>中北美国联</t>
        </is>
      </c>
      <c r="F25" s="49" t="inlineStr">
        <is>
          <t>巴巴多斯 vs 百慕大群岛</t>
        </is>
      </c>
      <c r="G25" s="60" t="n">
        <v>0.8</v>
      </c>
      <c r="H25" s="60" t="n">
        <v>0.5</v>
      </c>
      <c r="I25" s="60" t="n">
        <v>0.9</v>
      </c>
      <c r="J25" s="49" t="inlineStr">
        <is>
          <t>0.8/0.5/0.9</t>
        </is>
      </c>
      <c r="K25" s="49" t="inlineStr">
        <is>
          <t>诱上/阻下</t>
        </is>
      </c>
      <c r="L25" s="49" t="inlineStr">
        <is>
          <t>百慕大群岛（下盘）</t>
        </is>
      </c>
      <c r="M25" s="86" t="n">
        <v>0.59048388</v>
      </c>
      <c r="N25" s="49" t="inlineStr">
        <is>
          <t>网页可投</t>
        </is>
      </c>
      <c r="O25" s="49" t="inlineStr">
        <is>
          <t>4-1</t>
        </is>
      </c>
      <c r="P25" s="49" t="inlineStr">
        <is>
          <t>已结算</t>
        </is>
      </c>
      <c r="Q25" s="49" t="inlineStr">
        <is>
          <t>黑半</t>
        </is>
      </c>
      <c r="R25" s="87" t="n">
        <v>0.9</v>
      </c>
      <c r="S25" s="87" t="n">
        <v>-0.5</v>
      </c>
      <c r="T25" s="49" t="inlineStr">
        <is>
          <t>D:\codex\v3_legacy\outputs\football_odds_trader\raw\titan007\20261004\20261004_084919_titan007_odds_snapshot.csv</t>
        </is>
      </c>
      <c r="U25" s="49">
        <f>IF(Q25="","",IF(Q25="待结算","待结算",IF(Q25="红","黑",IF(Q25="半红","半黑",IF(Q25="走","走",IF(Q25="半黑","半红","红"))))))</f>
        <v/>
      </c>
      <c r="V25" s="87">
        <f>IF(OR(U25="",U25="待结算"),"",IF(L25=LEFT(F25,FIND(" vs ",F25)-1),I25,G25))</f>
        <v/>
      </c>
      <c r="W25" s="87">
        <f>IF(OR(U25="",U25="待结算"),"",IF(U25="红",V25,IF(U25="半红",V25*0.5,IF(U25="走",0,IF(U25="半黑",-0.5,-1)))))</f>
        <v/>
      </c>
      <c r="X25" s="49" t="n">
        <v>0.8</v>
      </c>
      <c r="Y25" s="49" t="n">
        <v>0.5</v>
      </c>
      <c r="Z25" s="49" t="n">
        <v>0.9</v>
      </c>
      <c r="AA25" s="49" t="n"/>
      <c r="AB25" s="49" t="n"/>
      <c r="AC25" s="49" t="n">
        <v>0.9</v>
      </c>
      <c r="AD25" s="49" t="n">
        <v>1.97</v>
      </c>
      <c r="AE25" s="49" t="n">
        <v>3.42</v>
      </c>
      <c r="AF25" s="49" t="n">
        <v>3.38</v>
      </c>
      <c r="AG25" s="49" t="n"/>
      <c r="AH25" s="49" t="n"/>
      <c r="AI25" s="49" t="n"/>
      <c r="AJ25" s="49" t="n"/>
      <c r="AK25" s="49" t="n"/>
      <c r="AL25" s="49" t="n"/>
      <c r="AM25" s="49" t="n"/>
      <c r="AN25" s="49" t="n"/>
      <c r="AO25" s="49" t="n"/>
      <c r="AP25" s="49" t="n"/>
      <c r="AQ25" s="49" t="n">
        <v>0.5</v>
      </c>
      <c r="AR25" s="49" t="n"/>
      <c r="AS25" s="49" t="n"/>
      <c r="AT25" s="49" t="n"/>
      <c r="AU25" s="49" t="n"/>
      <c r="AV25" s="49" t="n"/>
      <c r="AW25" s="49" t="n"/>
      <c r="AX25" s="49" t="n"/>
      <c r="AY25" s="49" t="inlineStr">
        <is>
          <t>Titan007 Next</t>
        </is>
      </c>
      <c r="AZ25" s="0" t="inlineStr">
        <is>
          <t>新增冻结记录；历史字段缺失处留空</t>
        </is>
      </c>
    </row>
    <row r="26" ht="22" customHeight="1" s="78">
      <c r="A26" s="49" t="inlineStr">
        <is>
          <t>2026-10-02</t>
        </is>
      </c>
      <c r="B26" s="49" t="inlineStr">
        <is>
          <t>2026-10-03 08:00:00</t>
        </is>
      </c>
      <c r="C26" s="49" t="inlineStr">
        <is>
          <t>NATIONAL_OFFICIAL</t>
        </is>
      </c>
      <c r="D26" s="49" t="inlineStr">
        <is>
          <t>联赛</t>
        </is>
      </c>
      <c r="E26" s="49" t="inlineStr">
        <is>
          <t>中北美国联</t>
        </is>
      </c>
      <c r="F26" s="49" t="inlineStr">
        <is>
          <t>马提尼克 vs 洪都拉斯</t>
        </is>
      </c>
      <c r="G26" s="60" t="n">
        <v>0.95</v>
      </c>
      <c r="H26" s="60" t="n">
        <v>0.5</v>
      </c>
      <c r="I26" s="60" t="n">
        <v>0.75</v>
      </c>
      <c r="J26" s="49" t="inlineStr">
        <is>
          <t>0.95/0.5/0.75</t>
        </is>
      </c>
      <c r="K26" s="49" t="inlineStr">
        <is>
          <t>诱上/阻下</t>
        </is>
      </c>
      <c r="L26" s="49" t="inlineStr">
        <is>
          <t>马提尼克（下盘）</t>
        </is>
      </c>
      <c r="M26" s="86" t="n">
        <v>0.59048388</v>
      </c>
      <c r="N26" s="49" t="inlineStr">
        <is>
          <t>网页可投</t>
        </is>
      </c>
      <c r="O26" s="49" t="inlineStr">
        <is>
          <t>2-1</t>
        </is>
      </c>
      <c r="P26" s="49" t="inlineStr">
        <is>
          <t>已结算</t>
        </is>
      </c>
      <c r="Q26" s="49" t="inlineStr">
        <is>
          <t>红半</t>
        </is>
      </c>
      <c r="R26" s="87" t="n">
        <v>0.95</v>
      </c>
      <c r="S26" s="87" t="n">
        <v>0.475</v>
      </c>
      <c r="T26" s="49" t="inlineStr">
        <is>
          <t>D:\codex\v3_legacy\outputs\football_odds_trader\raw\titan007\20261004\20261004_084919_titan007_odds_snapshot.csv</t>
        </is>
      </c>
      <c r="U26" s="49">
        <f>IF(Q26="","",IF(Q26="待结算","待结算",IF(Q26="红","黑",IF(Q26="半红","半黑",IF(Q26="走","走",IF(Q26="半黑","半红","红"))))))</f>
        <v/>
      </c>
      <c r="V26" s="87">
        <f>IF(OR(U26="",U26="待结算"),"",IF(L26=LEFT(F26,FIND(" vs ",F26)-1),I26,G26))</f>
        <v/>
      </c>
      <c r="W26" s="87">
        <f>IF(OR(U26="",U26="待结算"),"",IF(U26="红",V26,IF(U26="半红",V26*0.5,IF(U26="走",0,IF(U26="半黑",-0.5,-1)))))</f>
        <v/>
      </c>
      <c r="X26" s="49" t="n">
        <v>0.75</v>
      </c>
      <c r="Y26" s="49" t="n">
        <v>-0.5</v>
      </c>
      <c r="Z26" s="49" t="n">
        <v>0.95</v>
      </c>
      <c r="AA26" s="49" t="n"/>
      <c r="AB26" s="49" t="n"/>
      <c r="AC26" s="49" t="n">
        <v>0.95</v>
      </c>
      <c r="AD26" s="49" t="n">
        <v>3.75</v>
      </c>
      <c r="AE26" s="49" t="n">
        <v>3.38</v>
      </c>
      <c r="AF26" s="49" t="n">
        <v>1.89</v>
      </c>
      <c r="AG26" s="49" t="n"/>
      <c r="AH26" s="49" t="n"/>
      <c r="AI26" s="49" t="n"/>
      <c r="AJ26" s="49" t="n"/>
      <c r="AK26" s="49" t="n"/>
      <c r="AL26" s="49" t="n"/>
      <c r="AM26" s="49" t="n"/>
      <c r="AN26" s="49" t="n"/>
      <c r="AO26" s="49" t="n"/>
      <c r="AP26" s="49" t="n"/>
      <c r="AQ26" s="49" t="n">
        <v>0.5</v>
      </c>
      <c r="AR26" s="49" t="n"/>
      <c r="AS26" s="49" t="n"/>
      <c r="AT26" s="49" t="n"/>
      <c r="AU26" s="49" t="n"/>
      <c r="AV26" s="49" t="n"/>
      <c r="AW26" s="49" t="n"/>
      <c r="AX26" s="49" t="n"/>
      <c r="AY26" s="49" t="inlineStr">
        <is>
          <t>Titan007 Next</t>
        </is>
      </c>
      <c r="AZ26" s="0" t="inlineStr">
        <is>
          <t>新增冻结记录；历史字段缺失处留空</t>
        </is>
      </c>
    </row>
    <row r="27" ht="22" customHeight="1" s="78">
      <c r="A27" s="49" t="inlineStr">
        <is>
          <t>2026-10-02</t>
        </is>
      </c>
      <c r="B27" s="49" t="inlineStr">
        <is>
          <t>2026-10-03 10:00:00</t>
        </is>
      </c>
      <c r="C27" s="49" t="inlineStr">
        <is>
          <t>NATIONAL_OFFICIAL</t>
        </is>
      </c>
      <c r="D27" s="49" t="inlineStr">
        <is>
          <t>联赛</t>
        </is>
      </c>
      <c r="E27" s="49" t="inlineStr">
        <is>
          <t>中北美国联</t>
        </is>
      </c>
      <c r="F27" s="49" t="inlineStr">
        <is>
          <t>萨尔瓦多 vs 牙买加</t>
        </is>
      </c>
      <c r="G27" s="60" t="n">
        <v>0.86</v>
      </c>
      <c r="H27" s="60" t="n">
        <v>0.25</v>
      </c>
      <c r="I27" s="60" t="n">
        <v>0.84</v>
      </c>
      <c r="J27" s="49" t="inlineStr">
        <is>
          <t>0.86/0.25/0.84</t>
        </is>
      </c>
      <c r="K27" s="49" t="inlineStr">
        <is>
          <t>诱上/阻下</t>
        </is>
      </c>
      <c r="L27" s="49" t="inlineStr">
        <is>
          <t>萨尔瓦多（下盘）</t>
        </is>
      </c>
      <c r="M27" s="86" t="n">
        <v>0.59048388</v>
      </c>
      <c r="N27" s="49" t="inlineStr">
        <is>
          <t>网页可投</t>
        </is>
      </c>
      <c r="O27" s="49" t="inlineStr">
        <is>
          <t>0-2</t>
        </is>
      </c>
      <c r="P27" s="49" t="inlineStr">
        <is>
          <t>已结算</t>
        </is>
      </c>
      <c r="Q27" s="49" t="inlineStr">
        <is>
          <t>黑半</t>
        </is>
      </c>
      <c r="R27" s="87" t="n">
        <v>0.86</v>
      </c>
      <c r="S27" s="87" t="n">
        <v>-0.5</v>
      </c>
      <c r="T27" s="49" t="inlineStr">
        <is>
          <t>D:\codex\v3_legacy\outputs\football_odds_trader\raw\titan007\20261004\20261004_084919_titan007_odds_snapshot.csv</t>
        </is>
      </c>
      <c r="U27" s="49">
        <f>IF(Q27="","",IF(Q27="待结算","待结算",IF(Q27="红","黑",IF(Q27="半红","半黑",IF(Q27="走","走",IF(Q27="半黑","半红","红"))))))</f>
        <v/>
      </c>
      <c r="V27" s="87">
        <f>IF(OR(U27="",U27="待结算"),"",IF(L27=LEFT(F27,FIND(" vs ",F27)-1),I27,G27))</f>
        <v/>
      </c>
      <c r="W27" s="87">
        <f>IF(OR(U27="",U27="待结算"),"",IF(U27="红",V27,IF(U27="半红",V27*0.5,IF(U27="走",0,IF(U27="半黑",-0.5,-1)))))</f>
        <v/>
      </c>
      <c r="X27" s="49" t="n">
        <v>1</v>
      </c>
      <c r="Y27" s="49" t="n">
        <v>0</v>
      </c>
      <c r="Z27" s="49" t="n">
        <v>0.7</v>
      </c>
      <c r="AA27" s="49" t="n"/>
      <c r="AB27" s="49" t="n"/>
      <c r="AC27" s="49" t="n">
        <v>0.86</v>
      </c>
      <c r="AD27" s="49" t="n">
        <v>2.78</v>
      </c>
      <c r="AE27" s="49" t="n">
        <v>3.19</v>
      </c>
      <c r="AF27" s="49" t="n">
        <v>2.38</v>
      </c>
      <c r="AG27" s="49" t="n"/>
      <c r="AH27" s="49" t="n"/>
      <c r="AI27" s="49" t="n"/>
      <c r="AJ27" s="49" t="n"/>
      <c r="AK27" s="49" t="n"/>
      <c r="AL27" s="49" t="n"/>
      <c r="AM27" s="49" t="n"/>
      <c r="AN27" s="49" t="n"/>
      <c r="AO27" s="49" t="n"/>
      <c r="AP27" s="49" t="n"/>
      <c r="AQ27" s="49" t="n">
        <v>0.25</v>
      </c>
      <c r="AR27" s="49" t="n"/>
      <c r="AS27" s="49" t="n"/>
      <c r="AT27" s="49" t="n"/>
      <c r="AU27" s="49" t="n"/>
      <c r="AV27" s="49" t="n"/>
      <c r="AW27" s="49" t="n"/>
      <c r="AX27" s="49" t="n"/>
      <c r="AY27" s="49" t="inlineStr">
        <is>
          <t>Titan007 Next</t>
        </is>
      </c>
      <c r="AZ27" s="0" t="inlineStr">
        <is>
          <t>新增冻结记录；历史字段缺失处留空</t>
        </is>
      </c>
    </row>
    <row r="28" ht="22" customHeight="1" s="78">
      <c r="A28" s="49" t="inlineStr">
        <is>
          <t>2026-10-03</t>
        </is>
      </c>
      <c r="B28" s="49" t="inlineStr">
        <is>
          <t>2026-10-03 13:00:00</t>
        </is>
      </c>
      <c r="C28" s="49" t="inlineStr">
        <is>
          <t>CLUB_LEAGUE</t>
        </is>
      </c>
      <c r="D28" s="49" t="inlineStr">
        <is>
          <t>联赛</t>
        </is>
      </c>
      <c r="E28" s="49" t="inlineStr">
        <is>
          <t>日职丙</t>
        </is>
      </c>
      <c r="F28" s="49" t="inlineStr">
        <is>
          <t>FC岐阜 vs 山口雷法</t>
        </is>
      </c>
      <c r="G28" s="60" t="n">
        <v>0.82</v>
      </c>
      <c r="H28" s="60" t="n">
        <v>0</v>
      </c>
      <c r="I28" s="60" t="n">
        <v>0.9399999999999999</v>
      </c>
      <c r="J28" s="49" t="inlineStr">
        <is>
          <t>0.82/0.0/0.94</t>
        </is>
      </c>
      <c r="K28" s="49" t="n"/>
      <c r="L28" s="49" t="inlineStr">
        <is>
          <t>FC岐阜</t>
        </is>
      </c>
      <c r="M28" s="86" t="n">
        <v>0.579</v>
      </c>
      <c r="N28" s="49" t="inlineStr">
        <is>
          <t>网页可投</t>
        </is>
      </c>
      <c r="O28" s="49" t="inlineStr">
        <is>
          <t>0-2</t>
        </is>
      </c>
      <c r="P28" s="49" t="inlineStr">
        <is>
          <t>已结算</t>
        </is>
      </c>
      <c r="Q28" s="49" t="inlineStr">
        <is>
          <t>黑</t>
        </is>
      </c>
      <c r="R28" s="87" t="n">
        <v>0.82</v>
      </c>
      <c r="S28" s="87" t="n">
        <v>-1</v>
      </c>
      <c r="T28" s="49" t="inlineStr">
        <is>
          <t>D:\codex\v3_legacy\outputs\football_odds_trader\raw\titan007\20261004\20261004_084919_titan007_odds_snapshot.csv</t>
        </is>
      </c>
      <c r="U28" s="49">
        <f>IF(Q28="","",IF(Q28="待结算","待结算",IF(Q28="红","黑",IF(Q28="半红","半黑",IF(Q28="走","走",IF(Q28="半黑","半红","红"))))))</f>
        <v/>
      </c>
      <c r="V28" s="87">
        <f>IF(OR(U28="",U28="待结算"),"",IF(L28=LEFT(F28,FIND(" vs ",F28)-1),I28,G28))</f>
        <v/>
      </c>
      <c r="W28" s="87">
        <f>IF(OR(U28="",U28="待结算"),"",IF(U28="红",V28,IF(U28="半红",V28*0.5,IF(U28="走",0,IF(U28="半黑",-0.5,-1)))))</f>
        <v/>
      </c>
      <c r="X28" s="49" t="n">
        <v>0.82</v>
      </c>
      <c r="Y28" s="49" t="n">
        <v>0</v>
      </c>
      <c r="Z28" s="49" t="n">
        <v>0.9399999999999999</v>
      </c>
      <c r="AA28" s="49" t="n"/>
      <c r="AB28" s="49" t="n"/>
      <c r="AC28" s="49" t="n">
        <v>0.82</v>
      </c>
      <c r="AD28" s="49" t="n">
        <v>2.2</v>
      </c>
      <c r="AE28" s="49" t="n">
        <v>3.41</v>
      </c>
      <c r="AF28" s="49" t="n">
        <v>2.83</v>
      </c>
      <c r="AG28" s="49" t="n"/>
      <c r="AH28" s="49" t="n"/>
      <c r="AI28" s="49" t="n"/>
      <c r="AJ28" s="49" t="n"/>
      <c r="AK28" s="49" t="n"/>
      <c r="AL28" s="49" t="n"/>
      <c r="AM28" s="49" t="n"/>
      <c r="AN28" s="49" t="n"/>
      <c r="AO28" s="49" t="n"/>
      <c r="AP28" s="49" t="n"/>
      <c r="AQ28" s="49" t="n">
        <v>0</v>
      </c>
      <c r="AR28" s="49" t="n"/>
      <c r="AS28" s="49" t="n"/>
      <c r="AT28" s="49" t="n"/>
      <c r="AU28" s="49" t="n"/>
      <c r="AV28" s="49" t="n"/>
      <c r="AW28" s="49" t="n"/>
      <c r="AX28" s="49" t="n"/>
      <c r="AY28" s="49" t="inlineStr">
        <is>
          <t>Titan007 snapshot</t>
        </is>
      </c>
      <c r="AZ28" s="0" t="inlineStr">
        <is>
          <t>新增冻结记录；历史字段缺失处留空</t>
        </is>
      </c>
    </row>
    <row r="29" ht="22" customHeight="1" s="78">
      <c r="A29" s="49" t="inlineStr">
        <is>
          <t>2026-10-03</t>
        </is>
      </c>
      <c r="B29" s="49" t="inlineStr">
        <is>
          <t>2026-10-03 13:00:00</t>
        </is>
      </c>
      <c r="C29" s="49" t="inlineStr">
        <is>
          <t>CLUB_LEAGUE</t>
        </is>
      </c>
      <c r="D29" s="49" t="inlineStr">
        <is>
          <t>联赛</t>
        </is>
      </c>
      <c r="E29" s="49" t="inlineStr">
        <is>
          <t>日职乙</t>
        </is>
      </c>
      <c r="F29" s="49" t="inlineStr">
        <is>
          <t>新泻天鹅 vs 德岛漩涡</t>
        </is>
      </c>
      <c r="G29" s="60" t="n">
        <v>0.84</v>
      </c>
      <c r="H29" s="60" t="n">
        <v>0</v>
      </c>
      <c r="I29" s="60" t="n">
        <v>1.04</v>
      </c>
      <c r="J29" s="49" t="inlineStr">
        <is>
          <t>0.84/0.0/1.04</t>
        </is>
      </c>
      <c r="K29" s="49" t="n"/>
      <c r="L29" s="49" t="inlineStr">
        <is>
          <t>新泻天鹅</t>
        </is>
      </c>
      <c r="M29" s="86" t="n">
        <v>0.579</v>
      </c>
      <c r="N29" s="49" t="inlineStr">
        <is>
          <t>网页可投</t>
        </is>
      </c>
      <c r="O29" s="49" t="inlineStr">
        <is>
          <t>2-1</t>
        </is>
      </c>
      <c r="P29" s="49" t="inlineStr">
        <is>
          <t>已结算</t>
        </is>
      </c>
      <c r="Q29" s="49" t="inlineStr">
        <is>
          <t>红</t>
        </is>
      </c>
      <c r="R29" s="87" t="n">
        <v>0.84</v>
      </c>
      <c r="S29" s="87" t="n">
        <v>0.84</v>
      </c>
      <c r="T29" s="49" t="inlineStr">
        <is>
          <t>D:\codex\v3_legacy\outputs\football_odds_trader\raw\titan007\20261004\20261004_084919_titan007_odds_snapshot.csv</t>
        </is>
      </c>
      <c r="U29" s="49">
        <f>IF(Q29="","",IF(Q29="待结算","待结算",IF(Q29="红","黑",IF(Q29="半红","半黑",IF(Q29="走","走",IF(Q29="半黑","半红","红"))))))</f>
        <v/>
      </c>
      <c r="V29" s="87">
        <f>IF(OR(U29="",U29="待结算"),"",IF(L29=LEFT(F29,FIND(" vs ",F29)-1),I29,G29))</f>
        <v/>
      </c>
      <c r="W29" s="87">
        <f>IF(OR(U29="",U29="待结算"),"",IF(U29="红",V29,IF(U29="半红",V29*0.5,IF(U29="走",0,IF(U29="半黑",-0.5,-1)))))</f>
        <v/>
      </c>
      <c r="X29" s="49" t="n">
        <v>0.8100000000000001</v>
      </c>
      <c r="Y29" s="49" t="n">
        <v>0</v>
      </c>
      <c r="Z29" s="49" t="n">
        <v>1.01</v>
      </c>
      <c r="AA29" s="49" t="n"/>
      <c r="AB29" s="49" t="n"/>
      <c r="AC29" s="49" t="n">
        <v>0.84</v>
      </c>
      <c r="AD29" s="49" t="n">
        <v>2.41</v>
      </c>
      <c r="AE29" s="49" t="n">
        <v>3.02</v>
      </c>
      <c r="AF29" s="49" t="n">
        <v>2.84</v>
      </c>
      <c r="AG29" s="49" t="n"/>
      <c r="AH29" s="49" t="n"/>
      <c r="AI29" s="49" t="n"/>
      <c r="AJ29" s="49" t="n"/>
      <c r="AK29" s="49" t="n"/>
      <c r="AL29" s="49" t="n"/>
      <c r="AM29" s="49" t="n"/>
      <c r="AN29" s="49" t="n"/>
      <c r="AO29" s="49" t="n"/>
      <c r="AP29" s="49" t="n"/>
      <c r="AQ29" s="49" t="n">
        <v>0</v>
      </c>
      <c r="AR29" s="49" t="n"/>
      <c r="AS29" s="49" t="n"/>
      <c r="AT29" s="49" t="n"/>
      <c r="AU29" s="49" t="n"/>
      <c r="AV29" s="49" t="n"/>
      <c r="AW29" s="49" t="n"/>
      <c r="AX29" s="49" t="n"/>
      <c r="AY29" s="49" t="inlineStr">
        <is>
          <t>Titan007 snapshot</t>
        </is>
      </c>
      <c r="AZ29" s="0" t="inlineStr">
        <is>
          <t>新增冻结记录；历史字段缺失处留空</t>
        </is>
      </c>
    </row>
    <row r="30" ht="22" customHeight="1" s="78">
      <c r="A30" s="49" t="inlineStr">
        <is>
          <t>2026-10-03</t>
        </is>
      </c>
      <c r="B30" s="49" t="inlineStr">
        <is>
          <t>2026-10-03 13:00:00</t>
        </is>
      </c>
      <c r="C30" s="49" t="inlineStr">
        <is>
          <t>CLUB_LEAGUE</t>
        </is>
      </c>
      <c r="D30" s="49" t="inlineStr">
        <is>
          <t>联赛</t>
        </is>
      </c>
      <c r="E30" s="49" t="inlineStr">
        <is>
          <t>日职乙</t>
        </is>
      </c>
      <c r="F30" s="49" t="inlineStr">
        <is>
          <t>藤枝MYFC vs 湘南海洋</t>
        </is>
      </c>
      <c r="G30" s="60" t="n">
        <v>1.08</v>
      </c>
      <c r="H30" s="60" t="n">
        <v>0</v>
      </c>
      <c r="I30" s="60" t="n">
        <v>0.8</v>
      </c>
      <c r="J30" s="49" t="inlineStr">
        <is>
          <t>1.08/0.0/0.8</t>
        </is>
      </c>
      <c r="K30" s="49" t="n"/>
      <c r="L30" s="49" t="inlineStr">
        <is>
          <t>湘南海洋</t>
        </is>
      </c>
      <c r="M30" s="86" t="n">
        <v>0.579</v>
      </c>
      <c r="N30" s="49" t="inlineStr">
        <is>
          <t>网页可投</t>
        </is>
      </c>
      <c r="O30" s="49" t="inlineStr">
        <is>
          <t>1-1</t>
        </is>
      </c>
      <c r="P30" s="49" t="inlineStr">
        <is>
          <t>已结算</t>
        </is>
      </c>
      <c r="Q30" s="49" t="inlineStr">
        <is>
          <t>走</t>
        </is>
      </c>
      <c r="R30" s="87" t="n">
        <v>0.8</v>
      </c>
      <c r="S30" s="87" t="n">
        <v>0</v>
      </c>
      <c r="T30" s="49" t="inlineStr">
        <is>
          <t>D:\codex\v3_legacy\outputs\football_odds_trader\raw\titan007\20261004\20261004_084919_titan007_odds_snapshot.csv</t>
        </is>
      </c>
      <c r="U30" s="49">
        <f>IF(Q30="","",IF(Q30="待结算","待结算",IF(Q30="红","黑",IF(Q30="半红","半黑",IF(Q30="走","走",IF(Q30="半黑","半红","红"))))))</f>
        <v/>
      </c>
      <c r="V30" s="87">
        <f>IF(OR(U30="",U30="待结算"),"",IF(L30=LEFT(F30,FIND(" vs ",F30)-1),I30,G30))</f>
        <v/>
      </c>
      <c r="W30" s="87">
        <f>IF(OR(U30="",U30="待结算"),"",IF(U30="红",V30,IF(U30="半红",V30*0.5,IF(U30="走",0,IF(U30="半黑",-0.5,-1)))))</f>
        <v/>
      </c>
      <c r="X30" s="49" t="n">
        <v>1.05</v>
      </c>
      <c r="Y30" s="49" t="n">
        <v>0</v>
      </c>
      <c r="Z30" s="49" t="n">
        <v>0.77</v>
      </c>
      <c r="AA30" s="49" t="n"/>
      <c r="AB30" s="49" t="n"/>
      <c r="AC30" s="49" t="n">
        <v>0.8</v>
      </c>
      <c r="AD30" s="49" t="n">
        <v>2.78</v>
      </c>
      <c r="AE30" s="49" t="n">
        <v>3.09</v>
      </c>
      <c r="AF30" s="49" t="n">
        <v>2.39</v>
      </c>
      <c r="AG30" s="49" t="n"/>
      <c r="AH30" s="49" t="n"/>
      <c r="AI30" s="49" t="n"/>
      <c r="AJ30" s="49" t="n"/>
      <c r="AK30" s="49" t="n"/>
      <c r="AL30" s="49" t="n"/>
      <c r="AM30" s="49" t="n"/>
      <c r="AN30" s="49" t="n"/>
      <c r="AO30" s="49" t="n"/>
      <c r="AP30" s="49" t="n"/>
      <c r="AQ30" s="49" t="n">
        <v>0</v>
      </c>
      <c r="AR30" s="49" t="n"/>
      <c r="AS30" s="49" t="n"/>
      <c r="AT30" s="49" t="n"/>
      <c r="AU30" s="49" t="n"/>
      <c r="AV30" s="49" t="n"/>
      <c r="AW30" s="49" t="n"/>
      <c r="AX30" s="49" t="n"/>
      <c r="AY30" s="49" t="inlineStr">
        <is>
          <t>Titan007 snapshot</t>
        </is>
      </c>
      <c r="AZ30" s="0" t="inlineStr">
        <is>
          <t>新增冻结记录；历史字段缺失处留空</t>
        </is>
      </c>
    </row>
    <row r="31" ht="22" customHeight="1" s="78">
      <c r="A31" s="49" t="inlineStr">
        <is>
          <t>2026-10-03</t>
        </is>
      </c>
      <c r="B31" s="49" t="inlineStr">
        <is>
          <t>2026-10-03 14:00:00</t>
        </is>
      </c>
      <c r="C31" s="49" t="inlineStr">
        <is>
          <t>CLUB_LEAGUE</t>
        </is>
      </c>
      <c r="D31" s="49" t="inlineStr">
        <is>
          <t>联赛</t>
        </is>
      </c>
      <c r="E31" s="49" t="inlineStr">
        <is>
          <t>日职丙</t>
        </is>
      </c>
      <c r="F31" s="49" t="inlineStr">
        <is>
          <t>FC爱媛 vs 群马草津温泉</t>
        </is>
      </c>
      <c r="G31" s="60" t="n">
        <v>0.83</v>
      </c>
      <c r="H31" s="60" t="n">
        <v>0.75</v>
      </c>
      <c r="I31" s="60" t="n">
        <v>0.93</v>
      </c>
      <c r="J31" s="49" t="inlineStr">
        <is>
          <t>0.83/0.75/0.93</t>
        </is>
      </c>
      <c r="K31" s="49" t="n"/>
      <c r="L31" s="49" t="inlineStr">
        <is>
          <t>FC爱媛</t>
        </is>
      </c>
      <c r="M31" s="86" t="n">
        <v>0.579</v>
      </c>
      <c r="N31" s="49" t="inlineStr">
        <is>
          <t>网页可投</t>
        </is>
      </c>
      <c r="O31" s="49" t="inlineStr">
        <is>
          <t>3-1</t>
        </is>
      </c>
      <c r="P31" s="49" t="inlineStr">
        <is>
          <t>已结算</t>
        </is>
      </c>
      <c r="Q31" s="49" t="inlineStr">
        <is>
          <t>红</t>
        </is>
      </c>
      <c r="R31" s="87" t="n">
        <v>0.83</v>
      </c>
      <c r="S31" s="87" t="n">
        <v>0.83</v>
      </c>
      <c r="T31" s="49" t="inlineStr">
        <is>
          <t>D:\codex\v3_legacy\outputs\football_odds_trader\raw\titan007\20261004\20261004_084919_titan007_odds_snapshot.csv</t>
        </is>
      </c>
      <c r="U31" s="49">
        <f>IF(Q31="","",IF(Q31="待结算","待结算",IF(Q31="红","黑",IF(Q31="半红","半黑",IF(Q31="走","走",IF(Q31="半黑","半红","红"))))))</f>
        <v/>
      </c>
      <c r="V31" s="87">
        <f>IF(OR(U31="",U31="待结算"),"",IF(L31=LEFT(F31,FIND(" vs ",F31)-1),I31,G31))</f>
        <v/>
      </c>
      <c r="W31" s="87">
        <f>IF(OR(U31="",U31="待结算"),"",IF(U31="红",V31,IF(U31="半红",V31*0.5,IF(U31="走",0,IF(U31="半黑",-0.5,-1)))))</f>
        <v/>
      </c>
      <c r="X31" s="49" t="n">
        <v>0.83</v>
      </c>
      <c r="Y31" s="49" t="n">
        <v>0.75</v>
      </c>
      <c r="Z31" s="49" t="n">
        <v>0.93</v>
      </c>
      <c r="AA31" s="49" t="n"/>
      <c r="AB31" s="49" t="n"/>
      <c r="AC31" s="49" t="n">
        <v>0.83</v>
      </c>
      <c r="AD31" s="49" t="n">
        <v>1.52</v>
      </c>
      <c r="AE31" s="49" t="n">
        <v>4.11</v>
      </c>
      <c r="AF31" s="49" t="n">
        <v>4.96</v>
      </c>
      <c r="AG31" s="49" t="n"/>
      <c r="AH31" s="49" t="n"/>
      <c r="AI31" s="49" t="n"/>
      <c r="AJ31" s="49" t="n"/>
      <c r="AK31" s="49" t="n"/>
      <c r="AL31" s="49" t="n"/>
      <c r="AM31" s="49" t="n"/>
      <c r="AN31" s="49" t="n"/>
      <c r="AO31" s="49" t="n"/>
      <c r="AP31" s="49" t="n"/>
      <c r="AQ31" s="49" t="n">
        <v>0.75</v>
      </c>
      <c r="AR31" s="49" t="n"/>
      <c r="AS31" s="49" t="n"/>
      <c r="AT31" s="49" t="n"/>
      <c r="AU31" s="49" t="n"/>
      <c r="AV31" s="49" t="n"/>
      <c r="AW31" s="49" t="n"/>
      <c r="AX31" s="49" t="n"/>
      <c r="AY31" s="49" t="inlineStr">
        <is>
          <t>Titan007 Next</t>
        </is>
      </c>
      <c r="AZ31" s="0" t="inlineStr">
        <is>
          <t>新增冻结记录；历史字段缺失处留空</t>
        </is>
      </c>
    </row>
    <row r="32" ht="22" customHeight="1" s="78">
      <c r="A32" s="49" t="inlineStr">
        <is>
          <t>2026-10-03</t>
        </is>
      </c>
      <c r="B32" s="49" t="inlineStr">
        <is>
          <t>2026-10-03 16:00:00</t>
        </is>
      </c>
      <c r="C32" s="49" t="inlineStr">
        <is>
          <t>CLUB_LEAGUE</t>
        </is>
      </c>
      <c r="D32" s="49" t="inlineStr">
        <is>
          <t>联赛</t>
        </is>
      </c>
      <c r="E32" s="49" t="inlineStr">
        <is>
          <t>日职丙</t>
        </is>
      </c>
      <c r="F32" s="49" t="inlineStr">
        <is>
          <t>SC相模原 vs 大阪俱乐部</t>
        </is>
      </c>
      <c r="G32" s="60" t="n">
        <v>0.8100000000000001</v>
      </c>
      <c r="H32" s="60" t="n">
        <v>0</v>
      </c>
      <c r="I32" s="60" t="n">
        <v>0.95</v>
      </c>
      <c r="J32" s="49" t="inlineStr">
        <is>
          <t>0.81/0.0/0.95</t>
        </is>
      </c>
      <c r="K32" s="49" t="n"/>
      <c r="L32" s="49" t="inlineStr">
        <is>
          <t>SC相模原</t>
        </is>
      </c>
      <c r="M32" s="86" t="n">
        <v>0.579</v>
      </c>
      <c r="N32" s="49" t="inlineStr">
        <is>
          <t>网页可投</t>
        </is>
      </c>
      <c r="O32" s="49" t="inlineStr">
        <is>
          <t>1-0</t>
        </is>
      </c>
      <c r="P32" s="49" t="inlineStr">
        <is>
          <t>已结算</t>
        </is>
      </c>
      <c r="Q32" s="49" t="inlineStr">
        <is>
          <t>红</t>
        </is>
      </c>
      <c r="R32" s="87" t="n">
        <v>0.8100000000000001</v>
      </c>
      <c r="S32" s="87" t="n">
        <v>0.8100000000000001</v>
      </c>
      <c r="T32" s="49" t="inlineStr">
        <is>
          <t>D:\codex\v3_legacy\outputs\football_odds_trader\raw\titan007\20261004\20261004_084919_titan007_odds_snapshot.csv</t>
        </is>
      </c>
      <c r="U32" s="49">
        <f>IF(Q32="","",IF(Q32="待结算","待结算",IF(Q32="红","黑",IF(Q32="半红","半黑",IF(Q32="走","走",IF(Q32="半黑","半红","红"))))))</f>
        <v/>
      </c>
      <c r="V32" s="87">
        <f>IF(OR(U32="",U32="待结算"),"",IF(L32=LEFT(F32,FIND(" vs ",F32)-1),I32,G32))</f>
        <v/>
      </c>
      <c r="W32" s="87">
        <f>IF(OR(U32="",U32="待结算"),"",IF(U32="红",V32,IF(U32="半红",V32*0.5,IF(U32="走",0,IF(U32="半黑",-0.5,-1)))))</f>
        <v/>
      </c>
      <c r="X32" s="49" t="n">
        <v>0.8100000000000001</v>
      </c>
      <c r="Y32" s="49" t="n">
        <v>0</v>
      </c>
      <c r="Z32" s="49" t="n">
        <v>0.95</v>
      </c>
      <c r="AA32" s="49" t="n"/>
      <c r="AB32" s="49" t="n"/>
      <c r="AC32" s="49" t="n">
        <v>0.8100000000000001</v>
      </c>
      <c r="AD32" s="49" t="n">
        <v>2.46</v>
      </c>
      <c r="AE32" s="49" t="n">
        <v>3.29</v>
      </c>
      <c r="AF32" s="49" t="n">
        <v>2.55</v>
      </c>
      <c r="AG32" s="49" t="n"/>
      <c r="AH32" s="49" t="n"/>
      <c r="AI32" s="49" t="n"/>
      <c r="AJ32" s="49" t="n"/>
      <c r="AK32" s="49" t="n"/>
      <c r="AL32" s="49" t="n"/>
      <c r="AM32" s="49" t="n"/>
      <c r="AN32" s="49" t="n"/>
      <c r="AO32" s="49" t="n"/>
      <c r="AP32" s="49" t="n"/>
      <c r="AQ32" s="49" t="n">
        <v>0</v>
      </c>
      <c r="AR32" s="49" t="n"/>
      <c r="AS32" s="49" t="n"/>
      <c r="AT32" s="49" t="n"/>
      <c r="AU32" s="49" t="n"/>
      <c r="AV32" s="49" t="n"/>
      <c r="AW32" s="49" t="n"/>
      <c r="AX32" s="49" t="n"/>
      <c r="AY32" s="49" t="inlineStr">
        <is>
          <t>Titan007 Next</t>
        </is>
      </c>
      <c r="AZ32" s="0" t="inlineStr">
        <is>
          <t>新增冻结记录；历史字段缺失处留空</t>
        </is>
      </c>
    </row>
    <row r="33" ht="22" customHeight="1" s="78">
      <c r="A33" s="49" t="inlineStr">
        <is>
          <t>2026-10-03</t>
        </is>
      </c>
      <c r="B33" s="49" t="inlineStr">
        <is>
          <t>2026-10-03 18:00:00</t>
        </is>
      </c>
      <c r="C33" s="49" t="inlineStr">
        <is>
          <t>CLUB_CUP</t>
        </is>
      </c>
      <c r="D33" s="49" t="inlineStr">
        <is>
          <t>杯赛</t>
        </is>
      </c>
      <c r="E33" s="49" t="inlineStr">
        <is>
          <t>日联杯</t>
        </is>
      </c>
      <c r="F33" s="49" t="inlineStr">
        <is>
          <t>柏太阳神 vs 大阪钢巴</t>
        </is>
      </c>
      <c r="G33" s="60" t="n">
        <v>0.79</v>
      </c>
      <c r="H33" s="60" t="n">
        <v>0.75</v>
      </c>
      <c r="I33" s="60" t="n">
        <v>1.03</v>
      </c>
      <c r="J33" s="49" t="inlineStr">
        <is>
          <t>0.79/0.75/1.03</t>
        </is>
      </c>
      <c r="K33" s="49" t="inlineStr">
        <is>
          <t>诱上/阻下</t>
        </is>
      </c>
      <c r="L33" s="49" t="inlineStr">
        <is>
          <t>柏太阳神</t>
        </is>
      </c>
      <c r="M33" s="86" t="n">
        <v>0.591378775</v>
      </c>
      <c r="N33" s="49" t="inlineStr">
        <is>
          <t>网页可投</t>
        </is>
      </c>
      <c r="O33" s="49" t="inlineStr">
        <is>
          <t>3-3</t>
        </is>
      </c>
      <c r="P33" s="49" t="inlineStr">
        <is>
          <t>已结算</t>
        </is>
      </c>
      <c r="Q33" s="49" t="inlineStr">
        <is>
          <t>黑</t>
        </is>
      </c>
      <c r="R33" s="87" t="n">
        <v>0.79</v>
      </c>
      <c r="S33" s="87" t="n">
        <v>-1</v>
      </c>
      <c r="T33" s="49" t="inlineStr">
        <is>
          <t>D:\codex\v3_legacy\outputs\football_odds_trader\raw\titan007\20261004\20261004_084919_titan007_odds_snapshot.csv</t>
        </is>
      </c>
      <c r="U33" s="49">
        <f>IF(Q33="","",IF(Q33="待结算","待结算",IF(Q33="红","黑",IF(Q33="半红","半黑",IF(Q33="走","走",IF(Q33="半黑","半红","红"))))))</f>
        <v/>
      </c>
      <c r="V33" s="87">
        <f>IF(OR(U33="",U33="待结算"),"",IF(L33=LEFT(F33,FIND(" vs ",F33)-1),I33,G33))</f>
        <v/>
      </c>
      <c r="W33" s="87">
        <f>IF(OR(U33="",U33="待结算"),"",IF(U33="红",V33,IF(U33="半红",V33*0.5,IF(U33="走",0,IF(U33="半黑",-0.5,-1)))))</f>
        <v/>
      </c>
      <c r="X33" s="49" t="n">
        <v>0.79</v>
      </c>
      <c r="Y33" s="49" t="n">
        <v>0.75</v>
      </c>
      <c r="Z33" s="49" t="n">
        <v>1.03</v>
      </c>
      <c r="AA33" s="49" t="n"/>
      <c r="AB33" s="49" t="n"/>
      <c r="AC33" s="49" t="n">
        <v>0.79</v>
      </c>
      <c r="AD33" s="49" t="n">
        <v>1.54</v>
      </c>
      <c r="AE33" s="49" t="n">
        <v>4.28</v>
      </c>
      <c r="AF33" s="49" t="n">
        <v>4.92</v>
      </c>
      <c r="AG33" s="49" t="n"/>
      <c r="AH33" s="49" t="n"/>
      <c r="AI33" s="49" t="n"/>
      <c r="AJ33" s="49" t="n"/>
      <c r="AK33" s="49" t="n"/>
      <c r="AL33" s="49" t="n"/>
      <c r="AM33" s="49" t="n"/>
      <c r="AN33" s="49" t="n"/>
      <c r="AO33" s="49" t="n"/>
      <c r="AP33" s="49" t="n"/>
      <c r="AQ33" s="49" t="n">
        <v>0.75</v>
      </c>
      <c r="AR33" s="49" t="n"/>
      <c r="AS33" s="49" t="n"/>
      <c r="AT33" s="49" t="n"/>
      <c r="AU33" s="49" t="n"/>
      <c r="AV33" s="49" t="n"/>
      <c r="AW33" s="49" t="n"/>
      <c r="AX33" s="49" t="n"/>
      <c r="AY33" s="49" t="inlineStr">
        <is>
          <t>Titan007 Next</t>
        </is>
      </c>
      <c r="AZ33" s="0" t="inlineStr">
        <is>
          <t>新增冻结记录；历史字段缺失处留空</t>
        </is>
      </c>
    </row>
    <row r="34" ht="22" customHeight="1" s="78">
      <c r="A34" s="49" t="inlineStr">
        <is>
          <t>2026-10-03</t>
        </is>
      </c>
      <c r="B34" s="49" t="inlineStr">
        <is>
          <t>2026-10-03 20:00:00</t>
        </is>
      </c>
      <c r="C34" s="49" t="inlineStr">
        <is>
          <t>CLUB_LEAGUE</t>
        </is>
      </c>
      <c r="D34" s="49" t="inlineStr">
        <is>
          <t>联赛</t>
        </is>
      </c>
      <c r="E34" s="49" t="inlineStr">
        <is>
          <t>丹麦乙</t>
        </is>
      </c>
      <c r="F34" s="49" t="inlineStr">
        <is>
          <t>米德法特 vs 法特列斯堡</t>
        </is>
      </c>
      <c r="G34" s="60" t="n">
        <v>0.8</v>
      </c>
      <c r="H34" s="60" t="n">
        <v>1</v>
      </c>
      <c r="I34" s="60" t="n">
        <v>0.9</v>
      </c>
      <c r="J34" s="49" t="inlineStr">
        <is>
          <t>0.8/1.0/0.9</t>
        </is>
      </c>
      <c r="K34" s="49" t="n"/>
      <c r="L34" s="49" t="inlineStr">
        <is>
          <t>米德法特</t>
        </is>
      </c>
      <c r="M34" s="86" t="n">
        <v>0.5760000000000001</v>
      </c>
      <c r="N34" s="49" t="inlineStr">
        <is>
          <t>网页可投</t>
        </is>
      </c>
      <c r="O34" s="49" t="inlineStr">
        <is>
          <t>1-0</t>
        </is>
      </c>
      <c r="P34" s="49" t="inlineStr">
        <is>
          <t>已结算</t>
        </is>
      </c>
      <c r="Q34" s="49" t="inlineStr">
        <is>
          <t>走</t>
        </is>
      </c>
      <c r="R34" s="87" t="n">
        <v>0.8</v>
      </c>
      <c r="S34" s="87" t="n">
        <v>0</v>
      </c>
      <c r="T34" s="49" t="inlineStr">
        <is>
          <t>D:\codex\v3_legacy\outputs\football_odds_trader\raw\titan007\20261004\20261004_084919_titan007_odds_snapshot.csv</t>
        </is>
      </c>
      <c r="U34" s="49">
        <f>IF(Q34="","",IF(Q34="待结算","待结算",IF(Q34="红","黑",IF(Q34="半红","半黑",IF(Q34="走","走",IF(Q34="半黑","半红","红"))))))</f>
        <v/>
      </c>
      <c r="V34" s="87">
        <f>IF(OR(U34="",U34="待结算"),"",IF(L34=LEFT(F34,FIND(" vs ",F34)-1),I34,G34))</f>
        <v/>
      </c>
      <c r="W34" s="87">
        <f>IF(OR(U34="",U34="待结算"),"",IF(U34="红",V34,IF(U34="半红",V34*0.5,IF(U34="走",0,IF(U34="半黑",-0.5,-1)))))</f>
        <v/>
      </c>
      <c r="X34" s="49" t="n">
        <v>0.8</v>
      </c>
      <c r="Y34" s="49" t="n">
        <v>1</v>
      </c>
      <c r="Z34" s="49" t="n">
        <v>0.9</v>
      </c>
      <c r="AA34" s="49" t="n"/>
      <c r="AB34" s="49" t="n"/>
      <c r="AC34" s="49" t="n">
        <v>0.8</v>
      </c>
      <c r="AD34" s="49" t="n">
        <v>1.54</v>
      </c>
      <c r="AE34" s="49" t="n">
        <v>3.91</v>
      </c>
      <c r="AF34" s="49" t="n">
        <v>4.99</v>
      </c>
      <c r="AG34" s="49" t="n"/>
      <c r="AH34" s="49" t="n"/>
      <c r="AI34" s="49" t="n"/>
      <c r="AJ34" s="49" t="n"/>
      <c r="AK34" s="49" t="n"/>
      <c r="AL34" s="49" t="n"/>
      <c r="AM34" s="49" t="n"/>
      <c r="AN34" s="49" t="n"/>
      <c r="AO34" s="49" t="n"/>
      <c r="AP34" s="49" t="n"/>
      <c r="AQ34" s="49" t="n">
        <v>1</v>
      </c>
      <c r="AR34" s="49" t="n"/>
      <c r="AS34" s="49" t="n"/>
      <c r="AT34" s="49" t="n"/>
      <c r="AU34" s="49" t="n"/>
      <c r="AV34" s="49" t="n"/>
      <c r="AW34" s="49" t="n"/>
      <c r="AX34" s="49" t="n"/>
      <c r="AY34" s="49" t="inlineStr">
        <is>
          <t>Titan007 Next</t>
        </is>
      </c>
      <c r="AZ34" s="0" t="inlineStr">
        <is>
          <t>新增冻结记录；历史字段缺失处留空</t>
        </is>
      </c>
    </row>
    <row r="35" ht="22" customHeight="1" s="78">
      <c r="A35" s="49" t="inlineStr">
        <is>
          <t>2026-10-03</t>
        </is>
      </c>
      <c r="B35" s="49" t="inlineStr">
        <is>
          <t>2026-10-03 20:00:00</t>
        </is>
      </c>
      <c r="C35" s="49" t="inlineStr">
        <is>
          <t>CLUB_LEAGUE</t>
        </is>
      </c>
      <c r="D35" s="49" t="inlineStr">
        <is>
          <t>联赛</t>
        </is>
      </c>
      <c r="E35" s="49" t="inlineStr">
        <is>
          <t>挪乙</t>
        </is>
      </c>
      <c r="F35" s="49" t="inlineStr">
        <is>
          <t>UII奇萨 vs 卡积沙斯</t>
        </is>
      </c>
      <c r="G35" s="60" t="n">
        <v>0.89</v>
      </c>
      <c r="H35" s="60" t="n">
        <v>1.75</v>
      </c>
      <c r="I35" s="60" t="n">
        <v>0.8100000000000001</v>
      </c>
      <c r="J35" s="49" t="inlineStr">
        <is>
          <t>0.89/1.75/0.81</t>
        </is>
      </c>
      <c r="K35" s="49" t="n"/>
      <c r="L35" s="49" t="inlineStr">
        <is>
          <t>卡积沙斯</t>
        </is>
      </c>
      <c r="M35" s="86" t="n">
        <v>0.5760000000000001</v>
      </c>
      <c r="N35" s="49" t="inlineStr">
        <is>
          <t>网页可投</t>
        </is>
      </c>
      <c r="O35" s="49" t="inlineStr">
        <is>
          <t>1-2</t>
        </is>
      </c>
      <c r="P35" s="49" t="inlineStr">
        <is>
          <t>已结算</t>
        </is>
      </c>
      <c r="Q35" s="49" t="inlineStr">
        <is>
          <t>黑</t>
        </is>
      </c>
      <c r="R35" s="87" t="n">
        <v>0.8100000000000001</v>
      </c>
      <c r="S35" s="87" t="n">
        <v>-1</v>
      </c>
      <c r="T35" s="49" t="inlineStr">
        <is>
          <t>D:\codex\v3_legacy\outputs\football_odds_trader\raw\titan007\20261004\20261004_084919_titan007_odds_snapshot.csv</t>
        </is>
      </c>
      <c r="U35" s="49">
        <f>IF(Q35="","",IF(Q35="待结算","待结算",IF(Q35="红","黑",IF(Q35="半红","半黑",IF(Q35="走","走",IF(Q35="半黑","半红","红"))))))</f>
        <v/>
      </c>
      <c r="V35" s="87">
        <f>IF(OR(U35="",U35="待结算"),"",IF(L35=LEFT(F35,FIND(" vs ",F35)-1),I35,G35))</f>
        <v/>
      </c>
      <c r="W35" s="87">
        <f>IF(OR(U35="",U35="待结算"),"",IF(U35="红",V35,IF(U35="半红",V35*0.5,IF(U35="走",0,IF(U35="半黑",-0.5,-1)))))</f>
        <v/>
      </c>
      <c r="X35" s="49" t="n">
        <v>0.84</v>
      </c>
      <c r="Y35" s="49" t="n">
        <v>-1.75</v>
      </c>
      <c r="Z35" s="49" t="n">
        <v>0.86</v>
      </c>
      <c r="AA35" s="49" t="n"/>
      <c r="AB35" s="49" t="n"/>
      <c r="AC35" s="49" t="n">
        <v>0.8100000000000001</v>
      </c>
      <c r="AD35" s="49" t="n">
        <v>6.84</v>
      </c>
      <c r="AE35" s="49" t="n">
        <v>5.59</v>
      </c>
      <c r="AF35" s="49" t="n">
        <v>1.3</v>
      </c>
      <c r="AG35" s="49" t="n"/>
      <c r="AH35" s="49" t="n"/>
      <c r="AI35" s="49" t="n"/>
      <c r="AJ35" s="49" t="n"/>
      <c r="AK35" s="49" t="n"/>
      <c r="AL35" s="49" t="n"/>
      <c r="AM35" s="49" t="n"/>
      <c r="AN35" s="49" t="n"/>
      <c r="AO35" s="49" t="n"/>
      <c r="AP35" s="49" t="n"/>
      <c r="AQ35" s="49" t="n">
        <v>1.75</v>
      </c>
      <c r="AR35" s="49" t="n"/>
      <c r="AS35" s="49" t="n"/>
      <c r="AT35" s="49" t="n"/>
      <c r="AU35" s="49" t="n"/>
      <c r="AV35" s="49" t="n"/>
      <c r="AW35" s="49" t="n"/>
      <c r="AX35" s="49" t="n"/>
      <c r="AY35" s="49" t="inlineStr">
        <is>
          <t>Titan007 Next</t>
        </is>
      </c>
      <c r="AZ35" s="0" t="inlineStr">
        <is>
          <t>新增冻结记录；历史字段缺失处留空</t>
        </is>
      </c>
    </row>
    <row r="36" ht="22" customHeight="1" s="78">
      <c r="A36" s="49" t="inlineStr">
        <is>
          <t>2026-10-03</t>
        </is>
      </c>
      <c r="B36" s="49" t="inlineStr">
        <is>
          <t>2026-10-03 20:00:00</t>
        </is>
      </c>
      <c r="C36" s="49" t="inlineStr">
        <is>
          <t>CLUB_LEAGUE</t>
        </is>
      </c>
      <c r="D36" s="49" t="inlineStr">
        <is>
          <t>联赛</t>
        </is>
      </c>
      <c r="E36" s="49" t="inlineStr">
        <is>
          <t>挪乙</t>
        </is>
      </c>
      <c r="F36" s="49" t="inlineStr">
        <is>
          <t>扑斯 vs 维达</t>
        </is>
      </c>
      <c r="G36" s="60" t="n">
        <v>0.82</v>
      </c>
      <c r="H36" s="60" t="n">
        <v>1.25</v>
      </c>
      <c r="I36" s="60" t="n">
        <v>0.88</v>
      </c>
      <c r="J36" s="49" t="inlineStr">
        <is>
          <t>0.82/1.25/0.88</t>
        </is>
      </c>
      <c r="K36" s="49" t="n"/>
      <c r="L36" s="49" t="inlineStr">
        <is>
          <t>扑斯</t>
        </is>
      </c>
      <c r="M36" s="86" t="n">
        <v>0.5760000000000001</v>
      </c>
      <c r="N36" s="49" t="inlineStr">
        <is>
          <t>网页可投</t>
        </is>
      </c>
      <c r="O36" s="49" t="inlineStr">
        <is>
          <t>4-1</t>
        </is>
      </c>
      <c r="P36" s="49" t="inlineStr">
        <is>
          <t>已结算</t>
        </is>
      </c>
      <c r="Q36" s="49" t="inlineStr">
        <is>
          <t>红</t>
        </is>
      </c>
      <c r="R36" s="87" t="n">
        <v>0.82</v>
      </c>
      <c r="S36" s="87" t="n">
        <v>0.82</v>
      </c>
      <c r="T36" s="49" t="inlineStr">
        <is>
          <t>D:\codex\v3_legacy\outputs\football_odds_trader\raw\titan007\20261004\20261004_084919_titan007_odds_snapshot.csv</t>
        </is>
      </c>
      <c r="U36" s="49">
        <f>IF(Q36="","",IF(Q36="待结算","待结算",IF(Q36="红","黑",IF(Q36="半红","半黑",IF(Q36="走","走",IF(Q36="半黑","半红","红"))))))</f>
        <v/>
      </c>
      <c r="V36" s="87">
        <f>IF(OR(U36="",U36="待结算"),"",IF(L36=LEFT(F36,FIND(" vs ",F36)-1),I36,G36))</f>
        <v/>
      </c>
      <c r="W36" s="87">
        <f>IF(OR(U36="",U36="待结算"),"",IF(U36="红",V36,IF(U36="半红",V36*0.5,IF(U36="走",0,IF(U36="半黑",-0.5,-1)))))</f>
        <v/>
      </c>
      <c r="X36" s="49" t="n">
        <v>0.82</v>
      </c>
      <c r="Y36" s="49" t="n">
        <v>1.25</v>
      </c>
      <c r="Z36" s="49" t="n">
        <v>0.88</v>
      </c>
      <c r="AA36" s="49" t="n"/>
      <c r="AB36" s="49" t="n"/>
      <c r="AC36" s="49" t="n">
        <v>0.82</v>
      </c>
      <c r="AD36" s="49" t="n">
        <v>1.44</v>
      </c>
      <c r="AE36" s="49" t="n">
        <v>4.63</v>
      </c>
      <c r="AF36" s="49" t="n">
        <v>5.23</v>
      </c>
      <c r="AG36" s="49" t="n"/>
      <c r="AH36" s="49" t="n"/>
      <c r="AI36" s="49" t="n"/>
      <c r="AJ36" s="49" t="n"/>
      <c r="AK36" s="49" t="n"/>
      <c r="AL36" s="49" t="n"/>
      <c r="AM36" s="49" t="n"/>
      <c r="AN36" s="49" t="n"/>
      <c r="AO36" s="49" t="n"/>
      <c r="AP36" s="49" t="n"/>
      <c r="AQ36" s="49" t="n">
        <v>1.25</v>
      </c>
      <c r="AR36" s="49" t="n"/>
      <c r="AS36" s="49" t="n"/>
      <c r="AT36" s="49" t="n"/>
      <c r="AU36" s="49" t="n"/>
      <c r="AV36" s="49" t="n"/>
      <c r="AW36" s="49" t="n"/>
      <c r="AX36" s="49" t="n"/>
      <c r="AY36" s="49" t="inlineStr">
        <is>
          <t>Titan007 Next</t>
        </is>
      </c>
      <c r="AZ36" s="0" t="inlineStr">
        <is>
          <t>新增冻结记录；历史字段缺失处留空</t>
        </is>
      </c>
    </row>
    <row r="37" ht="22" customHeight="1" s="78">
      <c r="A37" s="49" t="inlineStr">
        <is>
          <t>2026-10-03</t>
        </is>
      </c>
      <c r="B37" s="49" t="inlineStr">
        <is>
          <t>2026-10-03 20:00:00</t>
        </is>
      </c>
      <c r="C37" s="49" t="inlineStr">
        <is>
          <t>CLUB_LEAGUE</t>
        </is>
      </c>
      <c r="D37" s="49" t="inlineStr">
        <is>
          <t>联赛</t>
        </is>
      </c>
      <c r="E37" s="49" t="inlineStr">
        <is>
          <t>挪乙</t>
        </is>
      </c>
      <c r="F37" s="49" t="inlineStr">
        <is>
          <t>斯吉德 vs 侯尼霍斯</t>
        </is>
      </c>
      <c r="G37" s="60" t="n">
        <v>0.89</v>
      </c>
      <c r="H37" s="60" t="n">
        <v>0.75</v>
      </c>
      <c r="I37" s="60" t="n">
        <v>0.8100000000000001</v>
      </c>
      <c r="J37" s="49" t="inlineStr">
        <is>
          <t>0.89/0.75/0.81</t>
        </is>
      </c>
      <c r="K37" s="49" t="n"/>
      <c r="L37" s="49" t="inlineStr">
        <is>
          <t>侯尼霍斯</t>
        </is>
      </c>
      <c r="M37" s="86" t="n">
        <v>0.5760000000000001</v>
      </c>
      <c r="N37" s="49" t="inlineStr">
        <is>
          <t>网页可投</t>
        </is>
      </c>
      <c r="O37" s="49" t="inlineStr">
        <is>
          <t>4-3</t>
        </is>
      </c>
      <c r="P37" s="49" t="inlineStr">
        <is>
          <t>已结算</t>
        </is>
      </c>
      <c r="Q37" s="49" t="inlineStr">
        <is>
          <t>黑</t>
        </is>
      </c>
      <c r="R37" s="87" t="n">
        <v>0.8100000000000001</v>
      </c>
      <c r="S37" s="87" t="n">
        <v>-1</v>
      </c>
      <c r="T37" s="49" t="inlineStr">
        <is>
          <t>D:\codex\v3_legacy\outputs\football_odds_trader\raw\titan007\20261004\20261004_084919_titan007_odds_snapshot.csv</t>
        </is>
      </c>
      <c r="U37" s="49">
        <f>IF(Q37="","",IF(Q37="待结算","待结算",IF(Q37="红","黑",IF(Q37="半红","半黑",IF(Q37="走","走",IF(Q37="半黑","半红","红"))))))</f>
        <v/>
      </c>
      <c r="V37" s="87">
        <f>IF(OR(U37="",U37="待结算"),"",IF(L37=LEFT(F37,FIND(" vs ",F37)-1),I37,G37))</f>
        <v/>
      </c>
      <c r="W37" s="87">
        <f>IF(OR(U37="",U37="待结算"),"",IF(U37="红",V37,IF(U37="半红",V37*0.5,IF(U37="走",0,IF(U37="半黑",-0.5,-1)))))</f>
        <v/>
      </c>
      <c r="X37" s="49" t="n">
        <v>0.89</v>
      </c>
      <c r="Y37" s="49" t="n">
        <v>-0.75</v>
      </c>
      <c r="Z37" s="49" t="n">
        <v>0.8100000000000001</v>
      </c>
      <c r="AA37" s="49" t="n"/>
      <c r="AB37" s="49" t="n"/>
      <c r="AC37" s="49" t="n">
        <v>0.8100000000000001</v>
      </c>
      <c r="AD37" s="49" t="n">
        <v>3.53</v>
      </c>
      <c r="AE37" s="49" t="n">
        <v>4.13</v>
      </c>
      <c r="AF37" s="49" t="n">
        <v>1.75</v>
      </c>
      <c r="AG37" s="49" t="n"/>
      <c r="AH37" s="49" t="n"/>
      <c r="AI37" s="49" t="n"/>
      <c r="AJ37" s="49" t="n"/>
      <c r="AK37" s="49" t="n"/>
      <c r="AL37" s="49" t="n"/>
      <c r="AM37" s="49" t="n"/>
      <c r="AN37" s="49" t="n"/>
      <c r="AO37" s="49" t="n"/>
      <c r="AP37" s="49" t="n"/>
      <c r="AQ37" s="49" t="n">
        <v>0.75</v>
      </c>
      <c r="AR37" s="49" t="n"/>
      <c r="AS37" s="49" t="n"/>
      <c r="AT37" s="49" t="n"/>
      <c r="AU37" s="49" t="n"/>
      <c r="AV37" s="49" t="n"/>
      <c r="AW37" s="49" t="n"/>
      <c r="AX37" s="49" t="n"/>
      <c r="AY37" s="49" t="inlineStr">
        <is>
          <t>Titan007 Next</t>
        </is>
      </c>
      <c r="AZ37" s="0" t="inlineStr">
        <is>
          <t>新增冻结记录；历史字段缺失处留空</t>
        </is>
      </c>
    </row>
    <row r="38" ht="22" customHeight="1" s="78">
      <c r="A38" s="49" t="inlineStr">
        <is>
          <t>2026-10-03</t>
        </is>
      </c>
      <c r="B38" s="49" t="inlineStr">
        <is>
          <t>2026-10-03 20:30:00</t>
        </is>
      </c>
      <c r="C38" s="49" t="inlineStr">
        <is>
          <t>CLUB_LEAGUE</t>
        </is>
      </c>
      <c r="D38" s="49" t="inlineStr">
        <is>
          <t>联赛</t>
        </is>
      </c>
      <c r="E38" s="49" t="inlineStr">
        <is>
          <t>意丙</t>
        </is>
      </c>
      <c r="F38" s="49" t="inlineStr">
        <is>
          <t>瓦多 vs 福尔利</t>
        </is>
      </c>
      <c r="G38" s="60" t="n">
        <v>0.92</v>
      </c>
      <c r="H38" s="60" t="n">
        <v>0</v>
      </c>
      <c r="I38" s="60" t="n">
        <v>0.78</v>
      </c>
      <c r="J38" s="49" t="inlineStr">
        <is>
          <t>0.92/0.0/0.78</t>
        </is>
      </c>
      <c r="K38" s="49" t="n"/>
      <c r="L38" s="49" t="inlineStr">
        <is>
          <t>福尔利</t>
        </is>
      </c>
      <c r="M38" s="86" t="n">
        <v>0.584</v>
      </c>
      <c r="N38" s="49" t="inlineStr">
        <is>
          <t>网页可投</t>
        </is>
      </c>
      <c r="O38" s="49" t="inlineStr">
        <is>
          <t>1-0</t>
        </is>
      </c>
      <c r="P38" s="49" t="inlineStr">
        <is>
          <t>已结算</t>
        </is>
      </c>
      <c r="Q38" s="49" t="inlineStr">
        <is>
          <t>黑</t>
        </is>
      </c>
      <c r="R38" s="87" t="n">
        <v>0.78</v>
      </c>
      <c r="S38" s="87" t="n">
        <v>-1</v>
      </c>
      <c r="T38" s="49" t="inlineStr">
        <is>
          <t>D:\codex\v3_legacy\outputs\football_odds_trader\raw\titan007\20261004\20261004_084919_titan007_odds_snapshot.csv</t>
        </is>
      </c>
      <c r="U38" s="49">
        <f>IF(Q38="","",IF(Q38="待结算","待结算",IF(Q38="红","黑",IF(Q38="半红","半黑",IF(Q38="走","走",IF(Q38="半黑","半红","红"))))))</f>
        <v/>
      </c>
      <c r="V38" s="87">
        <f>IF(OR(U38="",U38="待结算"),"",IF(L38=LEFT(F38,FIND(" vs ",F38)-1),I38,G38))</f>
        <v/>
      </c>
      <c r="W38" s="87">
        <f>IF(OR(U38="",U38="待结算"),"",IF(U38="红",V38,IF(U38="半红",V38*0.5,IF(U38="走",0,IF(U38="半黑",-0.5,-1)))))</f>
        <v/>
      </c>
      <c r="X38" s="49" t="n">
        <v>0.92</v>
      </c>
      <c r="Y38" s="49" t="n">
        <v>0</v>
      </c>
      <c r="Z38" s="49" t="n">
        <v>0.78</v>
      </c>
      <c r="AA38" s="49" t="n"/>
      <c r="AB38" s="49" t="n"/>
      <c r="AC38" s="49" t="n">
        <v>0.78</v>
      </c>
      <c r="AD38" s="49" t="n">
        <v>2.61</v>
      </c>
      <c r="AE38" s="49" t="n">
        <v>3.14</v>
      </c>
      <c r="AF38" s="49" t="n">
        <v>2.49</v>
      </c>
      <c r="AG38" s="49" t="n"/>
      <c r="AH38" s="49" t="n"/>
      <c r="AI38" s="49" t="n"/>
      <c r="AJ38" s="49" t="n"/>
      <c r="AK38" s="49" t="n"/>
      <c r="AL38" s="49" t="n"/>
      <c r="AM38" s="49" t="n"/>
      <c r="AN38" s="49" t="n"/>
      <c r="AO38" s="49" t="n"/>
      <c r="AP38" s="49" t="n"/>
      <c r="AQ38" s="49" t="n">
        <v>0</v>
      </c>
      <c r="AR38" s="49" t="n"/>
      <c r="AS38" s="49" t="n"/>
      <c r="AT38" s="49" t="n"/>
      <c r="AU38" s="49" t="n"/>
      <c r="AV38" s="49" t="n"/>
      <c r="AW38" s="49" t="n"/>
      <c r="AX38" s="49" t="n"/>
      <c r="AY38" s="49" t="inlineStr">
        <is>
          <t>Titan007 Next</t>
        </is>
      </c>
      <c r="AZ38" s="0" t="inlineStr">
        <is>
          <t>新增冻结记录；历史字段缺失处留空</t>
        </is>
      </c>
    </row>
    <row r="39" ht="22" customHeight="1" s="78">
      <c r="A39" s="49" t="inlineStr">
        <is>
          <t>2026-10-03</t>
        </is>
      </c>
      <c r="B39" s="49" t="inlineStr">
        <is>
          <t>2026-10-03 21:00:00</t>
        </is>
      </c>
      <c r="C39" s="49" t="inlineStr">
        <is>
          <t>CLUB_LEAGUE</t>
        </is>
      </c>
      <c r="D39" s="49" t="inlineStr">
        <is>
          <t>联赛</t>
        </is>
      </c>
      <c r="E39" s="49" t="inlineStr">
        <is>
          <t>挪乙</t>
        </is>
      </c>
      <c r="F39" s="49" t="inlineStr">
        <is>
          <t>哈尔登 vs 比查格</t>
        </is>
      </c>
      <c r="G39" s="60" t="n">
        <v>0.86</v>
      </c>
      <c r="H39" s="60" t="n">
        <v>0.5</v>
      </c>
      <c r="I39" s="60" t="n">
        <v>0.84</v>
      </c>
      <c r="J39" s="49" t="inlineStr">
        <is>
          <t>0.86/0.5/0.84</t>
        </is>
      </c>
      <c r="K39" s="49" t="n"/>
      <c r="L39" s="49" t="inlineStr">
        <is>
          <t>比查格</t>
        </is>
      </c>
      <c r="M39" s="86" t="n">
        <v>0.5760000000000001</v>
      </c>
      <c r="N39" s="49" t="inlineStr">
        <is>
          <t>网页可投</t>
        </is>
      </c>
      <c r="O39" s="49" t="inlineStr">
        <is>
          <t>2-3</t>
        </is>
      </c>
      <c r="P39" s="49" t="inlineStr">
        <is>
          <t>已结算</t>
        </is>
      </c>
      <c r="Q39" s="49" t="inlineStr">
        <is>
          <t>红</t>
        </is>
      </c>
      <c r="R39" s="87" t="n">
        <v>0.84</v>
      </c>
      <c r="S39" s="87" t="n">
        <v>0.84</v>
      </c>
      <c r="T39" s="49" t="inlineStr">
        <is>
          <t>D:\codex\v3_legacy\outputs\football_odds_trader\raw\titan007\20261004\20261004_084919_titan007_odds_snapshot.csv</t>
        </is>
      </c>
      <c r="U39" s="49">
        <f>IF(Q39="","",IF(Q39="待结算","待结算",IF(Q39="红","黑",IF(Q39="半红","半黑",IF(Q39="走","走",IF(Q39="半黑","半红","红"))))))</f>
        <v/>
      </c>
      <c r="V39" s="87">
        <f>IF(OR(U39="",U39="待结算"),"",IF(L39=LEFT(F39,FIND(" vs ",F39)-1),I39,G39))</f>
        <v/>
      </c>
      <c r="W39" s="87">
        <f>IF(OR(U39="",U39="待结算"),"",IF(U39="红",V39,IF(U39="半红",V39*0.5,IF(U39="走",0,IF(U39="半黑",-0.5,-1)))))</f>
        <v/>
      </c>
      <c r="X39" s="49" t="n">
        <v>0.86</v>
      </c>
      <c r="Y39" s="49" t="n">
        <v>-0.5</v>
      </c>
      <c r="Z39" s="49" t="n">
        <v>0.84</v>
      </c>
      <c r="AA39" s="49" t="n"/>
      <c r="AB39" s="49" t="n"/>
      <c r="AC39" s="49" t="n">
        <v>0.84</v>
      </c>
      <c r="AD39" s="49" t="n">
        <v>3.86</v>
      </c>
      <c r="AE39" s="49" t="n">
        <v>4.12</v>
      </c>
      <c r="AF39" s="49" t="n">
        <v>1.69</v>
      </c>
      <c r="AG39" s="49" t="n"/>
      <c r="AH39" s="49" t="n"/>
      <c r="AI39" s="49" t="n"/>
      <c r="AJ39" s="49" t="n"/>
      <c r="AK39" s="49" t="n"/>
      <c r="AL39" s="49" t="n"/>
      <c r="AM39" s="49" t="n"/>
      <c r="AN39" s="49" t="n"/>
      <c r="AO39" s="49" t="n"/>
      <c r="AP39" s="49" t="n"/>
      <c r="AQ39" s="49" t="n">
        <v>0.5</v>
      </c>
      <c r="AR39" s="49" t="n"/>
      <c r="AS39" s="49" t="n"/>
      <c r="AT39" s="49" t="n"/>
      <c r="AU39" s="49" t="n"/>
      <c r="AV39" s="49" t="n"/>
      <c r="AW39" s="49" t="n"/>
      <c r="AX39" s="49" t="n"/>
      <c r="AY39" s="49" t="inlineStr">
        <is>
          <t>Titan007 Next</t>
        </is>
      </c>
      <c r="AZ39" s="0" t="inlineStr">
        <is>
          <t>新增冻结记录；历史字段缺失处留空</t>
        </is>
      </c>
    </row>
    <row r="40" ht="22" customHeight="1" s="78">
      <c r="A40" s="49" t="inlineStr">
        <is>
          <t>2026-10-03</t>
        </is>
      </c>
      <c r="B40" s="49" t="inlineStr">
        <is>
          <t>2026-10-03 22:00:00</t>
        </is>
      </c>
      <c r="C40" s="49" t="inlineStr">
        <is>
          <t>CLUB_LEAGUE</t>
        </is>
      </c>
      <c r="D40" s="49" t="inlineStr">
        <is>
          <t>联赛</t>
        </is>
      </c>
      <c r="E40" s="49" t="inlineStr">
        <is>
          <t>挪甲</t>
        </is>
      </c>
      <c r="F40" s="49" t="inlineStr">
        <is>
          <t>斯托姆加斯特 vs 阿萨纳</t>
        </is>
      </c>
      <c r="G40" s="60" t="n">
        <v>0.8</v>
      </c>
      <c r="H40" s="60" t="n">
        <v>2.25</v>
      </c>
      <c r="I40" s="60" t="n">
        <v>0.96</v>
      </c>
      <c r="J40" s="49" t="inlineStr">
        <is>
          <t>0.8/2.25/0.96</t>
        </is>
      </c>
      <c r="K40" s="49" t="n"/>
      <c r="L40" s="49" t="inlineStr">
        <is>
          <t>斯托姆加斯特</t>
        </is>
      </c>
      <c r="M40" s="86" t="n">
        <v>0.5760000000000001</v>
      </c>
      <c r="N40" s="49" t="inlineStr">
        <is>
          <t>网页可投</t>
        </is>
      </c>
      <c r="O40" s="49" t="inlineStr">
        <is>
          <t>1-0</t>
        </is>
      </c>
      <c r="P40" s="49" t="inlineStr">
        <is>
          <t>已结算</t>
        </is>
      </c>
      <c r="Q40" s="49" t="inlineStr">
        <is>
          <t>黑</t>
        </is>
      </c>
      <c r="R40" s="87" t="n">
        <v>0.8</v>
      </c>
      <c r="S40" s="87" t="n">
        <v>-1</v>
      </c>
      <c r="T40" s="49" t="inlineStr">
        <is>
          <t>D:\codex\v3_legacy\outputs\football_odds_trader\raw\titan007\20261004\20261004_084919_titan007_odds_snapshot.csv</t>
        </is>
      </c>
      <c r="U40" s="49">
        <f>IF(Q40="","",IF(Q40="待结算","待结算",IF(Q40="红","黑",IF(Q40="半红","半黑",IF(Q40="走","走",IF(Q40="半黑","半红","红"))))))</f>
        <v/>
      </c>
      <c r="V40" s="87">
        <f>IF(OR(U40="",U40="待结算"),"",IF(L40=LEFT(F40,FIND(" vs ",F40)-1),I40,G40))</f>
        <v/>
      </c>
      <c r="W40" s="87">
        <f>IF(OR(U40="",U40="待结算"),"",IF(U40="红",V40,IF(U40="半红",V40*0.5,IF(U40="走",0,IF(U40="半黑",-0.5,-1)))))</f>
        <v/>
      </c>
      <c r="X40" s="49" t="n">
        <v>0.8</v>
      </c>
      <c r="Y40" s="49" t="n">
        <v>2.25</v>
      </c>
      <c r="Z40" s="49" t="n">
        <v>0.96</v>
      </c>
      <c r="AA40" s="49" t="n"/>
      <c r="AB40" s="49" t="n"/>
      <c r="AC40" s="49" t="n">
        <v>0.8</v>
      </c>
      <c r="AD40" s="49" t="n">
        <v>1.12</v>
      </c>
      <c r="AE40" s="49" t="n">
        <v>7.93</v>
      </c>
      <c r="AF40" s="49" t="n">
        <v>13.29</v>
      </c>
      <c r="AG40" s="49" t="n"/>
      <c r="AH40" s="49" t="n"/>
      <c r="AI40" s="49" t="n"/>
      <c r="AJ40" s="49" t="n"/>
      <c r="AK40" s="49" t="n"/>
      <c r="AL40" s="49" t="n"/>
      <c r="AM40" s="49" t="n"/>
      <c r="AN40" s="49" t="n"/>
      <c r="AO40" s="49" t="n"/>
      <c r="AP40" s="49" t="n"/>
      <c r="AQ40" s="49" t="n">
        <v>2.25</v>
      </c>
      <c r="AR40" s="49" t="n"/>
      <c r="AS40" s="49" t="n"/>
      <c r="AT40" s="49" t="n"/>
      <c r="AU40" s="49" t="n"/>
      <c r="AV40" s="49" t="n"/>
      <c r="AW40" s="49" t="n"/>
      <c r="AX40" s="49" t="n"/>
      <c r="AY40" s="49" t="inlineStr">
        <is>
          <t>Titan007 Next</t>
        </is>
      </c>
      <c r="AZ40" s="0" t="inlineStr">
        <is>
          <t>新增冻结记录；历史字段缺失处留空</t>
        </is>
      </c>
    </row>
    <row r="41" ht="22" customHeight="1" s="78">
      <c r="A41" s="49" t="inlineStr">
        <is>
          <t>2026-10-03</t>
        </is>
      </c>
      <c r="B41" s="49" t="inlineStr">
        <is>
          <t>2026-10-03 22:00:00</t>
        </is>
      </c>
      <c r="C41" s="49" t="inlineStr">
        <is>
          <t>CLUB_LEAGUE</t>
        </is>
      </c>
      <c r="D41" s="49" t="inlineStr">
        <is>
          <t>联赛</t>
        </is>
      </c>
      <c r="E41" s="49" t="inlineStr">
        <is>
          <t>挪甲</t>
        </is>
      </c>
      <c r="F41" s="49" t="inlineStr">
        <is>
          <t>海于格松 vs 斯塔贝克</t>
        </is>
      </c>
      <c r="G41" s="60" t="n">
        <v>0.83</v>
      </c>
      <c r="H41" s="60" t="n">
        <v>0.5</v>
      </c>
      <c r="I41" s="60" t="n">
        <v>0.93</v>
      </c>
      <c r="J41" s="49" t="inlineStr">
        <is>
          <t>0.83/0.5/0.93</t>
        </is>
      </c>
      <c r="K41" s="49" t="n"/>
      <c r="L41" s="49" t="inlineStr">
        <is>
          <t>海于格松</t>
        </is>
      </c>
      <c r="M41" s="86" t="n">
        <v>0.5760000000000001</v>
      </c>
      <c r="N41" s="49" t="inlineStr">
        <is>
          <t>网页可投</t>
        </is>
      </c>
      <c r="O41" s="49" t="inlineStr">
        <is>
          <t>2-0</t>
        </is>
      </c>
      <c r="P41" s="49" t="inlineStr">
        <is>
          <t>已结算</t>
        </is>
      </c>
      <c r="Q41" s="49" t="inlineStr">
        <is>
          <t>红</t>
        </is>
      </c>
      <c r="R41" s="87" t="n">
        <v>0.83</v>
      </c>
      <c r="S41" s="87" t="n">
        <v>0.83</v>
      </c>
      <c r="T41" s="49" t="inlineStr">
        <is>
          <t>D:\codex\v3_legacy\outputs\football_odds_trader\raw\titan007\20261004\20261004_084919_titan007_odds_snapshot.csv</t>
        </is>
      </c>
      <c r="U41" s="49">
        <f>IF(Q41="","",IF(Q41="待结算","待结算",IF(Q41="红","黑",IF(Q41="半红","半黑",IF(Q41="走","走",IF(Q41="半黑","半红","红"))))))</f>
        <v/>
      </c>
      <c r="V41" s="87">
        <f>IF(OR(U41="",U41="待结算"),"",IF(L41=LEFT(F41,FIND(" vs ",F41)-1),I41,G41))</f>
        <v/>
      </c>
      <c r="W41" s="87">
        <f>IF(OR(U41="",U41="待结算"),"",IF(U41="红",V41,IF(U41="半红",V41*0.5,IF(U41="走",0,IF(U41="半黑",-0.5,-1)))))</f>
        <v/>
      </c>
      <c r="X41" s="49" t="n">
        <v>0.86</v>
      </c>
      <c r="Y41" s="49" t="n">
        <v>0.5</v>
      </c>
      <c r="Z41" s="49" t="n">
        <v>0.9</v>
      </c>
      <c r="AA41" s="49" t="n"/>
      <c r="AB41" s="49" t="n"/>
      <c r="AC41" s="49" t="n">
        <v>0.83</v>
      </c>
      <c r="AD41" s="49" t="n">
        <v>1.87</v>
      </c>
      <c r="AE41" s="49" t="n">
        <v>3.98</v>
      </c>
      <c r="AF41" s="49" t="n">
        <v>3.2</v>
      </c>
      <c r="AG41" s="49" t="n"/>
      <c r="AH41" s="49" t="n"/>
      <c r="AI41" s="49" t="n"/>
      <c r="AJ41" s="49" t="n"/>
      <c r="AK41" s="49" t="n"/>
      <c r="AL41" s="49" t="n"/>
      <c r="AM41" s="49" t="n"/>
      <c r="AN41" s="49" t="n"/>
      <c r="AO41" s="49" t="n"/>
      <c r="AP41" s="49" t="n"/>
      <c r="AQ41" s="49" t="n">
        <v>0.5</v>
      </c>
      <c r="AR41" s="49" t="n"/>
      <c r="AS41" s="49" t="n"/>
      <c r="AT41" s="49" t="n"/>
      <c r="AU41" s="49" t="n"/>
      <c r="AV41" s="49" t="n"/>
      <c r="AW41" s="49" t="n"/>
      <c r="AX41" s="49" t="n"/>
      <c r="AY41" s="49" t="inlineStr">
        <is>
          <t>Titan007 Next</t>
        </is>
      </c>
      <c r="AZ41" s="0" t="inlineStr">
        <is>
          <t>新增冻结记录；历史字段缺失处留空</t>
        </is>
      </c>
    </row>
    <row r="42" ht="22" customHeight="1" s="78">
      <c r="A42" s="49" t="inlineStr">
        <is>
          <t>2026-10-03</t>
        </is>
      </c>
      <c r="B42" s="49" t="inlineStr">
        <is>
          <t>2026-10-03 22:15:00</t>
        </is>
      </c>
      <c r="C42" s="49" t="inlineStr">
        <is>
          <t>CLUB_LEAGUE</t>
        </is>
      </c>
      <c r="D42" s="49" t="inlineStr">
        <is>
          <t>联赛</t>
        </is>
      </c>
      <c r="E42" s="49" t="inlineStr">
        <is>
          <t>西乙</t>
        </is>
      </c>
      <c r="F42" s="49" t="inlineStr">
        <is>
          <t>阿尔梅里亚 vs 布尔戈斯</t>
        </is>
      </c>
      <c r="G42" s="60" t="n">
        <v>1.04</v>
      </c>
      <c r="H42" s="60" t="n">
        <v>1</v>
      </c>
      <c r="I42" s="60" t="n">
        <v>0.84</v>
      </c>
      <c r="J42" s="49" t="inlineStr">
        <is>
          <t>1.04/1.0/0.84</t>
        </is>
      </c>
      <c r="K42" s="49" t="n"/>
      <c r="L42" s="49" t="inlineStr">
        <is>
          <t>阿尔梅里亚（上盘）</t>
        </is>
      </c>
      <c r="M42" s="86" t="n">
        <v>0.529</v>
      </c>
      <c r="N42" s="49" t="inlineStr">
        <is>
          <t>网页可投</t>
        </is>
      </c>
      <c r="O42" s="49" t="inlineStr">
        <is>
          <t>2-1</t>
        </is>
      </c>
      <c r="P42" s="49" t="inlineStr">
        <is>
          <t>已结算</t>
        </is>
      </c>
      <c r="Q42" s="49" t="inlineStr">
        <is>
          <t>走</t>
        </is>
      </c>
      <c r="R42" s="87" t="n">
        <v>1.04</v>
      </c>
      <c r="S42" s="87" t="n">
        <v>0</v>
      </c>
      <c r="T42" s="49" t="inlineStr">
        <is>
          <t>D:\codex\v3_legacy\outputs\football_odds_trader\raw\titan007\20261004\20261004_084919_titan007_odds_snapshot.csv</t>
        </is>
      </c>
      <c r="U42" s="49">
        <f>IF(Q42="","",IF(Q42="待结算","待结算",IF(Q42="红","黑",IF(Q42="半红","半黑",IF(Q42="走","走",IF(Q42="半黑","半红","红"))))))</f>
        <v/>
      </c>
      <c r="V42" s="87">
        <f>IF(OR(U42="",U42="待结算"),"",IF(L42=LEFT(F42,FIND(" vs ",F42)-1),I42,G42))</f>
        <v/>
      </c>
      <c r="W42" s="87">
        <f>IF(OR(U42="",U42="待结算"),"",IF(U42="红",V42,IF(U42="半红",V42*0.5,IF(U42="走",0,IF(U42="半黑",-0.5,-1)))))</f>
        <v/>
      </c>
      <c r="X42" s="49" t="n">
        <v>0.85</v>
      </c>
      <c r="Y42" s="49" t="n">
        <v>0.75</v>
      </c>
      <c r="Z42" s="49" t="n">
        <v>1.03</v>
      </c>
      <c r="AA42" s="49" t="n"/>
      <c r="AB42" s="49" t="n"/>
      <c r="AC42" s="49" t="n">
        <v>1.04</v>
      </c>
      <c r="AD42" s="49" t="n">
        <v>1.63</v>
      </c>
      <c r="AE42" s="49" t="n">
        <v>3.71</v>
      </c>
      <c r="AF42" s="49" t="n">
        <v>4.97</v>
      </c>
      <c r="AG42" s="49" t="n"/>
      <c r="AH42" s="49" t="n"/>
      <c r="AI42" s="49" t="n"/>
      <c r="AJ42" s="49" t="n"/>
      <c r="AK42" s="49" t="n"/>
      <c r="AL42" s="49" t="n"/>
      <c r="AM42" s="49" t="n"/>
      <c r="AN42" s="49" t="n"/>
      <c r="AO42" s="49" t="n"/>
      <c r="AP42" s="49" t="n"/>
      <c r="AQ42" s="49" t="n">
        <v>1</v>
      </c>
      <c r="AR42" s="49" t="n"/>
      <c r="AS42" s="49" t="n"/>
      <c r="AT42" s="49" t="n"/>
      <c r="AU42" s="49" t="n"/>
      <c r="AV42" s="49" t="n"/>
      <c r="AW42" s="49" t="n"/>
      <c r="AX42" s="49" t="n"/>
      <c r="AY42" s="49" t="inlineStr">
        <is>
          <t>Titan007 Next</t>
        </is>
      </c>
      <c r="AZ42" s="0" t="inlineStr">
        <is>
          <t>新增冻结记录；历史字段缺失处留空</t>
        </is>
      </c>
    </row>
    <row r="43" ht="22" customHeight="1" s="78">
      <c r="A43" s="49" t="inlineStr">
        <is>
          <t>2026-10-03</t>
        </is>
      </c>
      <c r="B43" s="49" t="inlineStr">
        <is>
          <t>2026-10-03 22:30:00</t>
        </is>
      </c>
      <c r="C43" s="49" t="inlineStr">
        <is>
          <t>CLUB_LEAGUE</t>
        </is>
      </c>
      <c r="D43" s="49" t="inlineStr">
        <is>
          <t>联赛</t>
        </is>
      </c>
      <c r="E43" s="49" t="inlineStr">
        <is>
          <t>西协甲</t>
        </is>
      </c>
      <c r="F43" s="49" t="inlineStr">
        <is>
          <t>皇家联邦 vs UD欧云斯</t>
        </is>
      </c>
      <c r="G43" s="60" t="n">
        <v>0.82</v>
      </c>
      <c r="H43" s="60" t="n">
        <v>1.25</v>
      </c>
      <c r="I43" s="60" t="n">
        <v>0.88</v>
      </c>
      <c r="J43" s="49" t="inlineStr">
        <is>
          <t>0.82/1.25/0.88</t>
        </is>
      </c>
      <c r="K43" s="49" t="n"/>
      <c r="L43" s="49" t="inlineStr">
        <is>
          <t>皇家联邦</t>
        </is>
      </c>
      <c r="M43" s="86" t="n">
        <v>0.584</v>
      </c>
      <c r="N43" s="49" t="inlineStr">
        <is>
          <t>网页可投</t>
        </is>
      </c>
      <c r="O43" s="49" t="inlineStr">
        <is>
          <t>1-1</t>
        </is>
      </c>
      <c r="P43" s="49" t="inlineStr">
        <is>
          <t>已结算</t>
        </is>
      </c>
      <c r="Q43" s="49" t="inlineStr">
        <is>
          <t>黑</t>
        </is>
      </c>
      <c r="R43" s="87" t="n">
        <v>0.82</v>
      </c>
      <c r="S43" s="87" t="n">
        <v>-1</v>
      </c>
      <c r="T43" s="49" t="inlineStr">
        <is>
          <t>D:\codex\v3_legacy\outputs\football_odds_trader\raw\titan007\20261004\20261004_084919_titan007_odds_snapshot.csv</t>
        </is>
      </c>
      <c r="U43" s="49">
        <f>IF(Q43="","",IF(Q43="待结算","待结算",IF(Q43="红","黑",IF(Q43="半红","半黑",IF(Q43="走","走",IF(Q43="半黑","半红","红"))))))</f>
        <v/>
      </c>
      <c r="V43" s="87">
        <f>IF(OR(U43="",U43="待结算"),"",IF(L43=LEFT(F43,FIND(" vs ",F43)-1),I43,G43))</f>
        <v/>
      </c>
      <c r="W43" s="87">
        <f>IF(OR(U43="",U43="待结算"),"",IF(U43="红",V43,IF(U43="半红",V43*0.5,IF(U43="走",0,IF(U43="半黑",-0.5,-1)))))</f>
        <v/>
      </c>
      <c r="X43" s="49" t="n">
        <v>0.82</v>
      </c>
      <c r="Y43" s="49" t="n">
        <v>1.25</v>
      </c>
      <c r="Z43" s="49" t="n">
        <v>0.88</v>
      </c>
      <c r="AA43" s="49" t="n"/>
      <c r="AB43" s="49" t="n"/>
      <c r="AC43" s="49" t="n">
        <v>0.82</v>
      </c>
      <c r="AD43" s="49" t="n">
        <v>1.48</v>
      </c>
      <c r="AE43" s="49" t="n">
        <v>4.09</v>
      </c>
      <c r="AF43" s="49" t="n">
        <v>5.78</v>
      </c>
      <c r="AG43" s="49" t="n"/>
      <c r="AH43" s="49" t="n"/>
      <c r="AI43" s="49" t="n"/>
      <c r="AJ43" s="49" t="n"/>
      <c r="AK43" s="49" t="n"/>
      <c r="AL43" s="49" t="n"/>
      <c r="AM43" s="49" t="n"/>
      <c r="AN43" s="49" t="n"/>
      <c r="AO43" s="49" t="n"/>
      <c r="AP43" s="49" t="n"/>
      <c r="AQ43" s="49" t="n">
        <v>1.25</v>
      </c>
      <c r="AR43" s="49" t="n"/>
      <c r="AS43" s="49" t="n"/>
      <c r="AT43" s="49" t="n"/>
      <c r="AU43" s="49" t="n"/>
      <c r="AV43" s="49" t="n"/>
      <c r="AW43" s="49" t="n"/>
      <c r="AX43" s="49" t="n"/>
      <c r="AY43" s="49" t="inlineStr">
        <is>
          <t>Titan007 Next</t>
        </is>
      </c>
      <c r="AZ43" s="0" t="inlineStr">
        <is>
          <t>新增冻结记录；历史字段缺失处留空</t>
        </is>
      </c>
    </row>
    <row r="44" ht="22" customHeight="1" s="78">
      <c r="A44" s="49" t="inlineStr">
        <is>
          <t>2026-10-03</t>
        </is>
      </c>
      <c r="B44" s="49" t="inlineStr">
        <is>
          <t>2026-10-03 23:30:00</t>
        </is>
      </c>
      <c r="C44" s="49" t="inlineStr">
        <is>
          <t>CLUB_LEAGUE</t>
        </is>
      </c>
      <c r="D44" s="49" t="inlineStr">
        <is>
          <t>联赛</t>
        </is>
      </c>
      <c r="E44" s="49" t="inlineStr">
        <is>
          <t>意丙</t>
        </is>
      </c>
      <c r="F44" s="49" t="inlineStr">
        <is>
          <t>久加连奴 vs 巴勒塔</t>
        </is>
      </c>
      <c r="G44" s="60" t="n">
        <v>0.84</v>
      </c>
      <c r="H44" s="60" t="n">
        <v>0</v>
      </c>
      <c r="I44" s="60" t="n">
        <v>0.86</v>
      </c>
      <c r="J44" s="49" t="inlineStr">
        <is>
          <t>0.84/0.0/0.86</t>
        </is>
      </c>
      <c r="K44" s="49" t="n"/>
      <c r="L44" s="49" t="inlineStr">
        <is>
          <t>久加连奴</t>
        </is>
      </c>
      <c r="M44" s="86" t="n">
        <v>0.584</v>
      </c>
      <c r="N44" s="49" t="inlineStr">
        <is>
          <t>网页可投</t>
        </is>
      </c>
      <c r="O44" s="49" t="inlineStr">
        <is>
          <t>1-0</t>
        </is>
      </c>
      <c r="P44" s="49" t="inlineStr">
        <is>
          <t>已结算</t>
        </is>
      </c>
      <c r="Q44" s="49" t="inlineStr">
        <is>
          <t>红</t>
        </is>
      </c>
      <c r="R44" s="87" t="n">
        <v>0.84</v>
      </c>
      <c r="S44" s="87" t="n">
        <v>0.84</v>
      </c>
      <c r="T44" s="49" t="inlineStr">
        <is>
          <t>D:\codex\v3_legacy\outputs\football_odds_trader\raw\titan007\20261004\20261004_084919_titan007_odds_snapshot.csv</t>
        </is>
      </c>
      <c r="U44" s="49">
        <f>IF(Q44="","",IF(Q44="待结算","待结算",IF(Q44="红","黑",IF(Q44="半红","半黑",IF(Q44="走","走",IF(Q44="半黑","半红","红"))))))</f>
        <v/>
      </c>
      <c r="V44" s="87">
        <f>IF(OR(U44="",U44="待结算"),"",IF(L44=LEFT(F44,FIND(" vs ",F44)-1),I44,G44))</f>
        <v/>
      </c>
      <c r="W44" s="87">
        <f>IF(OR(U44="",U44="待结算"),"",IF(U44="红",V44,IF(U44="半红",V44*0.5,IF(U44="走",0,IF(U44="半黑",-0.5,-1)))))</f>
        <v/>
      </c>
      <c r="X44" s="49" t="n">
        <v>0.84</v>
      </c>
      <c r="Y44" s="49" t="n">
        <v>0</v>
      </c>
      <c r="Z44" s="49" t="n">
        <v>0.86</v>
      </c>
      <c r="AA44" s="49" t="n"/>
      <c r="AB44" s="49" t="n"/>
      <c r="AC44" s="49" t="n">
        <v>0.84</v>
      </c>
      <c r="AD44" s="49" t="n">
        <v>2.28</v>
      </c>
      <c r="AE44" s="49" t="n">
        <v>3.3</v>
      </c>
      <c r="AF44" s="49" t="n">
        <v>2.81</v>
      </c>
      <c r="AG44" s="49" t="n"/>
      <c r="AH44" s="49" t="n"/>
      <c r="AI44" s="49" t="n"/>
      <c r="AJ44" s="49" t="n"/>
      <c r="AK44" s="49" t="n"/>
      <c r="AL44" s="49" t="n"/>
      <c r="AM44" s="49" t="n"/>
      <c r="AN44" s="49" t="n"/>
      <c r="AO44" s="49" t="n"/>
      <c r="AP44" s="49" t="n"/>
      <c r="AQ44" s="49" t="n">
        <v>0</v>
      </c>
      <c r="AR44" s="49" t="n"/>
      <c r="AS44" s="49" t="n"/>
      <c r="AT44" s="49" t="n"/>
      <c r="AU44" s="49" t="n"/>
      <c r="AV44" s="49" t="n"/>
      <c r="AW44" s="49" t="n"/>
      <c r="AX44" s="49" t="n"/>
      <c r="AY44" s="49" t="inlineStr">
        <is>
          <t>Titan007 Next</t>
        </is>
      </c>
      <c r="AZ44" s="0" t="inlineStr">
        <is>
          <t>新增冻结记录；历史字段缺失处留空</t>
        </is>
      </c>
    </row>
    <row r="45" ht="22" customHeight="1" s="78">
      <c r="A45" s="49" t="inlineStr">
        <is>
          <t>2026-10-03</t>
        </is>
      </c>
      <c r="B45" s="49" t="inlineStr">
        <is>
          <t>2026-10-04 00:30:00</t>
        </is>
      </c>
      <c r="C45" s="49" t="inlineStr">
        <is>
          <t>CLUB_LEAGUE</t>
        </is>
      </c>
      <c r="D45" s="49" t="inlineStr">
        <is>
          <t>联赛</t>
        </is>
      </c>
      <c r="E45" s="49" t="inlineStr">
        <is>
          <t>西乙</t>
        </is>
      </c>
      <c r="F45" s="49" t="inlineStr">
        <is>
          <t>加的斯 vs 莱加内斯</t>
        </is>
      </c>
      <c r="G45" s="60" t="n">
        <v>1.09</v>
      </c>
      <c r="H45" s="60" t="n">
        <v>0</v>
      </c>
      <c r="I45" s="60" t="n">
        <v>0.79</v>
      </c>
      <c r="J45" s="49" t="inlineStr">
        <is>
          <t>1.09/0.0/0.79</t>
        </is>
      </c>
      <c r="K45" s="49" t="n"/>
      <c r="L45" s="49" t="inlineStr">
        <is>
          <t>莱加内斯</t>
        </is>
      </c>
      <c r="M45" s="86" t="n">
        <v>0.584</v>
      </c>
      <c r="N45" s="49" t="inlineStr">
        <is>
          <t>网页可投</t>
        </is>
      </c>
      <c r="O45" s="49" t="inlineStr">
        <is>
          <t>4-0</t>
        </is>
      </c>
      <c r="P45" s="49" t="inlineStr">
        <is>
          <t>已结算</t>
        </is>
      </c>
      <c r="Q45" s="49" t="inlineStr">
        <is>
          <t>黑</t>
        </is>
      </c>
      <c r="R45" s="87" t="n">
        <v>0.79</v>
      </c>
      <c r="S45" s="87" t="n">
        <v>-1</v>
      </c>
      <c r="T45" s="49" t="inlineStr">
        <is>
          <t>D:\codex\v3_legacy\outputs\football_odds_trader\raw\titan007\20261004\20261004_084919_titan007_odds_snapshot.csv</t>
        </is>
      </c>
      <c r="U45" s="49">
        <f>IF(Q45="","",IF(Q45="待结算","待结算",IF(Q45="红","黑",IF(Q45="半红","半黑",IF(Q45="走","走",IF(Q45="半黑","半红","红"))))))</f>
        <v/>
      </c>
      <c r="V45" s="87">
        <f>IF(OR(U45="",U45="待结算"),"",IF(L45=LEFT(F45,FIND(" vs ",F45)-1),I45,G45))</f>
        <v/>
      </c>
      <c r="W45" s="87">
        <f>IF(OR(U45="",U45="待结算"),"",IF(U45="红",V45,IF(U45="半红",V45*0.5,IF(U45="走",0,IF(U45="半黑",-0.5,-1)))))</f>
        <v/>
      </c>
      <c r="X45" s="49" t="n">
        <v>1.05</v>
      </c>
      <c r="Y45" s="49" t="n">
        <v>0</v>
      </c>
      <c r="Z45" s="49" t="n">
        <v>0.83</v>
      </c>
      <c r="AA45" s="49" t="n"/>
      <c r="AB45" s="49" t="n"/>
      <c r="AC45" s="49" t="n">
        <v>0.79</v>
      </c>
      <c r="AD45" s="49" t="n">
        <v>2.74</v>
      </c>
      <c r="AE45" s="49" t="n">
        <v>3.12</v>
      </c>
      <c r="AF45" s="49" t="n">
        <v>2.52</v>
      </c>
      <c r="AG45" s="49" t="n"/>
      <c r="AH45" s="49" t="n"/>
      <c r="AI45" s="49" t="n"/>
      <c r="AJ45" s="49" t="n"/>
      <c r="AK45" s="49" t="n"/>
      <c r="AL45" s="49" t="n"/>
      <c r="AM45" s="49" t="n"/>
      <c r="AN45" s="49" t="n"/>
      <c r="AO45" s="49" t="n"/>
      <c r="AP45" s="49" t="n"/>
      <c r="AQ45" s="49" t="n">
        <v>0</v>
      </c>
      <c r="AR45" s="49" t="n"/>
      <c r="AS45" s="49" t="n"/>
      <c r="AT45" s="49" t="n"/>
      <c r="AU45" s="49" t="n"/>
      <c r="AV45" s="49" t="n"/>
      <c r="AW45" s="49" t="n"/>
      <c r="AX45" s="49" t="n"/>
      <c r="AY45" s="49" t="inlineStr">
        <is>
          <t>Titan007 Next</t>
        </is>
      </c>
      <c r="AZ45" s="0" t="inlineStr">
        <is>
          <t>新增冻结记录；历史字段缺失处留空</t>
        </is>
      </c>
    </row>
    <row r="46" ht="22" customHeight="1" s="78">
      <c r="A46" s="49" t="inlineStr">
        <is>
          <t>2026-10-03</t>
        </is>
      </c>
      <c r="B46" s="49" t="inlineStr">
        <is>
          <t>2026-10-04 00:30:00</t>
        </is>
      </c>
      <c r="C46" s="49" t="inlineStr">
        <is>
          <t>CLUB_LEAGUE</t>
        </is>
      </c>
      <c r="D46" s="49" t="inlineStr">
        <is>
          <t>联赛</t>
        </is>
      </c>
      <c r="E46" s="49" t="inlineStr">
        <is>
          <t>西乙</t>
        </is>
      </c>
      <c r="F46" s="49" t="inlineStr">
        <is>
          <t>萨瓦德尔 vs 安道尔FC</t>
        </is>
      </c>
      <c r="G46" s="60" t="n">
        <v>1.07</v>
      </c>
      <c r="H46" s="60" t="n">
        <v>0.5</v>
      </c>
      <c r="I46" s="60" t="n">
        <v>0.8100000000000001</v>
      </c>
      <c r="J46" s="49" t="inlineStr">
        <is>
          <t>1.07/0.5/0.81</t>
        </is>
      </c>
      <c r="K46" s="49" t="n"/>
      <c r="L46" s="49" t="inlineStr">
        <is>
          <t>萨瓦德尔（上盘）</t>
        </is>
      </c>
      <c r="M46" s="86" t="n">
        <v>0.529</v>
      </c>
      <c r="N46" s="49" t="inlineStr">
        <is>
          <t>网页可投</t>
        </is>
      </c>
      <c r="O46" s="49" t="inlineStr">
        <is>
          <t>取消/延期</t>
        </is>
      </c>
      <c r="P46" s="49" t="inlineStr">
        <is>
          <t>取消/延期</t>
        </is>
      </c>
      <c r="Q46" s="49" t="n"/>
      <c r="R46" s="87" t="n">
        <v>1.07</v>
      </c>
      <c r="S46" s="87" t="n"/>
      <c r="T46" s="49" t="inlineStr">
        <is>
          <t>D:\codex\v3_legacy\outputs\football_odds_trader\raw\titan007\20261004\20261004_084919_titan007_odds_snapshot.csv</t>
        </is>
      </c>
      <c r="U46" s="49">
        <f>IF(Q46="","",IF(Q46="待结算","待结算",IF(Q46="红","黑",IF(Q46="半红","半黑",IF(Q46="走","走",IF(Q46="半黑","半红","红"))))))</f>
        <v/>
      </c>
      <c r="V46" s="87">
        <f>IF(OR(U46="",U46="待结算"),"",IF(L46=LEFT(F46,FIND(" vs ",F46)-1),I46,G46))</f>
        <v/>
      </c>
      <c r="W46" s="87">
        <f>IF(OR(U46="",U46="待结算"),"",IF(U46="红",V46,IF(U46="半红",V46*0.5,IF(U46="走",0,IF(U46="半黑",-0.5,-1)))))</f>
        <v/>
      </c>
      <c r="X46" s="49" t="n">
        <v>0.83</v>
      </c>
      <c r="Y46" s="49" t="n">
        <v>0.25</v>
      </c>
      <c r="Z46" s="49" t="n">
        <v>1.05</v>
      </c>
      <c r="AA46" s="49" t="n"/>
      <c r="AB46" s="49" t="n"/>
      <c r="AC46" s="49" t="n">
        <v>1.07</v>
      </c>
      <c r="AD46" s="49" t="n">
        <v>2.06</v>
      </c>
      <c r="AE46" s="49" t="n">
        <v>3.15</v>
      </c>
      <c r="AF46" s="49" t="n">
        <v>3.54</v>
      </c>
      <c r="AG46" s="49" t="n"/>
      <c r="AH46" s="49" t="n"/>
      <c r="AI46" s="49" t="n"/>
      <c r="AJ46" s="49" t="n"/>
      <c r="AK46" s="49" t="n"/>
      <c r="AL46" s="49" t="n"/>
      <c r="AM46" s="49" t="n"/>
      <c r="AN46" s="49" t="n"/>
      <c r="AO46" s="49" t="n"/>
      <c r="AP46" s="49" t="n"/>
      <c r="AQ46" s="49" t="n">
        <v>0.5</v>
      </c>
      <c r="AR46" s="49" t="n"/>
      <c r="AS46" s="49" t="n"/>
      <c r="AT46" s="49" t="n"/>
      <c r="AU46" s="49" t="n"/>
      <c r="AV46" s="49" t="n"/>
      <c r="AW46" s="49" t="n"/>
      <c r="AX46" s="49" t="n"/>
      <c r="AY46" s="49" t="inlineStr">
        <is>
          <t>Titan007 Next</t>
        </is>
      </c>
      <c r="AZ46" s="0" t="inlineStr">
        <is>
          <t>新增冻结记录；历史字段缺失处留空</t>
        </is>
      </c>
    </row>
    <row r="47" ht="22" customHeight="1" s="78">
      <c r="A47" s="49" t="inlineStr">
        <is>
          <t>2026-10-03</t>
        </is>
      </c>
      <c r="B47" s="49" t="inlineStr">
        <is>
          <t>2026-10-04 02:30:00</t>
        </is>
      </c>
      <c r="C47" s="49" t="inlineStr">
        <is>
          <t>CLUB_LEAGUE</t>
        </is>
      </c>
      <c r="D47" s="49" t="inlineStr">
        <is>
          <t>联赛</t>
        </is>
      </c>
      <c r="E47" s="49" t="inlineStr">
        <is>
          <t>意丙</t>
        </is>
      </c>
      <c r="F47" s="49" t="inlineStr">
        <is>
          <t>US弗格尔 vs 加尔维纳</t>
        </is>
      </c>
      <c r="G47" s="60" t="n">
        <v>0.78</v>
      </c>
      <c r="H47" s="60" t="n">
        <v>0.25</v>
      </c>
      <c r="I47" s="60" t="n">
        <v>0.92</v>
      </c>
      <c r="J47" s="49" t="inlineStr">
        <is>
          <t>0.78/0.25/0.92</t>
        </is>
      </c>
      <c r="K47" s="49" t="n"/>
      <c r="L47" s="49" t="inlineStr">
        <is>
          <t>US弗格尔</t>
        </is>
      </c>
      <c r="M47" s="86" t="n">
        <v>0.584</v>
      </c>
      <c r="N47" s="49" t="inlineStr">
        <is>
          <t>网页可投</t>
        </is>
      </c>
      <c r="O47" s="49" t="inlineStr">
        <is>
          <t>1-2</t>
        </is>
      </c>
      <c r="P47" s="49" t="inlineStr">
        <is>
          <t>已结算</t>
        </is>
      </c>
      <c r="Q47" s="49" t="inlineStr">
        <is>
          <t>黑</t>
        </is>
      </c>
      <c r="R47" s="87" t="n">
        <v>0.78</v>
      </c>
      <c r="S47" s="87" t="n">
        <v>-1</v>
      </c>
      <c r="T47" s="49" t="inlineStr">
        <is>
          <t>D:\codex\v3_legacy\outputs\football_odds_trader\raw\titan007\20261004\20261004_084919_titan007_odds_snapshot.csv</t>
        </is>
      </c>
      <c r="U47" s="49">
        <f>IF(Q47="","",IF(Q47="待结算","待结算",IF(Q47="红","黑",IF(Q47="半红","半黑",IF(Q47="走","走",IF(Q47="半黑","半红","红"))))))</f>
        <v/>
      </c>
      <c r="V47" s="87">
        <f>IF(OR(U47="",U47="待结算"),"",IF(L47=LEFT(F47,FIND(" vs ",F47)-1),I47,G47))</f>
        <v/>
      </c>
      <c r="W47" s="87">
        <f>IF(OR(U47="",U47="待结算"),"",IF(U47="红",V47,IF(U47="半红",V47*0.5,IF(U47="走",0,IF(U47="半黑",-0.5,-1)))))</f>
        <v/>
      </c>
      <c r="X47" s="49" t="n">
        <v>0.78</v>
      </c>
      <c r="Y47" s="49" t="n">
        <v>0.25</v>
      </c>
      <c r="Z47" s="49" t="n">
        <v>0.92</v>
      </c>
      <c r="AA47" s="49" t="n"/>
      <c r="AB47" s="49" t="n"/>
      <c r="AC47" s="49" t="n">
        <v>0.78</v>
      </c>
      <c r="AD47" s="49" t="n">
        <v>2.2</v>
      </c>
      <c r="AE47" s="49" t="n">
        <v>3</v>
      </c>
      <c r="AF47" s="49" t="n">
        <v>3.2</v>
      </c>
      <c r="AG47" s="49" t="n"/>
      <c r="AH47" s="49" t="n"/>
      <c r="AI47" s="49" t="n"/>
      <c r="AJ47" s="49" t="n"/>
      <c r="AK47" s="49" t="n"/>
      <c r="AL47" s="49" t="n"/>
      <c r="AM47" s="49" t="n"/>
      <c r="AN47" s="49" t="n"/>
      <c r="AO47" s="49" t="n"/>
      <c r="AP47" s="49" t="n"/>
      <c r="AQ47" s="49" t="n">
        <v>0.25</v>
      </c>
      <c r="AR47" s="49" t="n"/>
      <c r="AS47" s="49" t="n"/>
      <c r="AT47" s="49" t="n"/>
      <c r="AU47" s="49" t="n"/>
      <c r="AV47" s="49" t="n"/>
      <c r="AW47" s="49" t="n"/>
      <c r="AX47" s="49" t="n"/>
      <c r="AY47" s="49" t="inlineStr">
        <is>
          <t>Titan007 Next</t>
        </is>
      </c>
      <c r="AZ47" s="0" t="inlineStr">
        <is>
          <t>新增冻结记录；历史字段缺失处留空</t>
        </is>
      </c>
    </row>
    <row r="48" ht="22" customHeight="1" s="78">
      <c r="A48" s="49" t="inlineStr">
        <is>
          <t>2026-10-03</t>
        </is>
      </c>
      <c r="B48" s="49" t="inlineStr">
        <is>
          <t>2026-10-04 02:30:00</t>
        </is>
      </c>
      <c r="C48" s="49" t="inlineStr">
        <is>
          <t>CLUB_LEAGUE</t>
        </is>
      </c>
      <c r="D48" s="49" t="inlineStr">
        <is>
          <t>联赛</t>
        </is>
      </c>
      <c r="E48" s="49" t="inlineStr">
        <is>
          <t>意丙</t>
        </is>
      </c>
      <c r="F48" s="49" t="inlineStr">
        <is>
          <t>韦尔切利 vs 卡尔皮</t>
        </is>
      </c>
      <c r="G48" s="60" t="n">
        <v>0.83</v>
      </c>
      <c r="H48" s="60" t="n">
        <v>0.25</v>
      </c>
      <c r="I48" s="60" t="n">
        <v>0.87</v>
      </c>
      <c r="J48" s="49" t="inlineStr">
        <is>
          <t>0.83/0.25/0.87</t>
        </is>
      </c>
      <c r="K48" s="49" t="n"/>
      <c r="L48" s="49" t="inlineStr">
        <is>
          <t>韦尔切利</t>
        </is>
      </c>
      <c r="M48" s="86" t="n">
        <v>0.584</v>
      </c>
      <c r="N48" s="49" t="inlineStr">
        <is>
          <t>网页可投</t>
        </is>
      </c>
      <c r="O48" s="49" t="inlineStr">
        <is>
          <t>2-0</t>
        </is>
      </c>
      <c r="P48" s="49" t="inlineStr">
        <is>
          <t>已结算</t>
        </is>
      </c>
      <c r="Q48" s="49" t="inlineStr">
        <is>
          <t>红</t>
        </is>
      </c>
      <c r="R48" s="87" t="n">
        <v>0.83</v>
      </c>
      <c r="S48" s="87" t="n">
        <v>0.83</v>
      </c>
      <c r="T48" s="49" t="inlineStr">
        <is>
          <t>D:\codex\v3_legacy\outputs\football_odds_trader\raw\titan007\20261004\20261004_084919_titan007_odds_snapshot.csv</t>
        </is>
      </c>
      <c r="U48" s="49">
        <f>IF(Q48="","",IF(Q48="待结算","待结算",IF(Q48="红","黑",IF(Q48="半红","半黑",IF(Q48="走","走",IF(Q48="半黑","半红","红"))))))</f>
        <v/>
      </c>
      <c r="V48" s="87">
        <f>IF(OR(U48="",U48="待结算"),"",IF(L48=LEFT(F48,FIND(" vs ",F48)-1),I48,G48))</f>
        <v/>
      </c>
      <c r="W48" s="87">
        <f>IF(OR(U48="",U48="待结算"),"",IF(U48="红",V48,IF(U48="半红",V48*0.5,IF(U48="走",0,IF(U48="半黑",-0.5,-1)))))</f>
        <v/>
      </c>
      <c r="X48" s="49" t="n">
        <v>0.83</v>
      </c>
      <c r="Y48" s="49" t="n">
        <v>0.25</v>
      </c>
      <c r="Z48" s="49" t="n">
        <v>0.87</v>
      </c>
      <c r="AA48" s="49" t="n"/>
      <c r="AB48" s="49" t="n"/>
      <c r="AC48" s="49" t="n">
        <v>0.83</v>
      </c>
      <c r="AD48" s="49" t="n">
        <v>2.2</v>
      </c>
      <c r="AE48" s="49" t="n">
        <v>3.2</v>
      </c>
      <c r="AF48" s="49" t="n">
        <v>3.02</v>
      </c>
      <c r="AG48" s="49" t="n"/>
      <c r="AH48" s="49" t="n"/>
      <c r="AI48" s="49" t="n"/>
      <c r="AJ48" s="49" t="n"/>
      <c r="AK48" s="49" t="n"/>
      <c r="AL48" s="49" t="n"/>
      <c r="AM48" s="49" t="n"/>
      <c r="AN48" s="49" t="n"/>
      <c r="AO48" s="49" t="n"/>
      <c r="AP48" s="49" t="n"/>
      <c r="AQ48" s="49" t="n">
        <v>0.25</v>
      </c>
      <c r="AR48" s="49" t="n"/>
      <c r="AS48" s="49" t="n"/>
      <c r="AT48" s="49" t="n"/>
      <c r="AU48" s="49" t="n"/>
      <c r="AV48" s="49" t="n"/>
      <c r="AW48" s="49" t="n"/>
      <c r="AX48" s="49" t="n"/>
      <c r="AY48" s="49" t="inlineStr">
        <is>
          <t>Titan007 Next</t>
        </is>
      </c>
      <c r="AZ48" s="0" t="inlineStr">
        <is>
          <t>新增冻结记录；历史字段缺失处留空</t>
        </is>
      </c>
    </row>
    <row r="49" ht="22" customHeight="1" s="78">
      <c r="A49" s="49" t="inlineStr">
        <is>
          <t>2026-10-03</t>
        </is>
      </c>
      <c r="B49" s="49" t="inlineStr">
        <is>
          <t>2026-10-04 02:45:00</t>
        </is>
      </c>
      <c r="C49" s="49" t="inlineStr">
        <is>
          <t>CLUB_LEAGUE</t>
        </is>
      </c>
      <c r="D49" s="49" t="inlineStr">
        <is>
          <t>联赛</t>
        </is>
      </c>
      <c r="E49" s="49" t="inlineStr">
        <is>
          <t>法丙</t>
        </is>
      </c>
      <c r="F49" s="49" t="inlineStr">
        <is>
          <t>孔卡诺 vs 巴黎13区竞技</t>
        </is>
      </c>
      <c r="G49" s="60" t="n">
        <v>0.79</v>
      </c>
      <c r="H49" s="60" t="n">
        <v>0.5</v>
      </c>
      <c r="I49" s="60" t="n">
        <v>0.97</v>
      </c>
      <c r="J49" s="49" t="inlineStr">
        <is>
          <t>0.79/0.5/0.97</t>
        </is>
      </c>
      <c r="K49" s="49" t="n"/>
      <c r="L49" s="49" t="inlineStr">
        <is>
          <t>孔卡诺</t>
        </is>
      </c>
      <c r="M49" s="86" t="n">
        <v>0.584</v>
      </c>
      <c r="N49" s="49" t="inlineStr">
        <is>
          <t>网页可投</t>
        </is>
      </c>
      <c r="O49" s="49" t="inlineStr">
        <is>
          <t>2-1</t>
        </is>
      </c>
      <c r="P49" s="49" t="inlineStr">
        <is>
          <t>已结算</t>
        </is>
      </c>
      <c r="Q49" s="49" t="inlineStr">
        <is>
          <t>红</t>
        </is>
      </c>
      <c r="R49" s="87" t="n">
        <v>0.79</v>
      </c>
      <c r="S49" s="87" t="n">
        <v>0.79</v>
      </c>
      <c r="T49" s="49" t="inlineStr">
        <is>
          <t>D:\codex\v3_legacy\outputs\football_odds_trader\raw\titan007\20261004\20261004_084919_titan007_odds_snapshot.csv</t>
        </is>
      </c>
      <c r="U49" s="49">
        <f>IF(Q49="","",IF(Q49="待结算","待结算",IF(Q49="红","黑",IF(Q49="半红","半黑",IF(Q49="走","走",IF(Q49="半黑","半红","红"))))))</f>
        <v/>
      </c>
      <c r="V49" s="87">
        <f>IF(OR(U49="",U49="待结算"),"",IF(L49=LEFT(F49,FIND(" vs ",F49)-1),I49,G49))</f>
        <v/>
      </c>
      <c r="W49" s="87">
        <f>IF(OR(U49="",U49="待结算"),"",IF(U49="红",V49,IF(U49="半红",V49*0.5,IF(U49="走",0,IF(U49="半黑",-0.5,-1)))))</f>
        <v/>
      </c>
      <c r="X49" s="49" t="n">
        <v>0.76</v>
      </c>
      <c r="Y49" s="49" t="n">
        <v>0.5</v>
      </c>
      <c r="Z49" s="49" t="n">
        <v>0.9399999999999999</v>
      </c>
      <c r="AA49" s="49" t="n"/>
      <c r="AB49" s="49" t="n"/>
      <c r="AC49" s="49" t="n">
        <v>0.79</v>
      </c>
      <c r="AD49" s="49" t="n">
        <v>1.77</v>
      </c>
      <c r="AE49" s="49" t="n">
        <v>3.29</v>
      </c>
      <c r="AF49" s="49" t="n">
        <v>4.3</v>
      </c>
      <c r="AG49" s="49" t="n"/>
      <c r="AH49" s="49" t="n"/>
      <c r="AI49" s="49" t="n"/>
      <c r="AJ49" s="49" t="n"/>
      <c r="AK49" s="49" t="n"/>
      <c r="AL49" s="49" t="n"/>
      <c r="AM49" s="49" t="n"/>
      <c r="AN49" s="49" t="n"/>
      <c r="AO49" s="49" t="n"/>
      <c r="AP49" s="49" t="n"/>
      <c r="AQ49" s="49" t="n">
        <v>0.5</v>
      </c>
      <c r="AR49" s="49" t="n"/>
      <c r="AS49" s="49" t="n"/>
      <c r="AT49" s="49" t="n"/>
      <c r="AU49" s="49" t="n"/>
      <c r="AV49" s="49" t="n"/>
      <c r="AW49" s="49" t="n"/>
      <c r="AX49" s="49" t="n"/>
      <c r="AY49" s="49" t="inlineStr">
        <is>
          <t>Titan007 Next</t>
        </is>
      </c>
      <c r="AZ49" s="0" t="inlineStr">
        <is>
          <t>新增冻结记录；历史字段缺失处留空</t>
        </is>
      </c>
    </row>
    <row r="50" ht="22" customHeight="1" s="78">
      <c r="A50" s="49" t="inlineStr">
        <is>
          <t>2026-10-03</t>
        </is>
      </c>
      <c r="B50" s="49" t="inlineStr">
        <is>
          <t>2026-10-04 02:45:00</t>
        </is>
      </c>
      <c r="C50" s="49" t="inlineStr">
        <is>
          <t>CLUB_LEAGUE</t>
        </is>
      </c>
      <c r="D50" s="49" t="inlineStr">
        <is>
          <t>联赛</t>
        </is>
      </c>
      <c r="E50" s="49" t="inlineStr">
        <is>
          <t>法丙</t>
        </is>
      </c>
      <c r="F50" s="49" t="inlineStr">
        <is>
          <t>维尔赛斯 vs 瓦朗谢纳</t>
        </is>
      </c>
      <c r="G50" s="60" t="n">
        <v>0.83</v>
      </c>
      <c r="H50" s="60" t="n">
        <v>0.5</v>
      </c>
      <c r="I50" s="60" t="n">
        <v>0.93</v>
      </c>
      <c r="J50" s="49" t="inlineStr">
        <is>
          <t>0.83/0.5/0.93</t>
        </is>
      </c>
      <c r="K50" s="49" t="n"/>
      <c r="L50" s="49" t="inlineStr">
        <is>
          <t>维尔赛斯</t>
        </is>
      </c>
      <c r="M50" s="86" t="n">
        <v>0.584</v>
      </c>
      <c r="N50" s="49" t="inlineStr">
        <is>
          <t>网页可投</t>
        </is>
      </c>
      <c r="O50" s="49" t="inlineStr">
        <is>
          <t>1-0</t>
        </is>
      </c>
      <c r="P50" s="49" t="inlineStr">
        <is>
          <t>已结算</t>
        </is>
      </c>
      <c r="Q50" s="49" t="inlineStr">
        <is>
          <t>红</t>
        </is>
      </c>
      <c r="R50" s="87" t="n">
        <v>0.83</v>
      </c>
      <c r="S50" s="87" t="n">
        <v>0.83</v>
      </c>
      <c r="T50" s="49" t="inlineStr">
        <is>
          <t>D:\codex\v3_legacy\outputs\football_odds_trader\raw\titan007\20261004\20261004_084919_titan007_odds_snapshot.csv</t>
        </is>
      </c>
      <c r="U50" s="49">
        <f>IF(Q50="","",IF(Q50="待结算","待结算",IF(Q50="红","黑",IF(Q50="半红","半黑",IF(Q50="走","走",IF(Q50="半黑","半红","红"))))))</f>
        <v/>
      </c>
      <c r="V50" s="87">
        <f>IF(OR(U50="",U50="待结算"),"",IF(L50=LEFT(F50,FIND(" vs ",F50)-1),I50,G50))</f>
        <v/>
      </c>
      <c r="W50" s="87">
        <f>IF(OR(U50="",U50="待结算"),"",IF(U50="红",V50,IF(U50="半红",V50*0.5,IF(U50="走",0,IF(U50="半黑",-0.5,-1)))))</f>
        <v/>
      </c>
      <c r="X50" s="49" t="n">
        <v>0.95</v>
      </c>
      <c r="Y50" s="49" t="n">
        <v>0.5</v>
      </c>
      <c r="Z50" s="49" t="n">
        <v>0.75</v>
      </c>
      <c r="AA50" s="49" t="n"/>
      <c r="AB50" s="49" t="n"/>
      <c r="AC50" s="49" t="n">
        <v>0.83</v>
      </c>
      <c r="AD50" s="49" t="n">
        <v>1.89</v>
      </c>
      <c r="AE50" s="49" t="n">
        <v>3.36</v>
      </c>
      <c r="AF50" s="49" t="n">
        <v>3.67</v>
      </c>
      <c r="AG50" s="49" t="n"/>
      <c r="AH50" s="49" t="n"/>
      <c r="AI50" s="49" t="n"/>
      <c r="AJ50" s="49" t="n"/>
      <c r="AK50" s="49" t="n"/>
      <c r="AL50" s="49" t="n"/>
      <c r="AM50" s="49" t="n"/>
      <c r="AN50" s="49" t="n"/>
      <c r="AO50" s="49" t="n"/>
      <c r="AP50" s="49" t="n"/>
      <c r="AQ50" s="49" t="n">
        <v>0.5</v>
      </c>
      <c r="AR50" s="49" t="n"/>
      <c r="AS50" s="49" t="n"/>
      <c r="AT50" s="49" t="n"/>
      <c r="AU50" s="49" t="n"/>
      <c r="AV50" s="49" t="n"/>
      <c r="AW50" s="49" t="n"/>
      <c r="AX50" s="49" t="n"/>
      <c r="AY50" s="49" t="inlineStr">
        <is>
          <t>Titan007 Next</t>
        </is>
      </c>
      <c r="AZ50" s="0" t="inlineStr">
        <is>
          <t>新增冻结记录；历史字段缺失处留空</t>
        </is>
      </c>
    </row>
    <row r="51" ht="22" customHeight="1" s="78">
      <c r="A51" s="49" t="inlineStr">
        <is>
          <t>2026-10-03</t>
        </is>
      </c>
      <c r="B51" s="49" t="inlineStr">
        <is>
          <t>2026-10-04 07:00:00</t>
        </is>
      </c>
      <c r="C51" s="49" t="inlineStr">
        <is>
          <t>CLUB_LEAGUE</t>
        </is>
      </c>
      <c r="D51" s="49" t="inlineStr">
        <is>
          <t>联赛</t>
        </is>
      </c>
      <c r="E51" s="49" t="inlineStr">
        <is>
          <t>美冠联</t>
        </is>
      </c>
      <c r="F51" s="49" t="inlineStr">
        <is>
          <t>底特律城 vs 伯明翰军团</t>
        </is>
      </c>
      <c r="G51" s="60" t="n">
        <v>0.8100000000000001</v>
      </c>
      <c r="H51" s="60" t="n">
        <v>0.75</v>
      </c>
      <c r="I51" s="60" t="n">
        <v>1.01</v>
      </c>
      <c r="J51" s="49" t="inlineStr">
        <is>
          <t>0.81/0.75/1.01</t>
        </is>
      </c>
      <c r="K51" s="49" t="n"/>
      <c r="L51" s="49" t="inlineStr">
        <is>
          <t>伯明翰军团（下盘）</t>
        </is>
      </c>
      <c r="M51" s="86" t="n">
        <v>0.584</v>
      </c>
      <c r="N51" s="49" t="inlineStr">
        <is>
          <t>网页可投</t>
        </is>
      </c>
      <c r="O51" s="49" t="inlineStr">
        <is>
          <t>1-0</t>
        </is>
      </c>
      <c r="P51" s="49" t="inlineStr">
        <is>
          <t>已结算</t>
        </is>
      </c>
      <c r="Q51" s="49" t="inlineStr">
        <is>
          <t>黑半</t>
        </is>
      </c>
      <c r="R51" s="87" t="n">
        <v>1.01</v>
      </c>
      <c r="S51" s="87" t="n">
        <v>-0.5</v>
      </c>
      <c r="T51" s="49" t="inlineStr">
        <is>
          <t>D:\codex\v3_legacy\outputs\football_odds_trader\raw\titan007\20261004\20261004_084919_titan007_odds_snapshot.csv</t>
        </is>
      </c>
      <c r="U51" s="49">
        <f>IF(Q51="","",IF(Q51="待结算","待结算",IF(Q51="红","黑",IF(Q51="半红","半黑",IF(Q51="走","走",IF(Q51="半黑","半红","红"))))))</f>
        <v/>
      </c>
      <c r="V51" s="87">
        <f>IF(OR(U51="",U51="待结算"),"",IF(L51=LEFT(F51,FIND(" vs ",F51)-1),I51,G51))</f>
        <v/>
      </c>
      <c r="W51" s="87">
        <f>IF(OR(U51="",U51="待结算"),"",IF(U51="红",V51,IF(U51="半红",V51*0.5,IF(U51="走",0,IF(U51="半黑",-0.5,-1)))))</f>
        <v/>
      </c>
      <c r="X51" s="49" t="n">
        <v>0.8100000000000001</v>
      </c>
      <c r="Y51" s="49" t="n">
        <v>0.75</v>
      </c>
      <c r="Z51" s="49" t="n">
        <v>1.01</v>
      </c>
      <c r="AA51" s="49" t="n"/>
      <c r="AB51" s="49" t="n"/>
      <c r="AC51" s="49" t="n">
        <v>1.01</v>
      </c>
      <c r="AD51" s="49" t="n">
        <v>1.58</v>
      </c>
      <c r="AE51" s="49" t="n">
        <v>3.79</v>
      </c>
      <c r="AF51" s="49" t="n">
        <v>4.8</v>
      </c>
      <c r="AG51" s="49" t="n"/>
      <c r="AH51" s="49" t="n"/>
      <c r="AI51" s="49" t="n"/>
      <c r="AJ51" s="49" t="n"/>
      <c r="AK51" s="49" t="n"/>
      <c r="AL51" s="49" t="n"/>
      <c r="AM51" s="49" t="n"/>
      <c r="AN51" s="49" t="n"/>
      <c r="AO51" s="49" t="n"/>
      <c r="AP51" s="49" t="n"/>
      <c r="AQ51" s="49" t="n">
        <v>0.75</v>
      </c>
      <c r="AR51" s="49" t="n"/>
      <c r="AS51" s="49" t="n"/>
      <c r="AT51" s="49" t="n"/>
      <c r="AU51" s="49" t="n"/>
      <c r="AV51" s="49" t="n"/>
      <c r="AW51" s="49" t="n"/>
      <c r="AX51" s="49" t="n"/>
      <c r="AY51" s="49" t="inlineStr">
        <is>
          <t>Titan007 Next</t>
        </is>
      </c>
      <c r="AZ51" s="0" t="inlineStr">
        <is>
          <t>新增冻结记录；历史字段缺失处留空</t>
        </is>
      </c>
    </row>
    <row r="52" ht="22" customHeight="1" s="78">
      <c r="A52" s="49" t="inlineStr">
        <is>
          <t>2026-10-03</t>
        </is>
      </c>
      <c r="B52" s="49" t="inlineStr">
        <is>
          <t>2026-10-04 09:00:00</t>
        </is>
      </c>
      <c r="C52" s="49" t="inlineStr">
        <is>
          <t>CLUB_LEAGUE</t>
        </is>
      </c>
      <c r="D52" s="49" t="inlineStr">
        <is>
          <t>联赛</t>
        </is>
      </c>
      <c r="E52" s="49" t="inlineStr">
        <is>
          <t>美冠联</t>
        </is>
      </c>
      <c r="F52" s="49" t="inlineStr">
        <is>
          <t>科罗拉多跃泉 vs 奥克兰根</t>
        </is>
      </c>
      <c r="G52" s="60" t="n">
        <v>0.8</v>
      </c>
      <c r="H52" s="60" t="n">
        <v>0.75</v>
      </c>
      <c r="I52" s="60" t="n">
        <v>1.02</v>
      </c>
      <c r="J52" s="49" t="inlineStr">
        <is>
          <t>0.8/0.75/1.02</t>
        </is>
      </c>
      <c r="K52" s="49" t="n"/>
      <c r="L52" s="49" t="inlineStr">
        <is>
          <t>奥克兰根（下盘）</t>
        </is>
      </c>
      <c r="M52" s="86" t="n">
        <v>0.584</v>
      </c>
      <c r="N52" s="49" t="inlineStr">
        <is>
          <t>网页可投</t>
        </is>
      </c>
      <c r="O52" s="49" t="inlineStr">
        <is>
          <t>0-0</t>
        </is>
      </c>
      <c r="P52" s="49" t="inlineStr">
        <is>
          <t>已结算</t>
        </is>
      </c>
      <c r="Q52" s="49" t="inlineStr">
        <is>
          <t>红半</t>
        </is>
      </c>
      <c r="R52" s="87" t="n">
        <v>1.02</v>
      </c>
      <c r="S52" s="87" t="n">
        <v>0.51</v>
      </c>
      <c r="T52" s="49" t="inlineStr">
        <is>
          <t>D:\codex\v3_legacy\outputs\football_odds_trader\raw\titan007\20261004\20261004_135431_titan007_odds_snapshot.csv</t>
        </is>
      </c>
      <c r="U52" s="49">
        <f>IF(Q52="","",IF(Q52="待结算","待结算",IF(Q52="红","黑",IF(Q52="半红","半黑",IF(Q52="走","走",IF(Q52="半黑","半红","红"))))))</f>
        <v/>
      </c>
      <c r="V52" s="87">
        <f>IF(OR(U52="",U52="待结算"),"",IF(L52=LEFT(F52,FIND(" vs ",F52)-1),I52,G52))</f>
        <v/>
      </c>
      <c r="W52" s="87">
        <f>IF(OR(U52="",U52="待结算"),"",IF(U52="红",V52,IF(U52="半红",V52*0.5,IF(U52="走",0,IF(U52="半黑",-0.5,-1)))))</f>
        <v/>
      </c>
      <c r="X52" s="49" t="n">
        <v>0.95</v>
      </c>
      <c r="Y52" s="49" t="n">
        <v>0.75</v>
      </c>
      <c r="Z52" s="49" t="n">
        <v>0.87</v>
      </c>
      <c r="AA52" s="49" t="n"/>
      <c r="AB52" s="49" t="n"/>
      <c r="AC52" s="49" t="n">
        <v>1.02</v>
      </c>
      <c r="AD52" s="49" t="n">
        <v>1.65</v>
      </c>
      <c r="AE52" s="49" t="n">
        <v>3.83</v>
      </c>
      <c r="AF52" s="49" t="n">
        <v>4.2</v>
      </c>
      <c r="AG52" s="49" t="n"/>
      <c r="AH52" s="49" t="n"/>
      <c r="AI52" s="49" t="n"/>
      <c r="AJ52" s="49" t="n"/>
      <c r="AK52" s="49" t="n"/>
      <c r="AL52" s="49" t="n"/>
      <c r="AM52" s="49" t="n"/>
      <c r="AN52" s="49" t="n"/>
      <c r="AO52" s="49" t="n"/>
      <c r="AP52" s="49" t="n"/>
      <c r="AQ52" s="49" t="n">
        <v>0.75</v>
      </c>
      <c r="AR52" s="49" t="n"/>
      <c r="AS52" s="49" t="n"/>
      <c r="AT52" s="49" t="n"/>
      <c r="AU52" s="49" t="n"/>
      <c r="AV52" s="49" t="n"/>
      <c r="AW52" s="49" t="n"/>
      <c r="AX52" s="49" t="n"/>
      <c r="AY52" s="49" t="inlineStr">
        <is>
          <t>Titan007 Next</t>
        </is>
      </c>
      <c r="AZ52" s="0" t="inlineStr">
        <is>
          <t>新增冻结记录；历史字段缺失处留空</t>
        </is>
      </c>
    </row>
    <row r="53" ht="22" customHeight="1" s="78">
      <c r="A53" s="49" t="inlineStr">
        <is>
          <t>2026-10-03</t>
        </is>
      </c>
      <c r="B53" s="49" t="inlineStr">
        <is>
          <t>2026-10-04 09:00:00</t>
        </is>
      </c>
      <c r="C53" s="49" t="inlineStr">
        <is>
          <t>CLUB_LEAGUE</t>
        </is>
      </c>
      <c r="D53" s="49" t="inlineStr">
        <is>
          <t>联赛</t>
        </is>
      </c>
      <c r="E53" s="49" t="inlineStr">
        <is>
          <t>美甲</t>
        </is>
      </c>
      <c r="F53" s="49" t="inlineStr">
        <is>
          <t>斯波坎速度 vs 波特兰松之心</t>
        </is>
      </c>
      <c r="G53" s="60" t="n">
        <v>0.77</v>
      </c>
      <c r="H53" s="60" t="n">
        <v>0.75</v>
      </c>
      <c r="I53" s="60" t="n">
        <v>0.93</v>
      </c>
      <c r="J53" s="49" t="inlineStr">
        <is>
          <t>0.77/0.75/0.93</t>
        </is>
      </c>
      <c r="K53" s="49" t="n"/>
      <c r="L53" s="49" t="inlineStr">
        <is>
          <t>波特兰松之心（下盘）</t>
        </is>
      </c>
      <c r="M53" s="86" t="n">
        <v>0.584</v>
      </c>
      <c r="N53" s="49" t="inlineStr">
        <is>
          <t>网页可投</t>
        </is>
      </c>
      <c r="O53" s="49" t="inlineStr">
        <is>
          <t>3-3</t>
        </is>
      </c>
      <c r="P53" s="49" t="inlineStr">
        <is>
          <t>已结算</t>
        </is>
      </c>
      <c r="Q53" s="49" t="inlineStr">
        <is>
          <t>红半</t>
        </is>
      </c>
      <c r="R53" s="87" t="n">
        <v>0.93</v>
      </c>
      <c r="S53" s="87" t="n">
        <v>0.465</v>
      </c>
      <c r="T53" s="49" t="inlineStr">
        <is>
          <t>D:\codex\v3_legacy\outputs\football_odds_trader\raw\titan007\20261004\20261004_135431_titan007_odds_snapshot.csv</t>
        </is>
      </c>
      <c r="U53" s="49">
        <f>IF(Q53="","",IF(Q53="待结算","待结算",IF(Q53="红","黑",IF(Q53="半红","半黑",IF(Q53="走","走",IF(Q53="半黑","半红","红"))))))</f>
        <v/>
      </c>
      <c r="V53" s="87">
        <f>IF(OR(U53="",U53="待结算"),"",IF(L53=LEFT(F53,FIND(" vs ",F53)-1),I53,G53))</f>
        <v/>
      </c>
      <c r="W53" s="87">
        <f>IF(OR(U53="",U53="待结算"),"",IF(U53="红",V53,IF(U53="半红",V53*0.5,IF(U53="走",0,IF(U53="半黑",-0.5,-1)))))</f>
        <v/>
      </c>
      <c r="X53" s="49" t="n">
        <v>0.77</v>
      </c>
      <c r="Y53" s="49" t="n">
        <v>0.75</v>
      </c>
      <c r="Z53" s="49" t="n">
        <v>0.93</v>
      </c>
      <c r="AA53" s="49" t="n"/>
      <c r="AB53" s="49" t="n"/>
      <c r="AC53" s="49" t="n">
        <v>0.93</v>
      </c>
      <c r="AD53" s="49" t="n">
        <v>1.58</v>
      </c>
      <c r="AE53" s="49" t="n">
        <v>4.06</v>
      </c>
      <c r="AF53" s="49" t="n">
        <v>4.63</v>
      </c>
      <c r="AG53" s="49" t="n"/>
      <c r="AH53" s="49" t="n"/>
      <c r="AI53" s="49" t="n"/>
      <c r="AJ53" s="49" t="n"/>
      <c r="AK53" s="49" t="n"/>
      <c r="AL53" s="49" t="n"/>
      <c r="AM53" s="49" t="n"/>
      <c r="AN53" s="49" t="n"/>
      <c r="AO53" s="49" t="n"/>
      <c r="AP53" s="49" t="n"/>
      <c r="AQ53" s="49" t="n">
        <v>0.75</v>
      </c>
      <c r="AR53" s="49" t="n"/>
      <c r="AS53" s="49" t="n"/>
      <c r="AT53" s="49" t="n"/>
      <c r="AU53" s="49" t="n"/>
      <c r="AV53" s="49" t="n"/>
      <c r="AW53" s="49" t="n"/>
      <c r="AX53" s="49" t="n"/>
      <c r="AY53" s="49" t="inlineStr">
        <is>
          <t>Titan007 Next</t>
        </is>
      </c>
      <c r="AZ53" s="0" t="inlineStr">
        <is>
          <t>新增冻结记录；历史字段缺失处留空</t>
        </is>
      </c>
    </row>
    <row r="54" ht="22" customHeight="1" s="78">
      <c r="A54" s="49" t="inlineStr">
        <is>
          <t>2026-10-04</t>
        </is>
      </c>
      <c r="B54" s="49" t="inlineStr">
        <is>
          <t>2026-10-04 10:30:00</t>
        </is>
      </c>
      <c r="C54" s="49" t="inlineStr">
        <is>
          <t>CLUB_LEAGUE</t>
        </is>
      </c>
      <c r="D54" s="49" t="inlineStr">
        <is>
          <t>联赛</t>
        </is>
      </c>
      <c r="E54" s="49" t="inlineStr">
        <is>
          <t>美冠联</t>
        </is>
      </c>
      <c r="F54" s="49" t="inlineStr">
        <is>
          <t>拉斯维加斯之光 vs 圣安东尼奥</t>
        </is>
      </c>
      <c r="G54" s="60" t="n">
        <v>1</v>
      </c>
      <c r="H54" s="60" t="n">
        <v>0</v>
      </c>
      <c r="I54" s="60" t="n">
        <v>0.88</v>
      </c>
      <c r="J54" s="49" t="inlineStr">
        <is>
          <t>1.0/0.0/0.88</t>
        </is>
      </c>
      <c r="K54" s="49" t="n"/>
      <c r="L54" s="49" t="inlineStr">
        <is>
          <t>拉斯维加斯之光（上盘）</t>
        </is>
      </c>
      <c r="M54" s="86" t="n">
        <v>0.5529999999999999</v>
      </c>
      <c r="N54" s="49" t="inlineStr">
        <is>
          <t>网页可投</t>
        </is>
      </c>
      <c r="O54" s="49" t="inlineStr">
        <is>
          <t>1-0</t>
        </is>
      </c>
      <c r="P54" s="49" t="inlineStr">
        <is>
          <t>已结算</t>
        </is>
      </c>
      <c r="Q54" s="49" t="inlineStr">
        <is>
          <t>红</t>
        </is>
      </c>
      <c r="R54" s="87" t="n">
        <v>1</v>
      </c>
      <c r="S54" s="87" t="n">
        <v>0.5</v>
      </c>
      <c r="T54" s="49" t="inlineStr">
        <is>
          <t>D:\codex\v3_legacy\outputs\football_odds_trader\raw\titan007\20261004\20261004_135431_titan007_odds_snapshot.csv</t>
        </is>
      </c>
      <c r="U54" s="49">
        <f>IF(Q54="","",IF(Q54="待结算","待结算",IF(Q54="红","黑",IF(Q54="半红","半黑",IF(Q54="走","走",IF(Q54="半黑","半红","红"))))))</f>
        <v/>
      </c>
      <c r="V54" s="87">
        <f>IF(OR(U54="",U54="待结算"),"",IF(L54=LEFT(F54,FIND(" vs ",F54)-1),I54,G54))</f>
        <v/>
      </c>
      <c r="W54" s="87">
        <f>IF(OR(U54="",U54="待结算"),"",IF(U54="红",V54,IF(U54="半红",V54*0.5,IF(U54="走",0,IF(U54="半黑",-0.5,-1)))))</f>
        <v/>
      </c>
      <c r="X54" s="49" t="n">
        <v>1</v>
      </c>
      <c r="Y54" s="49" t="n">
        <v>0.25</v>
      </c>
      <c r="Z54" s="49" t="n">
        <v>0.82</v>
      </c>
      <c r="AA54" s="49" t="n"/>
      <c r="AB54" s="49" t="n"/>
      <c r="AC54" s="49" t="n">
        <v>1</v>
      </c>
      <c r="AD54" s="49" t="n">
        <v>2.24</v>
      </c>
      <c r="AE54" s="49" t="n">
        <v>3.3</v>
      </c>
      <c r="AF54" s="49" t="n">
        <v>2.82</v>
      </c>
      <c r="AG54" s="49" t="n"/>
      <c r="AH54" s="49" t="n"/>
      <c r="AI54" s="49" t="n"/>
      <c r="AJ54" s="49" t="n"/>
      <c r="AK54" s="49" t="n"/>
      <c r="AL54" s="49" t="n"/>
      <c r="AM54" s="49" t="n"/>
      <c r="AN54" s="49" t="n"/>
      <c r="AO54" s="49" t="n"/>
      <c r="AP54" s="49" t="n"/>
      <c r="AQ54" s="49" t="n">
        <v>0</v>
      </c>
      <c r="AR54" s="49" t="n"/>
      <c r="AS54" s="49" t="n"/>
      <c r="AT54" s="49" t="n"/>
      <c r="AU54" s="49" t="n"/>
      <c r="AV54" s="49" t="n"/>
      <c r="AW54" s="49" t="n"/>
      <c r="AX54" s="49" t="n"/>
      <c r="AY54" s="49" t="inlineStr">
        <is>
          <t>Titan007 snapshot</t>
        </is>
      </c>
      <c r="AZ54" s="0" t="inlineStr">
        <is>
          <t>新增冻结记录；历史字段缺失处留空</t>
        </is>
      </c>
    </row>
    <row r="55" ht="22" customHeight="1" s="78">
      <c r="A55" s="49" t="inlineStr">
        <is>
          <t>2026-10-04</t>
        </is>
      </c>
      <c r="B55" s="49" t="inlineStr">
        <is>
          <t>2026-10-04 16:00:00</t>
        </is>
      </c>
      <c r="C55" s="49" t="inlineStr">
        <is>
          <t>CLUB_CUP</t>
        </is>
      </c>
      <c r="D55" s="49" t="inlineStr">
        <is>
          <t>杯赛</t>
        </is>
      </c>
      <c r="E55" s="49" t="inlineStr">
        <is>
          <t>港联杯</t>
        </is>
      </c>
      <c r="F55" s="49" t="inlineStr">
        <is>
          <t>九龙城 vs 东区</t>
        </is>
      </c>
      <c r="G55" s="60" t="n">
        <v>0.86</v>
      </c>
      <c r="H55" s="60" t="n">
        <v>0.25</v>
      </c>
      <c r="I55" s="60" t="n">
        <v>0.84</v>
      </c>
      <c r="J55" s="49" t="inlineStr">
        <is>
          <t>0.86/0.25/0.84</t>
        </is>
      </c>
      <c r="K55" s="49" t="inlineStr">
        <is>
          <t>诱上/阻下</t>
        </is>
      </c>
      <c r="L55" s="49" t="inlineStr">
        <is>
          <t>东区</t>
        </is>
      </c>
      <c r="M55" s="86" t="n">
        <v>0.5909053900000001</v>
      </c>
      <c r="N55" s="49" t="inlineStr">
        <is>
          <t>网页可投</t>
        </is>
      </c>
      <c r="O55" s="49" t="inlineStr">
        <is>
          <t>1-2</t>
        </is>
      </c>
      <c r="P55" s="49" t="inlineStr">
        <is>
          <t>已结算</t>
        </is>
      </c>
      <c r="Q55" s="49" t="inlineStr">
        <is>
          <t>红</t>
        </is>
      </c>
      <c r="R55" s="87" t="n">
        <v>0.84</v>
      </c>
      <c r="S55" s="87" t="n">
        <v>0</v>
      </c>
      <c r="T55" s="49" t="inlineStr">
        <is>
          <t>D:\codex\v3_legacy\outputs\football_odds_trader\raw\titan007\20261004\20261004_135431_titan007_odds_snapshot.csv</t>
        </is>
      </c>
      <c r="U55" s="49">
        <f>IF(Q55="","",IF(Q55="待结算","待结算",IF(Q55="红","黑",IF(Q55="半红","半黑",IF(Q55="走","走",IF(Q55="半黑","半红","红"))))))</f>
        <v/>
      </c>
      <c r="V55" s="87">
        <f>IF(OR(U55="",U55="待结算"),"",IF(L55=LEFT(F55,FIND(" vs ",F55)-1),I55,G55))</f>
        <v/>
      </c>
      <c r="W55" s="87">
        <f>IF(OR(U55="",U55="待结算"),"",IF(U55="红",V55,IF(U55="半红",V55*0.5,IF(U55="走",0,IF(U55="半黑",-0.5,-1)))))</f>
        <v/>
      </c>
      <c r="X55" s="49" t="n">
        <v>0.86</v>
      </c>
      <c r="Y55" s="49" t="n">
        <v>-0.25</v>
      </c>
      <c r="Z55" s="49" t="n">
        <v>0.84</v>
      </c>
      <c r="AA55" s="49" t="n"/>
      <c r="AB55" s="49" t="n"/>
      <c r="AC55" s="49" t="n">
        <v>0.84</v>
      </c>
      <c r="AD55" s="49" t="n">
        <v>2.5</v>
      </c>
      <c r="AE55" s="49" t="n">
        <v>3.81</v>
      </c>
      <c r="AF55" s="49" t="n">
        <v>2.33</v>
      </c>
      <c r="AG55" s="49" t="n"/>
      <c r="AH55" s="49" t="n"/>
      <c r="AI55" s="49" t="n"/>
      <c r="AJ55" s="49" t="n"/>
      <c r="AK55" s="49" t="n"/>
      <c r="AL55" s="49" t="n"/>
      <c r="AM55" s="49" t="n"/>
      <c r="AN55" s="49" t="n"/>
      <c r="AO55" s="49" t="n"/>
      <c r="AP55" s="49" t="n"/>
      <c r="AQ55" s="49" t="n">
        <v>0.25</v>
      </c>
      <c r="AR55" s="49" t="n"/>
      <c r="AS55" s="49" t="n"/>
      <c r="AT55" s="49" t="n"/>
      <c r="AU55" s="49" t="n"/>
      <c r="AV55" s="49" t="n"/>
      <c r="AW55" s="49" t="n"/>
      <c r="AX55" s="49" t="n"/>
      <c r="AY55" s="49" t="inlineStr">
        <is>
          <t>Titan007 Next</t>
        </is>
      </c>
      <c r="AZ55" s="0" t="inlineStr">
        <is>
          <t>新增冻结记录；历史字段缺失处留空</t>
        </is>
      </c>
    </row>
    <row r="56" ht="22" customHeight="1" s="78">
      <c r="A56" s="49" t="inlineStr">
        <is>
          <t>2026-10-04</t>
        </is>
      </c>
      <c r="B56" s="49" t="inlineStr">
        <is>
          <t>2026-10-04 16:00:00</t>
        </is>
      </c>
      <c r="C56" s="49" t="inlineStr">
        <is>
          <t>CLUB_CUP</t>
        </is>
      </c>
      <c r="D56" s="49" t="inlineStr">
        <is>
          <t>杯赛</t>
        </is>
      </c>
      <c r="E56" s="49" t="inlineStr">
        <is>
          <t>港联杯</t>
        </is>
      </c>
      <c r="F56" s="49" t="inlineStr">
        <is>
          <t>标准流浪 vs 和富大埔</t>
        </is>
      </c>
      <c r="G56" s="60" t="n">
        <v>0.9399999999999999</v>
      </c>
      <c r="H56" s="60" t="n">
        <v>0.75</v>
      </c>
      <c r="I56" s="60" t="n">
        <v>0.76</v>
      </c>
      <c r="J56" s="49" t="inlineStr">
        <is>
          <t>0.94/0.75/0.76</t>
        </is>
      </c>
      <c r="K56" s="49" t="inlineStr">
        <is>
          <t>诱上/阻下</t>
        </is>
      </c>
      <c r="L56" s="49" t="inlineStr">
        <is>
          <t>和富大埔</t>
        </is>
      </c>
      <c r="M56" s="86" t="n">
        <v>0.5909053900000001</v>
      </c>
      <c r="N56" s="49" t="inlineStr">
        <is>
          <t>网页可投</t>
        </is>
      </c>
      <c r="O56" s="49" t="inlineStr">
        <is>
          <t>1-3</t>
        </is>
      </c>
      <c r="P56" s="49" t="inlineStr">
        <is>
          <t>已结算</t>
        </is>
      </c>
      <c r="Q56" s="49" t="inlineStr">
        <is>
          <t>红</t>
        </is>
      </c>
      <c r="R56" s="87" t="n">
        <v>0.76</v>
      </c>
      <c r="S56" s="87" t="n">
        <v>0.38</v>
      </c>
      <c r="T56" s="49" t="inlineStr">
        <is>
          <t>D:\codex\v3_legacy\outputs\football_odds_trader\raw\titan007\20261004\20261004_135431_titan007_odds_snapshot.csv</t>
        </is>
      </c>
      <c r="U56" s="49">
        <f>IF(Q56="","",IF(Q56="待结算","待结算",IF(Q56="红","黑",IF(Q56="半红","半黑",IF(Q56="走","走",IF(Q56="半黑","半红","红"))))))</f>
        <v/>
      </c>
      <c r="V56" s="87">
        <f>IF(OR(U56="",U56="待结算"),"",IF(L56=LEFT(F56,FIND(" vs ",F56)-1),I56,G56))</f>
        <v/>
      </c>
      <c r="W56" s="87">
        <f>IF(OR(U56="",U56="待结算"),"",IF(U56="红",V56,IF(U56="半红",V56*0.5,IF(U56="走",0,IF(U56="半黑",-0.5,-1)))))</f>
        <v/>
      </c>
      <c r="X56" s="49" t="n">
        <v>0.9</v>
      </c>
      <c r="Y56" s="49" t="n">
        <v>-0.75</v>
      </c>
      <c r="Z56" s="49" t="n">
        <v>0.8</v>
      </c>
      <c r="AA56" s="49" t="n"/>
      <c r="AB56" s="49" t="n"/>
      <c r="AC56" s="49" t="n">
        <v>0.76</v>
      </c>
      <c r="AD56" s="49" t="n">
        <v>4.64</v>
      </c>
      <c r="AE56" s="49" t="n">
        <v>4.38</v>
      </c>
      <c r="AF56" s="49" t="n">
        <v>1.55</v>
      </c>
      <c r="AG56" s="49" t="n"/>
      <c r="AH56" s="49" t="n"/>
      <c r="AI56" s="49" t="n"/>
      <c r="AJ56" s="49" t="n"/>
      <c r="AK56" s="49" t="n"/>
      <c r="AL56" s="49" t="n"/>
      <c r="AM56" s="49" t="n"/>
      <c r="AN56" s="49" t="n"/>
      <c r="AO56" s="49" t="n"/>
      <c r="AP56" s="49" t="n"/>
      <c r="AQ56" s="49" t="n">
        <v>0.75</v>
      </c>
      <c r="AR56" s="49" t="n"/>
      <c r="AS56" s="49" t="n"/>
      <c r="AT56" s="49" t="n"/>
      <c r="AU56" s="49" t="n"/>
      <c r="AV56" s="49" t="n"/>
      <c r="AW56" s="49" t="n"/>
      <c r="AX56" s="49" t="n"/>
      <c r="AY56" s="49" t="inlineStr">
        <is>
          <t>Titan007 Next</t>
        </is>
      </c>
      <c r="AZ56" s="0" t="inlineStr">
        <is>
          <t>新增冻结记录；历史字段缺失处留空</t>
        </is>
      </c>
    </row>
    <row r="57" ht="22" customHeight="1" s="78">
      <c r="A57" s="49" t="inlineStr">
        <is>
          <t>2026-10-04</t>
        </is>
      </c>
      <c r="B57" s="49" t="inlineStr">
        <is>
          <t>2026-10-04 18:00:00</t>
        </is>
      </c>
      <c r="C57" s="49" t="inlineStr">
        <is>
          <t>CLUB_LEAGUE</t>
        </is>
      </c>
      <c r="D57" s="49" t="inlineStr">
        <is>
          <t>联赛</t>
        </is>
      </c>
      <c r="E57" s="49" t="inlineStr">
        <is>
          <t>日职乙</t>
        </is>
      </c>
      <c r="F57" s="49" t="inlineStr">
        <is>
          <t>宫崎棒牛鸟 vs RB大宫松鼠</t>
        </is>
      </c>
      <c r="G57" s="60" t="n">
        <v>0.97</v>
      </c>
      <c r="H57" s="60" t="n">
        <v>0</v>
      </c>
      <c r="I57" s="60" t="n">
        <v>0.91</v>
      </c>
      <c r="J57" s="49" t="inlineStr">
        <is>
          <t>0.97/0.0/0.91</t>
        </is>
      </c>
      <c r="K57" s="49" t="n"/>
      <c r="L57" s="49" t="inlineStr">
        <is>
          <t>RB大宫松鼠（上盘）</t>
        </is>
      </c>
      <c r="M57" s="86" t="n">
        <v>0.5620000000000001</v>
      </c>
      <c r="N57" s="49" t="inlineStr">
        <is>
          <t>网页可投</t>
        </is>
      </c>
      <c r="O57" s="49" t="inlineStr">
        <is>
          <t>1-1</t>
        </is>
      </c>
      <c r="P57" s="49" t="inlineStr">
        <is>
          <t>已结算</t>
        </is>
      </c>
      <c r="Q57" s="49" t="inlineStr">
        <is>
          <t>走</t>
        </is>
      </c>
      <c r="R57" s="87" t="n">
        <v>0.91</v>
      </c>
      <c r="S57" s="87" t="n">
        <v>0</v>
      </c>
      <c r="T57" s="49" t="inlineStr">
        <is>
          <t>D:\codex\v3_legacy\outputs\football_odds_trader\raw\titan007\20261004\20261004_135431_titan007_odds_snapshot.csv</t>
        </is>
      </c>
      <c r="U57" s="49">
        <f>IF(Q57="","",IF(Q57="待结算","待结算",IF(Q57="红","黑",IF(Q57="半红","半黑",IF(Q57="走","走",IF(Q57="半黑","半红","红"))))))</f>
        <v/>
      </c>
      <c r="V57" s="87">
        <f>IF(OR(U57="",U57="待结算"),"",IF(L57=LEFT(F57,FIND(" vs ",F57)-1),I57,G57))</f>
        <v/>
      </c>
      <c r="W57" s="87">
        <f>IF(OR(U57="",U57="待结算"),"",IF(U57="红",V57,IF(U57="半红",V57*0.5,IF(U57="走",0,IF(U57="半黑",-0.5,-1)))))</f>
        <v/>
      </c>
      <c r="X57" s="49" t="n">
        <v>0.82</v>
      </c>
      <c r="Y57" s="49" t="n">
        <v>-0.25</v>
      </c>
      <c r="Z57" s="49" t="n">
        <v>1</v>
      </c>
      <c r="AA57" s="49" t="n"/>
      <c r="AB57" s="49" t="n"/>
      <c r="AC57" s="49" t="n">
        <v>0.91</v>
      </c>
      <c r="AD57" s="49" t="n">
        <v>2.68</v>
      </c>
      <c r="AE57" s="49" t="n">
        <v>3.35</v>
      </c>
      <c r="AF57" s="49" t="n">
        <v>2.35</v>
      </c>
      <c r="AG57" s="49" t="n"/>
      <c r="AH57" s="49" t="n"/>
      <c r="AI57" s="49" t="n"/>
      <c r="AJ57" s="49" t="n"/>
      <c r="AK57" s="49" t="n"/>
      <c r="AL57" s="49" t="n"/>
      <c r="AM57" s="49" t="n"/>
      <c r="AN57" s="49" t="n"/>
      <c r="AO57" s="49" t="n"/>
      <c r="AP57" s="49" t="n"/>
      <c r="AQ57" s="49" t="n">
        <v>0</v>
      </c>
      <c r="AR57" s="49" t="n"/>
      <c r="AS57" s="49" t="n"/>
      <c r="AT57" s="49" t="n"/>
      <c r="AU57" s="49" t="n"/>
      <c r="AV57" s="49" t="n"/>
      <c r="AW57" s="49" t="n"/>
      <c r="AX57" s="49" t="n"/>
      <c r="AY57" s="49" t="inlineStr">
        <is>
          <t>Titan007 Next</t>
        </is>
      </c>
      <c r="AZ57" s="0" t="inlineStr">
        <is>
          <t>新增冻结记录；历史字段缺失处留空</t>
        </is>
      </c>
    </row>
    <row r="58" ht="22" customHeight="1" s="78">
      <c r="A58" s="49" t="inlineStr">
        <is>
          <t>2026-10-04</t>
        </is>
      </c>
      <c r="B58" s="49" t="inlineStr">
        <is>
          <t>2026-10-04 18:00:00</t>
        </is>
      </c>
      <c r="C58" s="49" t="inlineStr">
        <is>
          <t>CLUB_LEAGUE</t>
        </is>
      </c>
      <c r="D58" s="49" t="inlineStr">
        <is>
          <t>联赛</t>
        </is>
      </c>
      <c r="E58" s="49" t="inlineStr">
        <is>
          <t>西协甲</t>
        </is>
      </c>
      <c r="F58" s="49" t="inlineStr">
        <is>
          <t>比利亚雷亚尔B队 vs 伊维萨</t>
        </is>
      </c>
      <c r="G58" s="60" t="n">
        <v>0.78</v>
      </c>
      <c r="H58" s="60" t="n">
        <v>0.25</v>
      </c>
      <c r="I58" s="60" t="n">
        <v>0.92</v>
      </c>
      <c r="J58" s="49" t="inlineStr">
        <is>
          <t>0.78/0.25/0.92</t>
        </is>
      </c>
      <c r="K58" s="49" t="n"/>
      <c r="L58" s="49" t="inlineStr">
        <is>
          <t>比利亚雷亚尔B队</t>
        </is>
      </c>
      <c r="M58" s="86" t="n">
        <v>0.584</v>
      </c>
      <c r="N58" s="49" t="inlineStr">
        <is>
          <t>网页可投</t>
        </is>
      </c>
      <c r="O58" s="49" t="inlineStr">
        <is>
          <t>0-1</t>
        </is>
      </c>
      <c r="P58" s="49" t="inlineStr">
        <is>
          <t>已结算</t>
        </is>
      </c>
      <c r="Q58" s="49" t="inlineStr">
        <is>
          <t>黑</t>
        </is>
      </c>
      <c r="R58" s="87" t="n">
        <v>0.78</v>
      </c>
      <c r="S58" s="87" t="n">
        <v>0</v>
      </c>
      <c r="T58" s="49" t="inlineStr">
        <is>
          <t>D:\codex\v3_legacy\outputs\football_odds_trader\raw\titan007\20261004\20261004_135431_titan007_odds_snapshot.csv</t>
        </is>
      </c>
      <c r="U58" s="49">
        <f>IF(Q58="","",IF(Q58="待结算","待结算",IF(Q58="红","黑",IF(Q58="半红","半黑",IF(Q58="走","走",IF(Q58="半黑","半红","红"))))))</f>
        <v/>
      </c>
      <c r="V58" s="87">
        <f>IF(OR(U58="",U58="待结算"),"",IF(L58=LEFT(F58,FIND(" vs ",F58)-1),I58,G58))</f>
        <v/>
      </c>
      <c r="W58" s="87">
        <f>IF(OR(U58="",U58="待结算"),"",IF(U58="红",V58,IF(U58="半红",V58*0.5,IF(U58="走",0,IF(U58="半黑",-0.5,-1)))))</f>
        <v/>
      </c>
      <c r="X58" s="49" t="n">
        <v>0.78</v>
      </c>
      <c r="Y58" s="49" t="n">
        <v>0.25</v>
      </c>
      <c r="Z58" s="49" t="n">
        <v>0.92</v>
      </c>
      <c r="AA58" s="49" t="n"/>
      <c r="AB58" s="49" t="n"/>
      <c r="AC58" s="49" t="n">
        <v>0.78</v>
      </c>
      <c r="AD58" s="49" t="n">
        <v>1.87</v>
      </c>
      <c r="AE58" s="49" t="n">
        <v>3.34</v>
      </c>
      <c r="AF58" s="49" t="n">
        <v>3.72</v>
      </c>
      <c r="AG58" s="49" t="n"/>
      <c r="AH58" s="49" t="n"/>
      <c r="AI58" s="49" t="n"/>
      <c r="AJ58" s="49" t="n"/>
      <c r="AK58" s="49" t="n"/>
      <c r="AL58" s="49" t="n"/>
      <c r="AM58" s="49" t="n"/>
      <c r="AN58" s="49" t="n"/>
      <c r="AO58" s="49" t="n"/>
      <c r="AP58" s="49" t="n"/>
      <c r="AQ58" s="49" t="n">
        <v>0.25</v>
      </c>
      <c r="AR58" s="49" t="n"/>
      <c r="AS58" s="49" t="n"/>
      <c r="AT58" s="49" t="n"/>
      <c r="AU58" s="49" t="n"/>
      <c r="AV58" s="49" t="n"/>
      <c r="AW58" s="49" t="n"/>
      <c r="AX58" s="49" t="n"/>
      <c r="AY58" s="49" t="inlineStr">
        <is>
          <t>Titan007 Next</t>
        </is>
      </c>
      <c r="AZ58" s="0" t="inlineStr">
        <is>
          <t>新增冻结记录；历史字段缺失处留空</t>
        </is>
      </c>
    </row>
    <row r="59" ht="22" customHeight="1" s="78">
      <c r="A59" s="49" t="inlineStr">
        <is>
          <t>2026-10-04</t>
        </is>
      </c>
      <c r="B59" s="49" t="inlineStr">
        <is>
          <t>2026-10-04 18:30:00</t>
        </is>
      </c>
      <c r="C59" s="49" t="inlineStr">
        <is>
          <t>CLUB_LEAGUE</t>
        </is>
      </c>
      <c r="D59" s="49" t="inlineStr">
        <is>
          <t>联赛</t>
        </is>
      </c>
      <c r="E59" s="49" t="inlineStr">
        <is>
          <t>意丙</t>
        </is>
      </c>
      <c r="F59" s="49" t="inlineStr">
        <is>
          <t>特雷维索 vs 吉安纳</t>
        </is>
      </c>
      <c r="G59" s="60" t="n">
        <v>0.79</v>
      </c>
      <c r="H59" s="60" t="n">
        <v>0.5</v>
      </c>
      <c r="I59" s="60" t="n">
        <v>0.91</v>
      </c>
      <c r="J59" s="49" t="inlineStr">
        <is>
          <t>0.79/0.5/0.91</t>
        </is>
      </c>
      <c r="K59" s="49" t="n"/>
      <c r="L59" s="49" t="inlineStr">
        <is>
          <t>特雷维索</t>
        </is>
      </c>
      <c r="M59" s="86" t="n">
        <v>0.584</v>
      </c>
      <c r="N59" s="49" t="inlineStr">
        <is>
          <t>网页可投</t>
        </is>
      </c>
      <c r="O59" s="49" t="inlineStr">
        <is>
          <t>0-0</t>
        </is>
      </c>
      <c r="P59" s="49" t="inlineStr">
        <is>
          <t>已结算</t>
        </is>
      </c>
      <c r="Q59" s="49" t="inlineStr">
        <is>
          <t>黑</t>
        </is>
      </c>
      <c r="R59" s="87" t="n">
        <v>0.79</v>
      </c>
      <c r="S59" s="87" t="n">
        <v>0.395</v>
      </c>
      <c r="T59" s="49" t="inlineStr">
        <is>
          <t>D:\codex\v3_legacy\outputs\football_odds_trader\raw\titan007\20261004\20261004_135431_titan007_odds_snapshot.csv</t>
        </is>
      </c>
      <c r="U59" s="49">
        <f>IF(Q59="","",IF(Q59="待结算","待结算",IF(Q59="红","黑",IF(Q59="半红","半黑",IF(Q59="走","走",IF(Q59="半黑","半红","红"))))))</f>
        <v/>
      </c>
      <c r="V59" s="87">
        <f>IF(OR(U59="",U59="待结算"),"",IF(L59=LEFT(F59,FIND(" vs ",F59)-1),I59,G59))</f>
        <v/>
      </c>
      <c r="W59" s="87">
        <f>IF(OR(U59="",U59="待结算"),"",IF(U59="红",V59,IF(U59="半红",V59*0.5,IF(U59="走",0,IF(U59="半黑",-0.5,-1)))))</f>
        <v/>
      </c>
      <c r="X59" s="49" t="n">
        <v>0.79</v>
      </c>
      <c r="Y59" s="49" t="n">
        <v>0.5</v>
      </c>
      <c r="Z59" s="49" t="n">
        <v>0.91</v>
      </c>
      <c r="AA59" s="49" t="n"/>
      <c r="AB59" s="49" t="n"/>
      <c r="AC59" s="49" t="n">
        <v>0.79</v>
      </c>
      <c r="AD59" s="49" t="n">
        <v>1.71</v>
      </c>
      <c r="AE59" s="49" t="n">
        <v>3.37</v>
      </c>
      <c r="AF59" s="49" t="n">
        <v>4.5</v>
      </c>
      <c r="AG59" s="49" t="n"/>
      <c r="AH59" s="49" t="n"/>
      <c r="AI59" s="49" t="n"/>
      <c r="AJ59" s="49" t="n"/>
      <c r="AK59" s="49" t="n"/>
      <c r="AL59" s="49" t="n"/>
      <c r="AM59" s="49" t="n"/>
      <c r="AN59" s="49" t="n"/>
      <c r="AO59" s="49" t="n"/>
      <c r="AP59" s="49" t="n"/>
      <c r="AQ59" s="49" t="n">
        <v>0.5</v>
      </c>
      <c r="AR59" s="49" t="n"/>
      <c r="AS59" s="49" t="n"/>
      <c r="AT59" s="49" t="n"/>
      <c r="AU59" s="49" t="n"/>
      <c r="AV59" s="49" t="n"/>
      <c r="AW59" s="49" t="n"/>
      <c r="AX59" s="49" t="n"/>
      <c r="AY59" s="49" t="inlineStr">
        <is>
          <t>Titan007 Next</t>
        </is>
      </c>
      <c r="AZ59" s="0" t="inlineStr">
        <is>
          <t>新增冻结记录；历史字段缺失处留空</t>
        </is>
      </c>
    </row>
    <row r="60" ht="22" customHeight="1" s="78">
      <c r="A60" s="49" t="inlineStr">
        <is>
          <t>2026-10-04</t>
        </is>
      </c>
      <c r="B60" s="49" t="inlineStr">
        <is>
          <t>2026-10-04 18:30:00</t>
        </is>
      </c>
      <c r="C60" s="49" t="inlineStr">
        <is>
          <t>CLUB_LEAGUE</t>
        </is>
      </c>
      <c r="D60" s="49" t="inlineStr">
        <is>
          <t>联赛</t>
        </is>
      </c>
      <c r="E60" s="49" t="inlineStr">
        <is>
          <t>意丙</t>
        </is>
      </c>
      <c r="F60" s="49" t="inlineStr">
        <is>
          <t>莱科 vs 布雷西亚</t>
        </is>
      </c>
      <c r="G60" s="60" t="n">
        <v>0.88</v>
      </c>
      <c r="H60" s="60" t="n">
        <v>0.5</v>
      </c>
      <c r="I60" s="60" t="n">
        <v>0.82</v>
      </c>
      <c r="J60" s="49" t="inlineStr">
        <is>
          <t>0.88/0.5/0.82</t>
        </is>
      </c>
      <c r="K60" s="49" t="n"/>
      <c r="L60" s="49" t="inlineStr">
        <is>
          <t>布雷西亚</t>
        </is>
      </c>
      <c r="M60" s="86" t="n">
        <v>0.584</v>
      </c>
      <c r="N60" s="49" t="inlineStr">
        <is>
          <t>网页可投</t>
        </is>
      </c>
      <c r="O60" s="49" t="inlineStr">
        <is>
          <t>2-2</t>
        </is>
      </c>
      <c r="P60" s="49" t="inlineStr">
        <is>
          <t>已结算</t>
        </is>
      </c>
      <c r="Q60" s="49" t="inlineStr">
        <is>
          <t>黑</t>
        </is>
      </c>
      <c r="R60" s="87" t="n">
        <v>0.82</v>
      </c>
      <c r="S60" s="87" t="n">
        <v>0.41</v>
      </c>
      <c r="T60" s="49" t="inlineStr">
        <is>
          <t>D:\codex\v3_legacy\outputs\football_odds_trader\raw\titan007\20261004\20261004_135431_titan007_odds_snapshot.csv</t>
        </is>
      </c>
      <c r="U60" s="49">
        <f>IF(Q60="","",IF(Q60="待结算","待结算",IF(Q60="红","黑",IF(Q60="半红","半黑",IF(Q60="走","走",IF(Q60="半黑","半红","红"))))))</f>
        <v/>
      </c>
      <c r="V60" s="87">
        <f>IF(OR(U60="",U60="待结算"),"",IF(L60=LEFT(F60,FIND(" vs ",F60)-1),I60,G60))</f>
        <v/>
      </c>
      <c r="W60" s="87">
        <f>IF(OR(U60="",U60="待结算"),"",IF(U60="红",V60,IF(U60="半红",V60*0.5,IF(U60="走",0,IF(U60="半黑",-0.5,-1)))))</f>
        <v/>
      </c>
      <c r="X60" s="49" t="n">
        <v>0.88</v>
      </c>
      <c r="Y60" s="49" t="n">
        <v>-0.5</v>
      </c>
      <c r="Z60" s="49" t="n">
        <v>0.82</v>
      </c>
      <c r="AA60" s="49" t="n"/>
      <c r="AB60" s="49" t="n"/>
      <c r="AC60" s="49" t="n">
        <v>0.82</v>
      </c>
      <c r="AD60" s="49" t="n">
        <v>3.91</v>
      </c>
      <c r="AE60" s="49" t="n">
        <v>3.22</v>
      </c>
      <c r="AF60" s="49" t="n">
        <v>1.86</v>
      </c>
      <c r="AG60" s="49" t="n"/>
      <c r="AH60" s="49" t="n"/>
      <c r="AI60" s="49" t="n"/>
      <c r="AJ60" s="49" t="n"/>
      <c r="AK60" s="49" t="n"/>
      <c r="AL60" s="49" t="n"/>
      <c r="AM60" s="49" t="n"/>
      <c r="AN60" s="49" t="n"/>
      <c r="AO60" s="49" t="n"/>
      <c r="AP60" s="49" t="n"/>
      <c r="AQ60" s="49" t="n">
        <v>0.5</v>
      </c>
      <c r="AR60" s="49" t="n"/>
      <c r="AS60" s="49" t="n"/>
      <c r="AT60" s="49" t="n"/>
      <c r="AU60" s="49" t="n"/>
      <c r="AV60" s="49" t="n"/>
      <c r="AW60" s="49" t="n"/>
      <c r="AX60" s="49" t="n"/>
      <c r="AY60" s="49" t="inlineStr">
        <is>
          <t>Titan007 Next</t>
        </is>
      </c>
      <c r="AZ60" s="0" t="inlineStr">
        <is>
          <t>新增冻结记录；历史字段缺失处留空</t>
        </is>
      </c>
    </row>
    <row r="61" ht="22" customHeight="1" s="78">
      <c r="A61" s="49" t="inlineStr">
        <is>
          <t>2026-10-04</t>
        </is>
      </c>
      <c r="B61" s="49" t="inlineStr">
        <is>
          <t>2026-10-04 19:00:00</t>
        </is>
      </c>
      <c r="C61" s="49" t="inlineStr">
        <is>
          <t>CLUB_LEAGUE</t>
        </is>
      </c>
      <c r="D61" s="49" t="inlineStr">
        <is>
          <t>联赛</t>
        </is>
      </c>
      <c r="E61" s="49" t="inlineStr">
        <is>
          <t>挪乙</t>
        </is>
      </c>
      <c r="F61" s="49" t="inlineStr">
        <is>
          <t>拉纳 vs 伊斯沃德</t>
        </is>
      </c>
      <c r="G61" s="60" t="n">
        <v>0.86</v>
      </c>
      <c r="H61" s="60" t="n">
        <v>1.25</v>
      </c>
      <c r="I61" s="60" t="n">
        <v>0.84</v>
      </c>
      <c r="J61" s="49" t="inlineStr">
        <is>
          <t>0.86/1.25/0.84</t>
        </is>
      </c>
      <c r="K61" s="49" t="n"/>
      <c r="L61" s="49" t="inlineStr">
        <is>
          <t>伊斯沃德</t>
        </is>
      </c>
      <c r="M61" s="86" t="n">
        <v>0.5760000000000001</v>
      </c>
      <c r="N61" s="49" t="inlineStr">
        <is>
          <t>网页可投</t>
        </is>
      </c>
      <c r="O61" s="49" t="inlineStr">
        <is>
          <t>2-1</t>
        </is>
      </c>
      <c r="P61" s="49" t="inlineStr">
        <is>
          <t>已结算</t>
        </is>
      </c>
      <c r="Q61" s="49" t="inlineStr">
        <is>
          <t>黑</t>
        </is>
      </c>
      <c r="R61" s="87" t="n">
        <v>0.84</v>
      </c>
      <c r="S61" s="87" t="n">
        <v>0.42</v>
      </c>
      <c r="T61" s="49" t="inlineStr">
        <is>
          <t>D:\codex\v3_legacy\outputs\football_odds_trader\raw\titan007\20261004\20261004_135431_titan007_odds_snapshot.csv</t>
        </is>
      </c>
      <c r="U61" s="49">
        <f>IF(Q61="","",IF(Q61="待结算","待结算",IF(Q61="红","黑",IF(Q61="半红","半黑",IF(Q61="走","走",IF(Q61="半黑","半红","红"))))))</f>
        <v/>
      </c>
      <c r="V61" s="87">
        <f>IF(OR(U61="",U61="待结算"),"",IF(L61=LEFT(F61,FIND(" vs ",F61)-1),I61,G61))</f>
        <v/>
      </c>
      <c r="W61" s="87">
        <f>IF(OR(U61="",U61="待结算"),"",IF(U61="红",V61,IF(U61="半红",V61*0.5,IF(U61="走",0,IF(U61="半黑",-0.5,-1)))))</f>
        <v/>
      </c>
      <c r="X61" s="49" t="n">
        <v>0.86</v>
      </c>
      <c r="Y61" s="49" t="n">
        <v>-1.25</v>
      </c>
      <c r="Z61" s="49" t="n">
        <v>0.84</v>
      </c>
      <c r="AA61" s="49" t="n"/>
      <c r="AB61" s="49" t="n"/>
      <c r="AC61" s="49" t="n">
        <v>0.84</v>
      </c>
      <c r="AD61" s="49" t="n">
        <v>5.75</v>
      </c>
      <c r="AE61" s="49" t="n">
        <v>4.83</v>
      </c>
      <c r="AF61" s="49" t="n">
        <v>1.4</v>
      </c>
      <c r="AG61" s="49" t="n"/>
      <c r="AH61" s="49" t="n"/>
      <c r="AI61" s="49" t="n"/>
      <c r="AJ61" s="49" t="n"/>
      <c r="AK61" s="49" t="n"/>
      <c r="AL61" s="49" t="n"/>
      <c r="AM61" s="49" t="n"/>
      <c r="AN61" s="49" t="n"/>
      <c r="AO61" s="49" t="n"/>
      <c r="AP61" s="49" t="n"/>
      <c r="AQ61" s="49" t="n">
        <v>1.25</v>
      </c>
      <c r="AR61" s="49" t="n"/>
      <c r="AS61" s="49" t="n"/>
      <c r="AT61" s="49" t="n"/>
      <c r="AU61" s="49" t="n"/>
      <c r="AV61" s="49" t="n"/>
      <c r="AW61" s="49" t="n"/>
      <c r="AX61" s="49" t="n"/>
      <c r="AY61" s="49" t="inlineStr">
        <is>
          <t>Titan007 Next</t>
        </is>
      </c>
      <c r="AZ61" s="0" t="inlineStr">
        <is>
          <t>新增冻结记录；历史字段缺失处留空</t>
        </is>
      </c>
    </row>
    <row r="62" ht="22" customHeight="1" s="78">
      <c r="A62" s="49" t="inlineStr">
        <is>
          <t>2026-10-04</t>
        </is>
      </c>
      <c r="B62" s="49" t="inlineStr">
        <is>
          <t>2026-10-04 20:30:00</t>
        </is>
      </c>
      <c r="C62" s="49" t="inlineStr">
        <is>
          <t>CLUB_LEAGUE</t>
        </is>
      </c>
      <c r="D62" s="49" t="inlineStr">
        <is>
          <t>联赛</t>
        </is>
      </c>
      <c r="E62" s="49" t="inlineStr">
        <is>
          <t>荷乙</t>
        </is>
      </c>
      <c r="F62" s="49" t="inlineStr">
        <is>
          <t>芬洛 vs 罗达JC</t>
        </is>
      </c>
      <c r="G62" s="60" t="n">
        <v>0.83</v>
      </c>
      <c r="H62" s="60" t="n">
        <v>0</v>
      </c>
      <c r="I62" s="60" t="n">
        <v>0.99</v>
      </c>
      <c r="J62" s="49" t="inlineStr">
        <is>
          <t>0.83/0.0/0.99</t>
        </is>
      </c>
      <c r="K62" s="49" t="n"/>
      <c r="L62" s="49" t="inlineStr">
        <is>
          <t>芬洛</t>
        </is>
      </c>
      <c r="M62" s="86" t="n">
        <v>0.5760000000000001</v>
      </c>
      <c r="N62" s="49" t="inlineStr">
        <is>
          <t>网页可投</t>
        </is>
      </c>
      <c r="O62" s="49" t="inlineStr">
        <is>
          <t>2-0</t>
        </is>
      </c>
      <c r="P62" s="49" t="inlineStr">
        <is>
          <t>已结算</t>
        </is>
      </c>
      <c r="Q62" s="49" t="inlineStr">
        <is>
          <t>红</t>
        </is>
      </c>
      <c r="R62" s="87" t="n">
        <v>0.83</v>
      </c>
      <c r="S62" s="87" t="n">
        <v>0</v>
      </c>
      <c r="T62" s="49" t="inlineStr">
        <is>
          <t>D:\codex\v3_legacy\outputs\football_odds_trader\raw\titan007\20261004\20261004_135431_titan007_odds_snapshot.csv</t>
        </is>
      </c>
      <c r="U62" s="49">
        <f>IF(Q62="","",IF(Q62="待结算","待结算",IF(Q62="红","黑",IF(Q62="半红","半黑",IF(Q62="走","走",IF(Q62="半黑","半红","红"))))))</f>
        <v/>
      </c>
      <c r="V62" s="87">
        <f>IF(OR(U62="",U62="待结算"),"",IF(L62=LEFT(F62,FIND(" vs ",F62)-1),I62,G62))</f>
        <v/>
      </c>
      <c r="W62" s="87">
        <f>IF(OR(U62="",U62="待结算"),"",IF(U62="红",V62,IF(U62="半红",V62*0.5,IF(U62="走",0,IF(U62="半黑",-0.5,-1)))))</f>
        <v/>
      </c>
      <c r="X62" s="49" t="n">
        <v>0.8</v>
      </c>
      <c r="Y62" s="49" t="n">
        <v>0</v>
      </c>
      <c r="Z62" s="49" t="n">
        <v>1.02</v>
      </c>
      <c r="AA62" s="49" t="n"/>
      <c r="AB62" s="49" t="n"/>
      <c r="AC62" s="49" t="n">
        <v>0.83</v>
      </c>
      <c r="AD62" s="49" t="n">
        <v>2.34</v>
      </c>
      <c r="AE62" s="49" t="n">
        <v>3.64</v>
      </c>
      <c r="AF62" s="49" t="n">
        <v>2.54</v>
      </c>
      <c r="AG62" s="49" t="n"/>
      <c r="AH62" s="49" t="n"/>
      <c r="AI62" s="49" t="n"/>
      <c r="AJ62" s="49" t="n"/>
      <c r="AK62" s="49" t="n"/>
      <c r="AL62" s="49" t="n"/>
      <c r="AM62" s="49" t="n"/>
      <c r="AN62" s="49" t="n"/>
      <c r="AO62" s="49" t="n"/>
      <c r="AP62" s="49" t="n"/>
      <c r="AQ62" s="49" t="n">
        <v>0</v>
      </c>
      <c r="AR62" s="49" t="n"/>
      <c r="AS62" s="49" t="n"/>
      <c r="AT62" s="49" t="n"/>
      <c r="AU62" s="49" t="n"/>
      <c r="AV62" s="49" t="n"/>
      <c r="AW62" s="49" t="n"/>
      <c r="AX62" s="49" t="n"/>
      <c r="AY62" s="49" t="inlineStr">
        <is>
          <t>Titan007 Next</t>
        </is>
      </c>
      <c r="AZ62" s="0" t="inlineStr">
        <is>
          <t>新增冻结记录；历史字段缺失处留空</t>
        </is>
      </c>
    </row>
    <row r="63" ht="22" customHeight="1" s="78">
      <c r="A63" s="49" t="inlineStr">
        <is>
          <t>2026-10-04</t>
        </is>
      </c>
      <c r="B63" s="49" t="inlineStr">
        <is>
          <t>2026-10-04 22:00:00</t>
        </is>
      </c>
      <c r="C63" s="49" t="inlineStr">
        <is>
          <t>CLUB_LEAGUE</t>
        </is>
      </c>
      <c r="D63" s="49" t="inlineStr">
        <is>
          <t>联赛</t>
        </is>
      </c>
      <c r="E63" s="49" t="inlineStr">
        <is>
          <t>捷丙</t>
        </is>
      </c>
      <c r="F63" s="49" t="inlineStr">
        <is>
          <t>本纳特凯 vs 治鲁迪</t>
        </is>
      </c>
      <c r="G63" s="60" t="n">
        <v>0.83</v>
      </c>
      <c r="H63" s="60" t="n">
        <v>1.25</v>
      </c>
      <c r="I63" s="60" t="n">
        <v>0.87</v>
      </c>
      <c r="J63" s="49" t="inlineStr">
        <is>
          <t>0.83/1.25/0.87</t>
        </is>
      </c>
      <c r="K63" s="49" t="n"/>
      <c r="L63" s="49" t="inlineStr">
        <is>
          <t>本纳特凯</t>
        </is>
      </c>
      <c r="M63" s="86" t="n">
        <v>0.5760000000000001</v>
      </c>
      <c r="N63" s="49" t="inlineStr">
        <is>
          <t>网页可投</t>
        </is>
      </c>
      <c r="O63" s="49" t="inlineStr">
        <is>
          <t>3-3</t>
        </is>
      </c>
      <c r="P63" s="49" t="inlineStr">
        <is>
          <t>已结算</t>
        </is>
      </c>
      <c r="Q63" s="49" t="inlineStr">
        <is>
          <t>黑</t>
        </is>
      </c>
      <c r="R63" s="87" t="n">
        <v>0.83</v>
      </c>
      <c r="S63" s="87" t="n">
        <v>0.415</v>
      </c>
      <c r="T63" s="49" t="inlineStr">
        <is>
          <t>D:\codex\v3_legacy\outputs\football_odds_trader\raw\titan007\20261004\20261004_135431_titan007_odds_snapshot.csv</t>
        </is>
      </c>
      <c r="U63" s="49">
        <f>IF(Q63="","",IF(Q63="待结算","待结算",IF(Q63="红","黑",IF(Q63="半红","半黑",IF(Q63="走","走",IF(Q63="半黑","半红","红"))))))</f>
        <v/>
      </c>
      <c r="V63" s="87">
        <f>IF(OR(U63="",U63="待结算"),"",IF(L63=LEFT(F63,FIND(" vs ",F63)-1),I63,G63))</f>
        <v/>
      </c>
      <c r="W63" s="87">
        <f>IF(OR(U63="",U63="待结算"),"",IF(U63="红",V63,IF(U63="半红",V63*0.5,IF(U63="走",0,IF(U63="半黑",-0.5,-1)))))</f>
        <v/>
      </c>
      <c r="X63" s="49" t="n">
        <v>0.83</v>
      </c>
      <c r="Y63" s="49" t="n">
        <v>1.25</v>
      </c>
      <c r="Z63" s="49" t="n">
        <v>0.87</v>
      </c>
      <c r="AA63" s="49" t="n"/>
      <c r="AB63" s="49" t="n"/>
      <c r="AC63" s="49" t="n">
        <v>0.83</v>
      </c>
      <c r="AD63" s="49" t="n">
        <v>1.43</v>
      </c>
      <c r="AE63" s="49" t="n">
        <v>4.51</v>
      </c>
      <c r="AF63" s="49" t="n">
        <v>5.7</v>
      </c>
      <c r="AG63" s="49" t="n"/>
      <c r="AH63" s="49" t="n"/>
      <c r="AI63" s="49" t="n"/>
      <c r="AJ63" s="49" t="n"/>
      <c r="AK63" s="49" t="n"/>
      <c r="AL63" s="49" t="n"/>
      <c r="AM63" s="49" t="n"/>
      <c r="AN63" s="49" t="n"/>
      <c r="AO63" s="49" t="n"/>
      <c r="AP63" s="49" t="n"/>
      <c r="AQ63" s="49" t="n">
        <v>1.25</v>
      </c>
      <c r="AR63" s="49" t="n"/>
      <c r="AS63" s="49" t="n"/>
      <c r="AT63" s="49" t="n"/>
      <c r="AU63" s="49" t="n"/>
      <c r="AV63" s="49" t="n"/>
      <c r="AW63" s="49" t="n"/>
      <c r="AX63" s="49" t="n"/>
      <c r="AY63" s="49" t="inlineStr">
        <is>
          <t>Titan007 Next</t>
        </is>
      </c>
      <c r="AZ63" s="0" t="inlineStr">
        <is>
          <t>新增冻结记录；历史字段缺失处留空</t>
        </is>
      </c>
    </row>
    <row r="64" ht="22" customHeight="1" s="78">
      <c r="A64" s="49" t="inlineStr">
        <is>
          <t>2026-10-04</t>
        </is>
      </c>
      <c r="B64" s="49" t="inlineStr">
        <is>
          <t>2026-10-04 22:30:00</t>
        </is>
      </c>
      <c r="C64" s="49" t="inlineStr">
        <is>
          <t>CLUB_LEAGUE</t>
        </is>
      </c>
      <c r="D64" s="49" t="inlineStr">
        <is>
          <t>联赛</t>
        </is>
      </c>
      <c r="E64" s="49" t="inlineStr">
        <is>
          <t>西协甲</t>
        </is>
      </c>
      <c r="F64" s="49" t="inlineStr">
        <is>
          <t>萨莫拉 vs CD科瑞亚</t>
        </is>
      </c>
      <c r="G64" s="60" t="n">
        <v>0.82</v>
      </c>
      <c r="H64" s="60" t="n">
        <v>0.75</v>
      </c>
      <c r="I64" s="60" t="n">
        <v>0.88</v>
      </c>
      <c r="J64" s="49" t="inlineStr">
        <is>
          <t>0.82/0.75/0.88</t>
        </is>
      </c>
      <c r="K64" s="49" t="n"/>
      <c r="L64" s="49" t="inlineStr">
        <is>
          <t>萨莫拉</t>
        </is>
      </c>
      <c r="M64" s="86" t="n">
        <v>0.584</v>
      </c>
      <c r="N64" s="49" t="inlineStr">
        <is>
          <t>网页可投</t>
        </is>
      </c>
      <c r="O64" s="49" t="inlineStr">
        <is>
          <t>2-0</t>
        </is>
      </c>
      <c r="P64" s="49" t="inlineStr">
        <is>
          <t>已结算</t>
        </is>
      </c>
      <c r="Q64" s="49" t="inlineStr">
        <is>
          <t>红</t>
        </is>
      </c>
      <c r="R64" s="87" t="n">
        <v>0.82</v>
      </c>
      <c r="S64" s="87" t="n">
        <v>0.41</v>
      </c>
      <c r="T64" s="49" t="inlineStr">
        <is>
          <t>D:\codex\v3_legacy\outputs\football_odds_trader\raw\titan007\20261004\20261004_135431_titan007_odds_snapshot.csv</t>
        </is>
      </c>
      <c r="U64" s="49">
        <f>IF(Q64="","",IF(Q64="待结算","待结算",IF(Q64="红","黑",IF(Q64="半红","半黑",IF(Q64="走","走",IF(Q64="半黑","半红","红"))))))</f>
        <v/>
      </c>
      <c r="V64" s="87">
        <f>IF(OR(U64="",U64="待结算"),"",IF(L64=LEFT(F64,FIND(" vs ",F64)-1),I64,G64))</f>
        <v/>
      </c>
      <c r="W64" s="87">
        <f>IF(OR(U64="",U64="待结算"),"",IF(U64="红",V64,IF(U64="半红",V64*0.5,IF(U64="走",0,IF(U64="半黑",-0.5,-1)))))</f>
        <v/>
      </c>
      <c r="X64" s="49" t="n">
        <v>0.82</v>
      </c>
      <c r="Y64" s="49" t="n">
        <v>0.75</v>
      </c>
      <c r="Z64" s="49" t="n">
        <v>0.88</v>
      </c>
      <c r="AA64" s="49" t="n"/>
      <c r="AB64" s="49" t="n"/>
      <c r="AC64" s="49" t="n">
        <v>0.82</v>
      </c>
      <c r="AD64" s="49" t="n">
        <v>1.69</v>
      </c>
      <c r="AE64" s="49" t="n">
        <v>3.57</v>
      </c>
      <c r="AF64" s="49" t="n">
        <v>4.42</v>
      </c>
      <c r="AG64" s="49" t="n"/>
      <c r="AH64" s="49" t="n"/>
      <c r="AI64" s="49" t="n"/>
      <c r="AJ64" s="49" t="n"/>
      <c r="AK64" s="49" t="n"/>
      <c r="AL64" s="49" t="n"/>
      <c r="AM64" s="49" t="n"/>
      <c r="AN64" s="49" t="n"/>
      <c r="AO64" s="49" t="n"/>
      <c r="AP64" s="49" t="n"/>
      <c r="AQ64" s="49" t="n">
        <v>0.75</v>
      </c>
      <c r="AR64" s="49" t="n"/>
      <c r="AS64" s="49" t="n"/>
      <c r="AT64" s="49" t="n"/>
      <c r="AU64" s="49" t="n"/>
      <c r="AV64" s="49" t="n"/>
      <c r="AW64" s="49" t="n"/>
      <c r="AX64" s="49" t="n"/>
      <c r="AY64" s="49" t="inlineStr">
        <is>
          <t>Titan007 Next</t>
        </is>
      </c>
      <c r="AZ64" s="0" t="inlineStr">
        <is>
          <t>新增冻结记录；历史字段缺失处留空</t>
        </is>
      </c>
    </row>
    <row r="65" ht="22" customHeight="1" s="78">
      <c r="A65" s="49" t="inlineStr">
        <is>
          <t>2026-10-04</t>
        </is>
      </c>
      <c r="B65" s="49" t="inlineStr">
        <is>
          <t>2026-10-05 00:30:00</t>
        </is>
      </c>
      <c r="C65" s="49" t="inlineStr">
        <is>
          <t>CLUB_LEAGUE</t>
        </is>
      </c>
      <c r="D65" s="49" t="inlineStr">
        <is>
          <t>联赛</t>
        </is>
      </c>
      <c r="E65" s="49" t="inlineStr">
        <is>
          <t>西乙</t>
        </is>
      </c>
      <c r="F65" s="49" t="inlineStr">
        <is>
          <t>卡斯迪隆 vs 休达</t>
        </is>
      </c>
      <c r="G65" s="60" t="n">
        <v>0.84</v>
      </c>
      <c r="H65" s="60" t="n">
        <v>1.75</v>
      </c>
      <c r="I65" s="60" t="n">
        <v>1.04</v>
      </c>
      <c r="J65" s="49" t="inlineStr">
        <is>
          <t>0.84/1.75/1.04</t>
        </is>
      </c>
      <c r="K65" s="49" t="n"/>
      <c r="L65" s="49" t="inlineStr">
        <is>
          <t>卡斯迪隆</t>
        </is>
      </c>
      <c r="M65" s="86" t="n">
        <v>0.584</v>
      </c>
      <c r="N65" s="49" t="inlineStr">
        <is>
          <t>网页可投</t>
        </is>
      </c>
      <c r="O65" s="49" t="inlineStr">
        <is>
          <t>1-1</t>
        </is>
      </c>
      <c r="P65" s="49" t="inlineStr">
        <is>
          <t>已结算</t>
        </is>
      </c>
      <c r="Q65" s="49" t="inlineStr">
        <is>
          <t>黑</t>
        </is>
      </c>
      <c r="R65" s="87" t="n">
        <v>0.84</v>
      </c>
      <c r="S65" s="87" t="n">
        <v>0.42</v>
      </c>
      <c r="T65" s="49" t="inlineStr">
        <is>
          <t>D:\codex\v3_legacy\outputs\football_odds_trader\raw\titan007\20261004\20261004_135431_titan007_odds_snapshot.csv</t>
        </is>
      </c>
      <c r="U65" s="49">
        <f>IF(Q65="","",IF(Q65="待结算","待结算",IF(Q65="红","黑",IF(Q65="半红","半黑",IF(Q65="走","走",IF(Q65="半黑","半红","红"))))))</f>
        <v/>
      </c>
      <c r="V65" s="87">
        <f>IF(OR(U65="",U65="待结算"),"",IF(L65=LEFT(F65,FIND(" vs ",F65)-1),I65,G65))</f>
        <v/>
      </c>
      <c r="W65" s="87">
        <f>IF(OR(U65="",U65="待结算"),"",IF(U65="红",V65,IF(U65="半红",V65*0.5,IF(U65="走",0,IF(U65="半黑",-0.5,-1)))))</f>
        <v/>
      </c>
      <c r="X65" s="49" t="n">
        <v>0.95</v>
      </c>
      <c r="Y65" s="49" t="n">
        <v>1.75</v>
      </c>
      <c r="Z65" s="49" t="n">
        <v>0.93</v>
      </c>
      <c r="AA65" s="49" t="n"/>
      <c r="AB65" s="49" t="n"/>
      <c r="AC65" s="49" t="n">
        <v>0.84</v>
      </c>
      <c r="AD65" s="49" t="n">
        <v>1.24</v>
      </c>
      <c r="AE65" s="49" t="n">
        <v>5.86</v>
      </c>
      <c r="AF65" s="49" t="n">
        <v>9.539999999999999</v>
      </c>
      <c r="AG65" s="49" t="n"/>
      <c r="AH65" s="49" t="n"/>
      <c r="AI65" s="49" t="n"/>
      <c r="AJ65" s="49" t="n"/>
      <c r="AK65" s="49" t="n"/>
      <c r="AL65" s="49" t="n"/>
      <c r="AM65" s="49" t="n"/>
      <c r="AN65" s="49" t="n"/>
      <c r="AO65" s="49" t="n"/>
      <c r="AP65" s="49" t="n"/>
      <c r="AQ65" s="49" t="n">
        <v>1.75</v>
      </c>
      <c r="AR65" s="49" t="n"/>
      <c r="AS65" s="49" t="n"/>
      <c r="AT65" s="49" t="n"/>
      <c r="AU65" s="49" t="n"/>
      <c r="AV65" s="49" t="n"/>
      <c r="AW65" s="49" t="n"/>
      <c r="AX65" s="49" t="n"/>
      <c r="AY65" s="49" t="inlineStr">
        <is>
          <t>Titan007 Next</t>
        </is>
      </c>
      <c r="AZ65" s="0" t="inlineStr">
        <is>
          <t>新增冻结记录；历史字段缺失处留空</t>
        </is>
      </c>
    </row>
    <row r="66" ht="22" customHeight="1" s="78">
      <c r="A66" s="49" t="inlineStr">
        <is>
          <t>2026-10-04</t>
        </is>
      </c>
      <c r="B66" s="49" t="inlineStr">
        <is>
          <t>2026-10-05 00:45:00</t>
        </is>
      </c>
      <c r="C66" s="49" t="inlineStr">
        <is>
          <t>CLUB_LEAGUE</t>
        </is>
      </c>
      <c r="D66" s="49" t="inlineStr">
        <is>
          <t>联赛</t>
        </is>
      </c>
      <c r="E66" s="49" t="inlineStr">
        <is>
          <t>西协甲</t>
        </is>
      </c>
      <c r="F66" s="49" t="inlineStr">
        <is>
          <t>艾基史拉斯 vs 瑞欧马加达宏达</t>
        </is>
      </c>
      <c r="G66" s="60" t="n">
        <v>0.82</v>
      </c>
      <c r="H66" s="60" t="n">
        <v>0.5</v>
      </c>
      <c r="I66" s="60" t="n">
        <v>0.88</v>
      </c>
      <c r="J66" s="49" t="inlineStr">
        <is>
          <t>0.82/0.5/0.88</t>
        </is>
      </c>
      <c r="K66" s="49" t="n"/>
      <c r="L66" s="49" t="inlineStr">
        <is>
          <t>艾基史拉斯</t>
        </is>
      </c>
      <c r="M66" s="86" t="n">
        <v>0.584</v>
      </c>
      <c r="N66" s="49" t="inlineStr">
        <is>
          <t>网页可投</t>
        </is>
      </c>
      <c r="O66" s="49" t="inlineStr">
        <is>
          <t>1-0</t>
        </is>
      </c>
      <c r="P66" s="49" t="inlineStr">
        <is>
          <t>已结算</t>
        </is>
      </c>
      <c r="Q66" s="49" t="inlineStr">
        <is>
          <t>红</t>
        </is>
      </c>
      <c r="R66" s="87" t="n">
        <v>0.82</v>
      </c>
      <c r="S66" s="87" t="n">
        <v>0.41</v>
      </c>
      <c r="T66" s="49" t="inlineStr">
        <is>
          <t>D:\codex\v3_legacy\outputs\football_odds_trader\raw\titan007\20261004\20261004_135431_titan007_odds_snapshot.csv</t>
        </is>
      </c>
      <c r="U66" s="49">
        <f>IF(Q66="","",IF(Q66="待结算","待结算",IF(Q66="红","黑",IF(Q66="半红","半黑",IF(Q66="走","走",IF(Q66="半黑","半红","红"))))))</f>
        <v/>
      </c>
      <c r="V66" s="87">
        <f>IF(OR(U66="",U66="待结算"),"",IF(L66=LEFT(F66,FIND(" vs ",F66)-1),I66,G66))</f>
        <v/>
      </c>
      <c r="W66" s="87">
        <f>IF(OR(U66="",U66="待结算"),"",IF(U66="红",V66,IF(U66="半红",V66*0.5,IF(U66="走",0,IF(U66="半黑",-0.5,-1)))))</f>
        <v/>
      </c>
      <c r="X66" s="49" t="n">
        <v>0.82</v>
      </c>
      <c r="Y66" s="49" t="n">
        <v>0.5</v>
      </c>
      <c r="Z66" s="49" t="n">
        <v>0.88</v>
      </c>
      <c r="AA66" s="49" t="n"/>
      <c r="AB66" s="49" t="n"/>
      <c r="AC66" s="49" t="n">
        <v>0.82</v>
      </c>
      <c r="AD66" s="49" t="n">
        <v>1.87</v>
      </c>
      <c r="AE66" s="49" t="n">
        <v>3.21</v>
      </c>
      <c r="AF66" s="49" t="n">
        <v>3.88</v>
      </c>
      <c r="AG66" s="49" t="n"/>
      <c r="AH66" s="49" t="n"/>
      <c r="AI66" s="49" t="n"/>
      <c r="AJ66" s="49" t="n"/>
      <c r="AK66" s="49" t="n"/>
      <c r="AL66" s="49" t="n"/>
      <c r="AM66" s="49" t="n"/>
      <c r="AN66" s="49" t="n"/>
      <c r="AO66" s="49" t="n"/>
      <c r="AP66" s="49" t="n"/>
      <c r="AQ66" s="49" t="n">
        <v>0.5</v>
      </c>
      <c r="AR66" s="49" t="n"/>
      <c r="AS66" s="49" t="n"/>
      <c r="AT66" s="49" t="n"/>
      <c r="AU66" s="49" t="n"/>
      <c r="AV66" s="49" t="n"/>
      <c r="AW66" s="49" t="n"/>
      <c r="AX66" s="49" t="n"/>
      <c r="AY66" s="49" t="inlineStr">
        <is>
          <t>Titan007 Next</t>
        </is>
      </c>
      <c r="AZ66" s="0" t="inlineStr">
        <is>
          <t>新增冻结记录；历史字段缺失处留空</t>
        </is>
      </c>
    </row>
    <row r="67" ht="22" customHeight="1" s="78">
      <c r="A67" s="49" t="inlineStr">
        <is>
          <t>2026-10-04</t>
        </is>
      </c>
      <c r="B67" s="49" t="inlineStr">
        <is>
          <t>2026-10-05 03:00:00</t>
        </is>
      </c>
      <c r="C67" s="49" t="inlineStr">
        <is>
          <t>NATIONAL_OFFICIAL</t>
        </is>
      </c>
      <c r="D67" s="49" t="inlineStr">
        <is>
          <t>联赛</t>
        </is>
      </c>
      <c r="E67" s="49" t="inlineStr">
        <is>
          <t>中北美国联</t>
        </is>
      </c>
      <c r="F67" s="49" t="inlineStr">
        <is>
          <t>特克斯和凯科斯群岛 vs 英属维尔京群岛</t>
        </is>
      </c>
      <c r="G67" s="60" t="n">
        <v>0.7</v>
      </c>
      <c r="H67" s="60" t="n">
        <v>0.5</v>
      </c>
      <c r="I67" s="60" t="n">
        <v>1</v>
      </c>
      <c r="J67" s="49" t="inlineStr">
        <is>
          <t>0.7/0.5/1.0</t>
        </is>
      </c>
      <c r="K67" s="49" t="inlineStr">
        <is>
          <t>诱上/阻下</t>
        </is>
      </c>
      <c r="L67" s="49" t="inlineStr">
        <is>
          <t>英属维尔京群岛（下盘）</t>
        </is>
      </c>
      <c r="M67" s="86" t="n">
        <v>0.59048388</v>
      </c>
      <c r="N67" s="49" t="inlineStr">
        <is>
          <t>网页可投</t>
        </is>
      </c>
      <c r="O67" s="49" t="inlineStr">
        <is>
          <t>3-0</t>
        </is>
      </c>
      <c r="P67" s="49" t="inlineStr">
        <is>
          <t>已结算</t>
        </is>
      </c>
      <c r="Q67" s="49" t="inlineStr">
        <is>
          <t>黑</t>
        </is>
      </c>
      <c r="R67" s="87" t="n">
        <v>1</v>
      </c>
      <c r="S67" s="87" t="n">
        <v>0.5</v>
      </c>
      <c r="T67" s="49" t="inlineStr">
        <is>
          <t>D:\codex\v3_legacy\outputs\football_odds_trader\raw\titan007\20261004\20261004_135431_titan007_odds_snapshot.csv</t>
        </is>
      </c>
      <c r="U67" s="49">
        <f>IF(Q67="","",IF(Q67="待结算","待结算",IF(Q67="红","黑",IF(Q67="半红","半黑",IF(Q67="走","走",IF(Q67="半黑","半红","红"))))))</f>
        <v/>
      </c>
      <c r="V67" s="87">
        <f>IF(OR(U67="",U67="待结算"),"",IF(L67=LEFT(F67,FIND(" vs ",F67)-1),I67,G67))</f>
        <v/>
      </c>
      <c r="W67" s="87">
        <f>IF(OR(U67="",U67="待结算"),"",IF(U67="红",V67,IF(U67="半红",V67*0.5,IF(U67="走",0,IF(U67="半黑",-0.5,-1)))))</f>
        <v/>
      </c>
      <c r="X67" s="49" t="n">
        <v>0.8100000000000001</v>
      </c>
      <c r="Y67" s="49" t="n">
        <v>0.5</v>
      </c>
      <c r="Z67" s="49" t="n">
        <v>0.89</v>
      </c>
      <c r="AA67" s="49" t="n"/>
      <c r="AB67" s="49" t="n"/>
      <c r="AC67" s="49" t="n">
        <v>1</v>
      </c>
      <c r="AD67" s="49" t="n">
        <v>1.95</v>
      </c>
      <c r="AE67" s="49" t="n">
        <v>3.68</v>
      </c>
      <c r="AF67" s="49" t="n">
        <v>3.18</v>
      </c>
      <c r="AG67" s="49" t="n"/>
      <c r="AH67" s="49" t="n"/>
      <c r="AI67" s="49" t="n"/>
      <c r="AJ67" s="49" t="n"/>
      <c r="AK67" s="49" t="n"/>
      <c r="AL67" s="49" t="n"/>
      <c r="AM67" s="49" t="n"/>
      <c r="AN67" s="49" t="n"/>
      <c r="AO67" s="49" t="n"/>
      <c r="AP67" s="49" t="n"/>
      <c r="AQ67" s="49" t="n">
        <v>0.5</v>
      </c>
      <c r="AR67" s="49" t="n"/>
      <c r="AS67" s="49" t="n"/>
      <c r="AT67" s="49" t="n"/>
      <c r="AU67" s="49" t="n"/>
      <c r="AV67" s="49" t="n"/>
      <c r="AW67" s="49" t="n"/>
      <c r="AX67" s="49" t="n"/>
      <c r="AY67" s="49" t="inlineStr">
        <is>
          <t>Titan007 Next</t>
        </is>
      </c>
      <c r="AZ67" s="0" t="inlineStr">
        <is>
          <t>新增冻结记录；历史字段缺失处留空</t>
        </is>
      </c>
    </row>
    <row r="68" ht="22" customHeight="1" s="78">
      <c r="A68" s="49" t="inlineStr">
        <is>
          <t>2026-10-04</t>
        </is>
      </c>
      <c r="B68" s="49" t="inlineStr">
        <is>
          <t>2026-10-05 08:00:00</t>
        </is>
      </c>
      <c r="C68" s="49" t="inlineStr">
        <is>
          <t>NATIONAL_OFFICIAL</t>
        </is>
      </c>
      <c r="D68" s="49" t="inlineStr">
        <is>
          <t>联赛</t>
        </is>
      </c>
      <c r="E68" s="49" t="inlineStr">
        <is>
          <t>中北美国联</t>
        </is>
      </c>
      <c r="F68" s="49" t="inlineStr">
        <is>
          <t>哥斯达黎加 vs 海地</t>
        </is>
      </c>
      <c r="G68" s="60" t="n">
        <v>0.82</v>
      </c>
      <c r="H68" s="60" t="n">
        <v>0.25</v>
      </c>
      <c r="I68" s="60" t="n">
        <v>0.9399999999999999</v>
      </c>
      <c r="J68" s="49" t="inlineStr">
        <is>
          <t>0.82/0.25/0.94</t>
        </is>
      </c>
      <c r="K68" s="49" t="inlineStr">
        <is>
          <t>诱上/阻下</t>
        </is>
      </c>
      <c r="L68" s="49" t="inlineStr">
        <is>
          <t>海地（下盘）</t>
        </is>
      </c>
      <c r="M68" s="86" t="n">
        <v>0.59048388</v>
      </c>
      <c r="N68" s="49" t="inlineStr">
        <is>
          <t>网页可投</t>
        </is>
      </c>
      <c r="O68" s="49" t="inlineStr">
        <is>
          <t>0-0</t>
        </is>
      </c>
      <c r="P68" s="49" t="inlineStr">
        <is>
          <t>已结算</t>
        </is>
      </c>
      <c r="Q68" s="49" t="inlineStr">
        <is>
          <t>走</t>
        </is>
      </c>
      <c r="R68" s="87" t="n">
        <v>0.9399999999999999</v>
      </c>
      <c r="S68" s="87" t="n">
        <v>0</v>
      </c>
      <c r="T68" s="49" t="inlineStr">
        <is>
          <t>D:\codex\v3_legacy\outputs\football_odds_trader\raw\titan007\20261004\20261004_135431_titan007_odds_snapshot.csv</t>
        </is>
      </c>
      <c r="U68" s="49">
        <f>IF(Q68="","",IF(Q68="待结算","待结算",IF(Q68="红","黑",IF(Q68="半红","半黑",IF(Q68="走","走",IF(Q68="半黑","半红","红"))))))</f>
        <v/>
      </c>
      <c r="V68" s="87">
        <f>IF(OR(U68="",U68="待结算"),"",IF(L68=LEFT(F68,FIND(" vs ",F68)-1),I68,G68))</f>
        <v/>
      </c>
      <c r="W68" s="87">
        <f>IF(OR(U68="",U68="待结算"),"",IF(U68="红",V68,IF(U68="半红",V68*0.5,IF(U68="走",0,IF(U68="半黑",-0.5,-1)))))</f>
        <v/>
      </c>
      <c r="X68" s="49" t="n">
        <v>0.78</v>
      </c>
      <c r="Y68" s="49" t="n">
        <v>0.25</v>
      </c>
      <c r="Z68" s="49" t="n">
        <v>0.98</v>
      </c>
      <c r="AA68" s="49" t="n"/>
      <c r="AB68" s="49" t="n"/>
      <c r="AC68" s="49" t="n">
        <v>0.9399999999999999</v>
      </c>
      <c r="AD68" s="49" t="n">
        <v>2.05</v>
      </c>
      <c r="AE68" s="49" t="n">
        <v>3.24</v>
      </c>
      <c r="AF68" s="49" t="n">
        <v>3.36</v>
      </c>
      <c r="AG68" s="49" t="n"/>
      <c r="AH68" s="49" t="n"/>
      <c r="AI68" s="49" t="n"/>
      <c r="AJ68" s="49" t="n"/>
      <c r="AK68" s="49" t="n"/>
      <c r="AL68" s="49" t="n"/>
      <c r="AM68" s="49" t="n"/>
      <c r="AN68" s="49" t="n"/>
      <c r="AO68" s="49" t="n"/>
      <c r="AP68" s="49" t="n"/>
      <c r="AQ68" s="49" t="n">
        <v>0.25</v>
      </c>
      <c r="AR68" s="49" t="n"/>
      <c r="AS68" s="49" t="n"/>
      <c r="AT68" s="49" t="n"/>
      <c r="AU68" s="49" t="n"/>
      <c r="AV68" s="49" t="n"/>
      <c r="AW68" s="49" t="n"/>
      <c r="AX68" s="49" t="n"/>
      <c r="AY68" s="49" t="inlineStr">
        <is>
          <t>Titan007 Next</t>
        </is>
      </c>
      <c r="AZ68" s="0" t="inlineStr">
        <is>
          <t>新增冻结记录；历史字段缺失处留空</t>
        </is>
      </c>
    </row>
    <row r="69" ht="22" customHeight="1" s="78">
      <c r="A69" s="49" t="inlineStr">
        <is>
          <t>2026-10-05</t>
        </is>
      </c>
      <c r="B69" s="49" t="inlineStr">
        <is>
          <t>2026-10-06 03:00:00</t>
        </is>
      </c>
      <c r="C69" s="49" t="inlineStr">
        <is>
          <t>NATIONAL_OFFICIAL</t>
        </is>
      </c>
      <c r="D69" s="49" t="n"/>
      <c r="E69" s="49" t="inlineStr">
        <is>
          <t>中北美国联</t>
        </is>
      </c>
      <c r="F69" s="49" t="inlineStr">
        <is>
          <t>瓜德罗普 vs 圣卢西亚</t>
        </is>
      </c>
      <c r="G69" s="60" t="n">
        <v>0.89</v>
      </c>
      <c r="H69" s="60" t="n">
        <v>-0.5</v>
      </c>
      <c r="I69" s="60" t="n">
        <v>0.8100000000000001</v>
      </c>
      <c r="J69" s="49" t="inlineStr">
        <is>
          <t>0.89/-0.5/0.81</t>
        </is>
      </c>
      <c r="K69" s="49" t="inlineStr">
        <is>
          <t>正向</t>
        </is>
      </c>
      <c r="L69" s="49" t="inlineStr">
        <is>
          <t>瓜德罗普（下盘）</t>
        </is>
      </c>
      <c r="M69" s="86" t="n">
        <v>0.59048388</v>
      </c>
      <c r="N69" s="49" t="inlineStr">
        <is>
          <t>可投；通过：综合胜率58.4% &gt;= 阈值54.9%；风控状态A-正常态；杯赛分层收缩后59.0%仍通过</t>
        </is>
      </c>
      <c r="O69" s="49" t="inlineStr">
        <is>
          <t>0-1</t>
        </is>
      </c>
      <c r="P69" s="49" t="inlineStr">
        <is>
          <t>已结算</t>
        </is>
      </c>
      <c r="Q69" s="49" t="inlineStr">
        <is>
          <t>黑</t>
        </is>
      </c>
      <c r="R69" s="87" t="n">
        <v>0.89</v>
      </c>
      <c r="S69" s="87" t="n">
        <v>-1</v>
      </c>
      <c r="T69" s="49" t="inlineStr">
        <is>
          <t>D:\codex\outputs\football_odds_trader\decision_versions\2026-10-05\RUN_20261005_094642\slate_raw.csv</t>
        </is>
      </c>
      <c r="U69" s="49" t="n"/>
      <c r="V69" s="87" t="n"/>
      <c r="W69" s="87" t="n"/>
      <c r="X69" s="49" t="n">
        <v>-0.5</v>
      </c>
      <c r="Y69" s="49" t="n">
        <v>0.89</v>
      </c>
      <c r="Z69" s="49" t="n">
        <v>3.4662</v>
      </c>
      <c r="AA69" s="49" t="n">
        <v>3.8763</v>
      </c>
      <c r="AB69" s="49" t="n">
        <v>1.8324</v>
      </c>
      <c r="AC69" s="49" t="n"/>
      <c r="AD69" s="49" t="n"/>
      <c r="AE69" s="49" t="n"/>
      <c r="AF69" s="49" t="n"/>
      <c r="AG69" s="49" t="n"/>
      <c r="AH69" s="49" t="n"/>
      <c r="AI69" s="49" t="n"/>
      <c r="AJ69" s="49" t="n"/>
      <c r="AK69" s="49" t="n"/>
      <c r="AL69" s="49" t="n"/>
      <c r="AM69" s="49" t="n"/>
      <c r="AN69" s="49" t="n"/>
      <c r="AO69" s="49" t="n"/>
      <c r="AP69" s="49" t="n"/>
      <c r="AQ69" s="49" t="n"/>
      <c r="AR69" s="49" t="n"/>
      <c r="AS69" s="49" t="n"/>
      <c r="AT69" s="49" t="n"/>
      <c r="AU69" s="49" t="n"/>
      <c r="AV69" s="49" t="inlineStr">
        <is>
          <t>Titan007/V3</t>
        </is>
      </c>
      <c r="AW69" s="49" t="inlineStr">
        <is>
          <t>可投</t>
        </is>
      </c>
      <c r="AX69" s="49" t="n"/>
      <c r="AY69" s="49" t="n"/>
      <c r="AZ69" s="0" t="n"/>
    </row>
    <row r="70" ht="22" customHeight="1" s="78">
      <c r="A70" s="49" t="inlineStr">
        <is>
          <t>2026-10-05</t>
        </is>
      </c>
      <c r="B70" s="49" t="inlineStr">
        <is>
          <t>2026-10-06 08:00:00</t>
        </is>
      </c>
      <c r="C70" s="49" t="inlineStr">
        <is>
          <t>NATIONAL_OFFICIAL</t>
        </is>
      </c>
      <c r="D70" s="49" t="n"/>
      <c r="E70" s="49" t="inlineStr">
        <is>
          <t>中北美国联</t>
        </is>
      </c>
      <c r="F70" s="49" t="inlineStr">
        <is>
          <t>百慕大群岛 vs 巴巴多斯</t>
        </is>
      </c>
      <c r="G70" s="60" t="n">
        <v>0.87</v>
      </c>
      <c r="H70" s="60" t="n">
        <v>-0.5</v>
      </c>
      <c r="I70" s="60" t="n">
        <v>0.83</v>
      </c>
      <c r="J70" s="49" t="inlineStr">
        <is>
          <t>0.87/-0.5/0.83</t>
        </is>
      </c>
      <c r="K70" s="49" t="inlineStr">
        <is>
          <t>正向</t>
        </is>
      </c>
      <c r="L70" s="49" t="inlineStr">
        <is>
          <t>百慕大群岛（下盘）</t>
        </is>
      </c>
      <c r="M70" s="86" t="n">
        <v>0.59048388</v>
      </c>
      <c r="N70" s="49" t="inlineStr">
        <is>
          <t>可投；通过：综合胜率58.4% &gt;= 阈值55.5%；风控状态A-正常态；杯赛分层收缩后59.0%仍通过</t>
        </is>
      </c>
      <c r="O70" s="49" t="inlineStr">
        <is>
          <t>0-0</t>
        </is>
      </c>
      <c r="P70" s="49" t="inlineStr">
        <is>
          <t>未开赛</t>
        </is>
      </c>
      <c r="Q70" s="49" t="n"/>
      <c r="R70" s="87" t="n">
        <v>0.87</v>
      </c>
      <c r="S70" s="87" t="n"/>
      <c r="T70" s="49" t="inlineStr">
        <is>
          <t>D:\codex\outputs\football_odds_trader\decision_versions\2026-10-05\RUN_20261005_094642\slate_raw.csv</t>
        </is>
      </c>
      <c r="U70" s="49" t="n"/>
      <c r="V70" s="87" t="n"/>
      <c r="W70" s="87" t="n"/>
      <c r="X70" s="49" t="n">
        <v>-0.5</v>
      </c>
      <c r="Y70" s="49" t="n">
        <v>0.87</v>
      </c>
      <c r="Z70" s="49" t="n">
        <v>3.3284</v>
      </c>
      <c r="AA70" s="49" t="n">
        <v>4.1166</v>
      </c>
      <c r="AB70" s="49" t="n">
        <v>1.8171</v>
      </c>
      <c r="AC70" s="49" t="n"/>
      <c r="AD70" s="49" t="n"/>
      <c r="AE70" s="49" t="n"/>
      <c r="AF70" s="49" t="n"/>
      <c r="AG70" s="49" t="n"/>
      <c r="AH70" s="49" t="n"/>
      <c r="AI70" s="49" t="n"/>
      <c r="AJ70" s="49" t="n"/>
      <c r="AK70" s="49" t="n"/>
      <c r="AL70" s="49" t="n"/>
      <c r="AM70" s="49" t="n"/>
      <c r="AN70" s="49" t="n"/>
      <c r="AO70" s="49" t="n"/>
      <c r="AP70" s="49" t="n"/>
      <c r="AQ70" s="49" t="n"/>
      <c r="AR70" s="49" t="n"/>
      <c r="AS70" s="49" t="n"/>
      <c r="AT70" s="49" t="n"/>
      <c r="AU70" s="49" t="n"/>
      <c r="AV70" s="49" t="inlineStr">
        <is>
          <t>Titan007/V3</t>
        </is>
      </c>
      <c r="AW70" s="49" t="inlineStr">
        <is>
          <t>可投</t>
        </is>
      </c>
      <c r="AX70" s="49" t="n"/>
      <c r="AY70" s="49" t="n"/>
      <c r="AZ70" s="0" t="n"/>
    </row>
    <row r="71" ht="22" customHeight="1" s="78">
      <c r="A71" s="49" t="inlineStr">
        <is>
          <t>2026-10-05</t>
        </is>
      </c>
      <c r="B71" s="49" t="inlineStr">
        <is>
          <t>2026-10-06 09:30:00</t>
        </is>
      </c>
      <c r="C71" s="49" t="inlineStr">
        <is>
          <t>CLUB_CUP</t>
        </is>
      </c>
      <c r="D71" s="49" t="n"/>
      <c r="E71" s="49" t="inlineStr">
        <is>
          <t>斐济杯</t>
        </is>
      </c>
      <c r="F71" s="49" t="inlineStr">
        <is>
          <t>纳维 vs 纳迪</t>
        </is>
      </c>
      <c r="G71" s="60" t="n">
        <v>0.78</v>
      </c>
      <c r="H71" s="60" t="n">
        <v>0</v>
      </c>
      <c r="I71" s="60" t="n">
        <v>1.03</v>
      </c>
      <c r="J71" s="49" t="inlineStr">
        <is>
          <t>0.78/0.0/1.03</t>
        </is>
      </c>
      <c r="K71" s="49" t="inlineStr">
        <is>
          <t>反向</t>
        </is>
      </c>
      <c r="L71" s="49" t="inlineStr">
        <is>
          <t>纳维（反向=上盘）</t>
        </is>
      </c>
      <c r="M71" s="86" t="n">
        <v>0.5909053900000001</v>
      </c>
      <c r="N71" s="49" t="inlineStr">
        <is>
          <t>可投；通过：综合胜率59.2% &gt;= 阈值58.2%；风控状态A-正常态；杯赛分层收缩后59.1%仍通过</t>
        </is>
      </c>
      <c r="O71" s="49" t="inlineStr">
        <is>
          <t>0-0</t>
        </is>
      </c>
      <c r="P71" s="49" t="inlineStr">
        <is>
          <t>未开赛</t>
        </is>
      </c>
      <c r="Q71" s="49" t="n"/>
      <c r="R71" s="87" t="n">
        <v>0.78</v>
      </c>
      <c r="S71" s="87" t="n"/>
      <c r="T71" s="49" t="inlineStr">
        <is>
          <t>D:\codex\outputs\football_odds_trader\decision_versions\2026-10-05\RUN_20261005_094642\slate_raw.csv</t>
        </is>
      </c>
      <c r="U71" s="49" t="n"/>
      <c r="V71" s="87" t="n"/>
      <c r="W71" s="87" t="n"/>
      <c r="X71" s="49" t="n">
        <v>0</v>
      </c>
      <c r="Y71" s="49" t="n">
        <v>0.78</v>
      </c>
      <c r="Z71" s="49" t="n">
        <v>2.336</v>
      </c>
      <c r="AA71" s="49" t="n">
        <v>3.23</v>
      </c>
      <c r="AB71" s="49" t="n">
        <v>2.584</v>
      </c>
      <c r="AC71" s="49" t="n"/>
      <c r="AD71" s="49" t="n"/>
      <c r="AE71" s="49" t="n"/>
      <c r="AF71" s="49" t="n"/>
      <c r="AG71" s="49" t="n"/>
      <c r="AH71" s="49" t="n"/>
      <c r="AI71" s="49" t="n"/>
      <c r="AJ71" s="49" t="n"/>
      <c r="AK71" s="49" t="n"/>
      <c r="AL71" s="49" t="n"/>
      <c r="AM71" s="49" t="n"/>
      <c r="AN71" s="49" t="n"/>
      <c r="AO71" s="49" t="n"/>
      <c r="AP71" s="49" t="n"/>
      <c r="AQ71" s="49" t="n"/>
      <c r="AR71" s="49" t="n"/>
      <c r="AS71" s="49" t="n"/>
      <c r="AT71" s="49" t="n"/>
      <c r="AU71" s="49" t="n"/>
      <c r="AV71" s="49" t="inlineStr">
        <is>
          <t>Titan007/V3</t>
        </is>
      </c>
      <c r="AW71" s="49" t="inlineStr">
        <is>
          <t>可投</t>
        </is>
      </c>
      <c r="AX71" s="49" t="n"/>
      <c r="AY71" s="49" t="n"/>
      <c r="AZ71" s="0" t="n"/>
    </row>
    <row r="72" ht="22" customHeight="1" s="78">
      <c r="A72" s="49" t="inlineStr">
        <is>
          <t>2026-10-06</t>
        </is>
      </c>
      <c r="B72" s="49" t="inlineStr">
        <is>
          <t>2026-10-06 19:00:00</t>
        </is>
      </c>
      <c r="C72" s="49" t="inlineStr">
        <is>
          <t>CLUB_LEAGUE</t>
        </is>
      </c>
      <c r="D72" s="49" t="n"/>
      <c r="E72" s="49" t="inlineStr">
        <is>
          <t>中甲</t>
        </is>
      </c>
      <c r="F72" s="49" t="inlineStr">
        <is>
          <t>长春亚泰 vs 延边龙鼎</t>
        </is>
      </c>
      <c r="G72" s="60" t="n">
        <v>0.8</v>
      </c>
      <c r="H72" s="60" t="n">
        <v>0.25</v>
      </c>
      <c r="I72" s="60" t="n">
        <v>0.9</v>
      </c>
      <c r="J72" s="49" t="inlineStr">
        <is>
          <t>0.8/0.25/0.9</t>
        </is>
      </c>
      <c r="K72" s="49" t="inlineStr">
        <is>
          <t>反向</t>
        </is>
      </c>
      <c r="L72" s="49" t="inlineStr">
        <is>
          <t>长春亚泰（反向=上盘）</t>
        </is>
      </c>
      <c r="M72" s="86" t="n">
        <v>0.5920000000000001</v>
      </c>
      <c r="N72" s="49" t="inlineStr">
        <is>
          <t>可投；通过：综合胜率59.2% &gt;= 阈值57.6%；风控状态A-正常态</t>
        </is>
      </c>
      <c r="O72" s="49" t="inlineStr">
        <is>
          <t>1-1</t>
        </is>
      </c>
      <c r="P72" s="49" t="inlineStr">
        <is>
          <t>已结算</t>
        </is>
      </c>
      <c r="Q72" s="49" t="inlineStr">
        <is>
          <t>半黑</t>
        </is>
      </c>
      <c r="R72" s="87" t="n">
        <v>0.8</v>
      </c>
      <c r="S72" s="87" t="n">
        <v>-0.5</v>
      </c>
      <c r="T72" s="49" t="inlineStr">
        <is>
          <t>D:\codex\outputs\football_odds_trader\decision_versions\2026-10-06\RUN_20261006_084027\slate_raw.csv</t>
        </is>
      </c>
      <c r="U72" s="49" t="n"/>
      <c r="V72" s="87" t="n"/>
      <c r="W72" s="87" t="n"/>
      <c r="X72" s="49" t="n">
        <v>0.25</v>
      </c>
      <c r="Y72" s="49" t="n">
        <v>0.8</v>
      </c>
      <c r="Z72" s="49" t="n">
        <v>2.0222</v>
      </c>
      <c r="AA72" s="49" t="n">
        <v>3.2253</v>
      </c>
      <c r="AB72" s="49" t="n">
        <v>3.3493</v>
      </c>
      <c r="AC72" s="49" t="n"/>
      <c r="AD72" s="49" t="n"/>
      <c r="AE72" s="49" t="n"/>
      <c r="AF72" s="49" t="n"/>
      <c r="AG72" s="49" t="n"/>
      <c r="AH72" s="49" t="n"/>
      <c r="AI72" s="49" t="n"/>
      <c r="AJ72" s="49" t="n"/>
      <c r="AK72" s="49" t="n"/>
      <c r="AL72" s="49" t="n"/>
      <c r="AM72" s="49" t="n"/>
      <c r="AN72" s="49" t="n"/>
      <c r="AO72" s="49" t="n"/>
      <c r="AP72" s="49" t="n"/>
      <c r="AQ72" s="49" t="n"/>
      <c r="AR72" s="49" t="n"/>
      <c r="AS72" s="49" t="n"/>
      <c r="AT72" s="49" t="n"/>
      <c r="AU72" s="49" t="n"/>
      <c r="AV72" s="49" t="inlineStr">
        <is>
          <t>Titan007/V3</t>
        </is>
      </c>
      <c r="AW72" s="49" t="inlineStr">
        <is>
          <t>可投</t>
        </is>
      </c>
      <c r="AX72" s="49" t="n"/>
      <c r="AY72" s="49" t="n"/>
      <c r="AZ72" s="0" t="n"/>
    </row>
    <row r="73" ht="22" customHeight="1" s="78">
      <c r="A73" s="49" t="inlineStr">
        <is>
          <t>2026-10-06</t>
        </is>
      </c>
      <c r="B73" s="49" t="inlineStr">
        <is>
          <t>2026-10-06 23:00:00</t>
        </is>
      </c>
      <c r="C73" s="49" t="inlineStr">
        <is>
          <t>CLUB_CUP</t>
        </is>
      </c>
      <c r="D73" s="49" t="n"/>
      <c r="E73" s="49" t="inlineStr">
        <is>
          <t>瑞典杯</t>
        </is>
      </c>
      <c r="F73" s="49" t="inlineStr">
        <is>
          <t>特罗尔海坦 vs 米亚尔比</t>
        </is>
      </c>
      <c r="G73" s="60" t="n">
        <v>1</v>
      </c>
      <c r="H73" s="60" t="n">
        <v>-1.25</v>
      </c>
      <c r="I73" s="60" t="n">
        <v>0.8</v>
      </c>
      <c r="J73" s="49" t="inlineStr">
        <is>
          <t>1.0/-1.25/0.8</t>
        </is>
      </c>
      <c r="K73" s="49" t="inlineStr">
        <is>
          <t>反向</t>
        </is>
      </c>
      <c r="L73" s="49" t="inlineStr">
        <is>
          <t>米亚尔比（反向=上盘）</t>
        </is>
      </c>
      <c r="M73" s="86" t="n">
        <v>0.5787484800000001</v>
      </c>
      <c r="N73" s="49" t="inlineStr">
        <is>
          <t>可投；通过：综合胜率57.6% &gt;= 阈值57.6%；风控状态A-正常态；杯赛分层收缩后57.9%仍通过</t>
        </is>
      </c>
      <c r="O73" s="49" t="inlineStr">
        <is>
          <t>1-0</t>
        </is>
      </c>
      <c r="P73" s="49" t="inlineStr">
        <is>
          <t>已结算</t>
        </is>
      </c>
      <c r="Q73" s="49" t="inlineStr">
        <is>
          <t>黑</t>
        </is>
      </c>
      <c r="R73" s="87" t="n">
        <v>0.8</v>
      </c>
      <c r="S73" s="87" t="n">
        <v>-1</v>
      </c>
      <c r="T73" s="49" t="inlineStr">
        <is>
          <t>D:\codex\outputs\football_odds_trader\decision_versions\2026-10-06\RUN_20261006_084027\slate_raw.csv</t>
        </is>
      </c>
      <c r="U73" s="49" t="n"/>
      <c r="V73" s="87" t="n"/>
      <c r="W73" s="87" t="n"/>
      <c r="X73" s="49" t="n">
        <v>-1.25</v>
      </c>
      <c r="Y73" s="49" t="n">
        <v>0.8</v>
      </c>
      <c r="Z73" s="49" t="n">
        <v>6.3487</v>
      </c>
      <c r="AA73" s="49" t="n">
        <v>4.6023</v>
      </c>
      <c r="AB73" s="49" t="n">
        <v>1.3625</v>
      </c>
      <c r="AC73" s="49" t="n"/>
      <c r="AD73" s="49" t="n"/>
      <c r="AE73" s="49" t="n"/>
      <c r="AF73" s="49" t="n"/>
      <c r="AG73" s="49" t="n"/>
      <c r="AH73" s="49" t="n"/>
      <c r="AI73" s="49" t="n"/>
      <c r="AJ73" s="49" t="n"/>
      <c r="AK73" s="49" t="n"/>
      <c r="AL73" s="49" t="n"/>
      <c r="AM73" s="49" t="n"/>
      <c r="AN73" s="49" t="n"/>
      <c r="AO73" s="49" t="n"/>
      <c r="AP73" s="49" t="n"/>
      <c r="AQ73" s="49" t="n"/>
      <c r="AR73" s="49" t="n"/>
      <c r="AS73" s="49" t="n"/>
      <c r="AT73" s="49" t="n"/>
      <c r="AU73" s="49" t="n"/>
      <c r="AV73" s="49" t="inlineStr">
        <is>
          <t>Titan007/V3</t>
        </is>
      </c>
      <c r="AW73" s="49" t="inlineStr">
        <is>
          <t>可投</t>
        </is>
      </c>
      <c r="AX73" s="49" t="n"/>
      <c r="AY73" s="49" t="n"/>
      <c r="AZ73" s="0" t="n"/>
    </row>
    <row r="74" ht="22" customHeight="1" s="78">
      <c r="A74" s="49" t="inlineStr">
        <is>
          <t>2026-10-06</t>
        </is>
      </c>
      <c r="B74" s="49" t="inlineStr">
        <is>
          <t>2026-10-06 16:30:00</t>
        </is>
      </c>
      <c r="C74" s="49" t="inlineStr">
        <is>
          <t>CLUB_CUP</t>
        </is>
      </c>
      <c r="D74" s="49" t="n"/>
      <c r="E74" s="49" t="inlineStr">
        <is>
          <t>越南杯</t>
        </is>
      </c>
      <c r="F74" s="49" t="inlineStr">
        <is>
          <t>林同 vs 宋兰义安</t>
        </is>
      </c>
      <c r="G74" s="60" t="n">
        <v>0.89</v>
      </c>
      <c r="H74" s="60" t="n">
        <v>-0.75</v>
      </c>
      <c r="I74" s="60" t="n">
        <v>0.8100000000000001</v>
      </c>
      <c r="J74" s="49" t="inlineStr">
        <is>
          <t>0.89/-0.75/0.81</t>
        </is>
      </c>
      <c r="K74" s="49" t="inlineStr">
        <is>
          <t>反向</t>
        </is>
      </c>
      <c r="L74" s="49" t="inlineStr">
        <is>
          <t>宋兰义安（反向=上盘）</t>
        </is>
      </c>
      <c r="M74" s="86" t="n">
        <v>0.5909053900000001</v>
      </c>
      <c r="N74" s="49" t="inlineStr">
        <is>
          <t>可投；通过：综合胜率59.2% &gt;= 阈值57.2%；风控状态A-正常态；杯赛分层收缩后59.1%仍通过</t>
        </is>
      </c>
      <c r="O74" s="49" t="inlineStr">
        <is>
          <t>0-2</t>
        </is>
      </c>
      <c r="P74" s="49" t="inlineStr">
        <is>
          <t>已结算</t>
        </is>
      </c>
      <c r="Q74" s="49" t="inlineStr">
        <is>
          <t>红</t>
        </is>
      </c>
      <c r="R74" s="87" t="n">
        <v>0.8100000000000001</v>
      </c>
      <c r="S74" s="87" t="n">
        <v>0.8100000000000001</v>
      </c>
      <c r="T74" s="49" t="inlineStr">
        <is>
          <t>D:\codex\outputs\football_odds_trader\decision_versions\2026-10-06\RUN_20261006_084027\slate_raw.csv</t>
        </is>
      </c>
      <c r="U74" s="49" t="n"/>
      <c r="V74" s="87" t="n"/>
      <c r="W74" s="87" t="n"/>
      <c r="X74" s="49" t="n">
        <v>-0.75</v>
      </c>
      <c r="Y74" s="49" t="n">
        <v>0.8100000000000001</v>
      </c>
      <c r="Z74" s="49" t="n">
        <v>5.355</v>
      </c>
      <c r="AA74" s="49" t="n">
        <v>3.4784</v>
      </c>
      <c r="AB74" s="49" t="n">
        <v>1.5654</v>
      </c>
      <c r="AC74" s="49" t="n"/>
      <c r="AD74" s="49" t="n"/>
      <c r="AE74" s="49" t="n"/>
      <c r="AF74" s="49" t="n"/>
      <c r="AG74" s="49" t="n"/>
      <c r="AH74" s="49" t="n"/>
      <c r="AI74" s="49" t="n"/>
      <c r="AJ74" s="49" t="n"/>
      <c r="AK74" s="49" t="n"/>
      <c r="AL74" s="49" t="n"/>
      <c r="AM74" s="49" t="n"/>
      <c r="AN74" s="49" t="n"/>
      <c r="AO74" s="49" t="n"/>
      <c r="AP74" s="49" t="n"/>
      <c r="AQ74" s="49" t="n"/>
      <c r="AR74" s="49" t="n"/>
      <c r="AS74" s="49" t="n"/>
      <c r="AT74" s="49" t="n"/>
      <c r="AU74" s="49" t="n"/>
      <c r="AV74" s="49" t="inlineStr">
        <is>
          <t>Titan007/V3</t>
        </is>
      </c>
      <c r="AW74" s="49" t="inlineStr">
        <is>
          <t>可投</t>
        </is>
      </c>
      <c r="AX74" s="49" t="n"/>
      <c r="AY74" s="49" t="n"/>
      <c r="AZ74" s="0" t="n"/>
    </row>
    <row r="75" ht="22" customHeight="1" s="78">
      <c r="A75" s="49" t="inlineStr">
        <is>
          <t>2026-10-06</t>
        </is>
      </c>
      <c r="B75" s="49" t="inlineStr">
        <is>
          <t>2026-10-06 23:00:00</t>
        </is>
      </c>
      <c r="C75" s="49" t="inlineStr">
        <is>
          <t>CLUB_CUP</t>
        </is>
      </c>
      <c r="D75" s="49" t="n"/>
      <c r="E75" s="49" t="inlineStr">
        <is>
          <t>挪威杯</t>
        </is>
      </c>
      <c r="F75" s="49" t="inlineStr">
        <is>
          <t>诺霍斯 vs 斯达</t>
        </is>
      </c>
      <c r="G75" s="60" t="n">
        <v>0.91</v>
      </c>
      <c r="H75" s="60" t="n">
        <v>-1</v>
      </c>
      <c r="I75" s="60" t="n">
        <v>0.85</v>
      </c>
      <c r="J75" s="49" t="inlineStr">
        <is>
          <t>0.91/-1.0/0.85</t>
        </is>
      </c>
      <c r="K75" s="49" t="inlineStr">
        <is>
          <t>反向</t>
        </is>
      </c>
      <c r="L75" s="49" t="inlineStr">
        <is>
          <t>斯达（反向=上盘）</t>
        </is>
      </c>
      <c r="M75" s="86" t="n">
        <v>0.57826776</v>
      </c>
      <c r="N75" s="49" t="inlineStr">
        <is>
          <t>可投；通过：综合胜率57.6% &gt;= 阈值56.1%；风控状态A-正常态；杯赛分层收缩后57.8%仍通过</t>
        </is>
      </c>
      <c r="O75" s="49" t="inlineStr">
        <is>
          <t>1-5</t>
        </is>
      </c>
      <c r="P75" s="49" t="inlineStr">
        <is>
          <t>已结算</t>
        </is>
      </c>
      <c r="Q75" s="49" t="inlineStr">
        <is>
          <t>红</t>
        </is>
      </c>
      <c r="R75" s="87" t="n">
        <v>0.85</v>
      </c>
      <c r="S75" s="87" t="n">
        <v>0.85</v>
      </c>
      <c r="T75" s="49" t="inlineStr">
        <is>
          <t>D:\codex\outputs\football_odds_trader\decision_versions\2026-10-06\RUN_20261006_084027\slate_raw.csv</t>
        </is>
      </c>
      <c r="U75" s="49" t="n"/>
      <c r="V75" s="87" t="n"/>
      <c r="W75" s="87" t="n"/>
      <c r="X75" s="49" t="n">
        <v>-1</v>
      </c>
      <c r="Y75" s="49" t="n">
        <v>0.85</v>
      </c>
      <c r="Z75" s="49" t="n">
        <v>5.1915</v>
      </c>
      <c r="AA75" s="49" t="n">
        <v>4.1786</v>
      </c>
      <c r="AB75" s="49" t="n">
        <v>1.5</v>
      </c>
      <c r="AC75" s="49" t="n"/>
      <c r="AD75" s="49" t="n"/>
      <c r="AE75" s="49" t="n"/>
      <c r="AF75" s="49" t="n"/>
      <c r="AG75" s="49" t="n"/>
      <c r="AH75" s="49" t="n"/>
      <c r="AI75" s="49" t="n"/>
      <c r="AJ75" s="49" t="n"/>
      <c r="AK75" s="49" t="n"/>
      <c r="AL75" s="49" t="n"/>
      <c r="AM75" s="49" t="n"/>
      <c r="AN75" s="49" t="n"/>
      <c r="AO75" s="49" t="n"/>
      <c r="AP75" s="49" t="n"/>
      <c r="AQ75" s="49" t="n"/>
      <c r="AR75" s="49" t="n"/>
      <c r="AS75" s="49" t="n"/>
      <c r="AT75" s="49" t="n"/>
      <c r="AU75" s="49" t="n"/>
      <c r="AV75" s="49" t="inlineStr">
        <is>
          <t>Titan007/V3</t>
        </is>
      </c>
      <c r="AW75" s="49" t="inlineStr">
        <is>
          <t>可投</t>
        </is>
      </c>
      <c r="AX75" s="49" t="n"/>
      <c r="AY75" s="49" t="n"/>
      <c r="AZ75" s="0" t="n"/>
    </row>
    <row r="76" ht="22" customHeight="1" s="78">
      <c r="A76" s="49" t="inlineStr">
        <is>
          <t>2026-10-07</t>
        </is>
      </c>
      <c r="B76" s="49" t="inlineStr">
        <is>
          <t>2026-10-07 19:30:00</t>
        </is>
      </c>
      <c r="C76" s="49" t="inlineStr">
        <is>
          <t>CLUB_LEAGUE</t>
        </is>
      </c>
      <c r="D76" s="49" t="inlineStr"/>
      <c r="E76" s="49" t="inlineStr">
        <is>
          <t>中甲</t>
        </is>
      </c>
      <c r="F76" s="49" t="inlineStr">
        <is>
          <t>南京城市 vs 陕西联合月亮泊队</t>
        </is>
      </c>
      <c r="G76" s="60" t="n">
        <v>0.99</v>
      </c>
      <c r="H76" s="60" t="n">
        <v>-0.25</v>
      </c>
      <c r="I76" s="60" t="n">
        <v>0.77</v>
      </c>
      <c r="J76" s="49" t="inlineStr">
        <is>
          <t>0.99/-0.25/0.77</t>
        </is>
      </c>
      <c r="K76" s="49" t="inlineStr">
        <is>
          <t>反向</t>
        </is>
      </c>
      <c r="L76" s="49" t="inlineStr">
        <is>
          <t>陕西联合月亮泊队（反向=上盘）</t>
        </is>
      </c>
      <c r="M76" s="86" t="n">
        <v>0.5920000000000001</v>
      </c>
      <c r="N76" s="49" t="inlineStr">
        <is>
          <t>可投；通过：综合胜率59.2% &gt;= 阈值58.5%；风控状态A-正常态</t>
        </is>
      </c>
      <c r="O76" s="49" t="inlineStr">
        <is>
          <t>1-4</t>
        </is>
      </c>
      <c r="P76" s="49" t="inlineStr">
        <is>
          <t>已结算</t>
        </is>
      </c>
      <c r="Q76" s="49" t="inlineStr">
        <is>
          <t>红</t>
        </is>
      </c>
      <c r="R76" s="87" t="n">
        <v>0.77</v>
      </c>
      <c r="S76" s="87" t="n">
        <v>0.77</v>
      </c>
      <c r="T76" s="49" t="inlineStr">
        <is>
          <t>D:\codex\v3_legacy\outputs\football_odds_trader\raw\titan007\20261007\20261007_083450_titan007_odds_snapshot.csv</t>
        </is>
      </c>
      <c r="U76" s="49" t="n"/>
      <c r="V76" s="87" t="n"/>
      <c r="W76" s="87" t="n"/>
      <c r="X76" s="49" t="n">
        <v>-0.25</v>
      </c>
      <c r="Y76" s="49" t="n">
        <v>0.77</v>
      </c>
      <c r="Z76" s="49" t="n">
        <v>3.41</v>
      </c>
      <c r="AA76" s="49" t="n">
        <v>3.2471</v>
      </c>
      <c r="AB76" s="49" t="n">
        <v>1.9917</v>
      </c>
      <c r="AC76" s="49" t="n"/>
      <c r="AD76" s="49" t="n"/>
      <c r="AE76" s="49" t="n"/>
      <c r="AF76" s="49" t="n"/>
      <c r="AG76" s="49" t="n"/>
      <c r="AH76" s="49" t="n"/>
      <c r="AI76" s="49" t="n"/>
      <c r="AJ76" s="49" t="n"/>
      <c r="AK76" s="49" t="n"/>
      <c r="AL76" s="49" t="n"/>
      <c r="AM76" s="49" t="n"/>
      <c r="AN76" s="49" t="n"/>
      <c r="AO76" s="49" t="n"/>
      <c r="AP76" s="49" t="n"/>
      <c r="AQ76" s="49" t="n"/>
      <c r="AR76" s="49" t="n"/>
      <c r="AS76" s="49" t="n"/>
      <c r="AT76" s="49" t="n"/>
      <c r="AU76" s="49" t="n"/>
      <c r="AV76" s="49" t="inlineStr">
        <is>
          <t>Titan007/V3</t>
        </is>
      </c>
      <c r="AW76" s="49" t="inlineStr">
        <is>
          <t>可投</t>
        </is>
      </c>
      <c r="AX76" s="49" t="n"/>
      <c r="AY76" s="49" t="n"/>
      <c r="AZ76" s="0" t="n"/>
    </row>
    <row r="77" ht="22" customHeight="1" s="78">
      <c r="A77" s="49" t="inlineStr">
        <is>
          <t>2026-10-07</t>
        </is>
      </c>
      <c r="B77" s="49" t="inlineStr">
        <is>
          <t>2026-10-08 07:00:00</t>
        </is>
      </c>
      <c r="C77" s="49" t="inlineStr">
        <is>
          <t>CLUB_LEAGUE</t>
        </is>
      </c>
      <c r="D77" s="49" t="inlineStr"/>
      <c r="E77" s="49" t="inlineStr">
        <is>
          <t>美甲</t>
        </is>
      </c>
      <c r="F77" s="49" t="inlineStr">
        <is>
          <t>那不勒斯FC vs 里士满踢球者</t>
        </is>
      </c>
      <c r="G77" s="60" t="n">
        <v>0.78</v>
      </c>
      <c r="H77" s="60" t="n">
        <v>0.75</v>
      </c>
      <c r="I77" s="60" t="n">
        <v>1.03</v>
      </c>
      <c r="J77" s="49" t="inlineStr">
        <is>
          <t>0.78/0.75/1.03</t>
        </is>
      </c>
      <c r="K77" s="49" t="inlineStr">
        <is>
          <t>正向</t>
        </is>
      </c>
      <c r="L77" s="49" t="inlineStr">
        <is>
          <t>里士满踢球者（下盘）</t>
        </is>
      </c>
      <c r="M77" s="86" t="n">
        <v>0.584</v>
      </c>
      <c r="N77" s="49" t="inlineStr">
        <is>
          <t>可投；通过：综合胜率58.4% &gt;= 阈值51.3%；风控状态A-正常态</t>
        </is>
      </c>
      <c r="O77" s="49" t="inlineStr">
        <is>
          <t>0-0</t>
        </is>
      </c>
      <c r="P77" s="49" t="inlineStr">
        <is>
          <t>未开赛</t>
        </is>
      </c>
      <c r="Q77" s="49" t="inlineStr"/>
      <c r="R77" s="87" t="n">
        <v>1.03</v>
      </c>
      <c r="S77" s="87" t="n"/>
      <c r="T77" s="49" t="inlineStr">
        <is>
          <t>D:\codex\v3_legacy\outputs\football_odds_trader\raw\titan007\20261007\20261007_083450_titan007_odds_snapshot.csv</t>
        </is>
      </c>
      <c r="U77" s="49" t="n"/>
      <c r="V77" s="87" t="n"/>
      <c r="W77" s="87" t="n"/>
      <c r="X77" s="49" t="n">
        <v>0.75</v>
      </c>
      <c r="Y77" s="49" t="n">
        <v>1.03</v>
      </c>
      <c r="Z77" s="49" t="n">
        <v>1.5904</v>
      </c>
      <c r="AA77" s="49" t="n">
        <v>3.9664</v>
      </c>
      <c r="AB77" s="49" t="n">
        <v>4.3509</v>
      </c>
      <c r="AC77" s="49" t="n"/>
      <c r="AD77" s="49" t="n"/>
      <c r="AE77" s="49" t="n"/>
      <c r="AF77" s="49" t="n"/>
      <c r="AG77" s="49" t="n"/>
      <c r="AH77" s="49" t="n"/>
      <c r="AI77" s="49" t="n"/>
      <c r="AJ77" s="49" t="n"/>
      <c r="AK77" s="49" t="n"/>
      <c r="AL77" s="49" t="n"/>
      <c r="AM77" s="49" t="n"/>
      <c r="AN77" s="49" t="n"/>
      <c r="AO77" s="49" t="n"/>
      <c r="AP77" s="49" t="n"/>
      <c r="AQ77" s="49" t="n"/>
      <c r="AR77" s="49" t="n"/>
      <c r="AS77" s="49" t="n"/>
      <c r="AT77" s="49" t="n"/>
      <c r="AU77" s="49" t="n"/>
      <c r="AV77" s="49" t="inlineStr">
        <is>
          <t>Titan007/V3</t>
        </is>
      </c>
      <c r="AW77" s="49" t="inlineStr">
        <is>
          <t>可投</t>
        </is>
      </c>
      <c r="AX77" s="49" t="n"/>
      <c r="AY77" s="49" t="n"/>
      <c r="AZ77" s="0" t="n"/>
    </row>
    <row r="78" ht="22" customHeight="1" s="78">
      <c r="A78" s="49" t="inlineStr">
        <is>
          <t>2026-10-07</t>
        </is>
      </c>
      <c r="B78" s="49" t="inlineStr">
        <is>
          <t>2026-10-07 23:00:00</t>
        </is>
      </c>
      <c r="C78" s="49" t="inlineStr">
        <is>
          <t>UNKNOWN</t>
        </is>
      </c>
      <c r="D78" s="49" t="inlineStr"/>
      <c r="E78" s="49" t="inlineStr">
        <is>
          <t>伊拉联</t>
        </is>
      </c>
      <c r="F78" s="49" t="inlineStr">
        <is>
          <t>摩苏尔足球俱乐部 vs 巴格达空军</t>
        </is>
      </c>
      <c r="G78" s="60" t="n">
        <v>1</v>
      </c>
      <c r="H78" s="60" t="n">
        <v>-0.25</v>
      </c>
      <c r="I78" s="60" t="n">
        <v>0.8</v>
      </c>
      <c r="J78" s="49" t="inlineStr">
        <is>
          <t>1.0/-0.25/0.8</t>
        </is>
      </c>
      <c r="K78" s="49" t="inlineStr">
        <is>
          <t>反向</t>
        </is>
      </c>
      <c r="L78" s="49" t="inlineStr">
        <is>
          <t>巴格达空军（反向=上盘）</t>
        </is>
      </c>
      <c r="M78" s="86" t="n">
        <v>0.5920000000000001</v>
      </c>
      <c r="N78" s="49" t="inlineStr">
        <is>
          <t>可投；通过：综合胜率59.2% &gt;= 阈值57.6%；风控状态A-正常态</t>
        </is>
      </c>
      <c r="O78" s="49" t="inlineStr">
        <is>
          <t>0-3</t>
        </is>
      </c>
      <c r="P78" s="49" t="inlineStr">
        <is>
          <t>已结算</t>
        </is>
      </c>
      <c r="Q78" s="49" t="inlineStr">
        <is>
          <t>红</t>
        </is>
      </c>
      <c r="R78" s="87" t="n">
        <v>0.8</v>
      </c>
      <c r="S78" s="87" t="n">
        <v>0.8</v>
      </c>
      <c r="T78" s="49" t="inlineStr">
        <is>
          <t>D:\codex\v3_legacy\outputs\football_odds_trader\raw\titan007\20261007\20261007_083450_titan007_odds_snapshot.csv</t>
        </is>
      </c>
      <c r="U78" s="49" t="n"/>
      <c r="V78" s="87" t="n"/>
      <c r="W78" s="87" t="n"/>
      <c r="X78" s="49" t="n">
        <v>-0.25</v>
      </c>
      <c r="Y78" s="49" t="n">
        <v>0.8</v>
      </c>
      <c r="Z78" s="49" t="n">
        <v>3.4165</v>
      </c>
      <c r="AA78" s="49" t="n">
        <v>3.1137</v>
      </c>
      <c r="AB78" s="49" t="n">
        <v>2.0152</v>
      </c>
      <c r="AC78" s="49" t="n"/>
      <c r="AD78" s="49" t="n"/>
      <c r="AE78" s="49" t="n"/>
      <c r="AF78" s="49" t="n"/>
      <c r="AG78" s="49" t="n"/>
      <c r="AH78" s="49" t="n"/>
      <c r="AI78" s="49" t="n"/>
      <c r="AJ78" s="49" t="n"/>
      <c r="AK78" s="49" t="n"/>
      <c r="AL78" s="49" t="n"/>
      <c r="AM78" s="49" t="n"/>
      <c r="AN78" s="49" t="n"/>
      <c r="AO78" s="49" t="n"/>
      <c r="AP78" s="49" t="n"/>
      <c r="AQ78" s="49" t="n"/>
      <c r="AR78" s="49" t="n"/>
      <c r="AS78" s="49" t="n"/>
      <c r="AT78" s="49" t="n"/>
      <c r="AU78" s="49" t="n"/>
      <c r="AV78" s="49" t="inlineStr">
        <is>
          <t>Titan007/V3</t>
        </is>
      </c>
      <c r="AW78" s="49" t="inlineStr">
        <is>
          <t>可投</t>
        </is>
      </c>
      <c r="AX78" s="49" t="n"/>
      <c r="AY78" s="49" t="n"/>
      <c r="AZ78" s="0" t="n"/>
    </row>
    <row r="79" ht="22" customHeight="1" s="78">
      <c r="A79" s="49" t="inlineStr">
        <is>
          <t>2026-10-07</t>
        </is>
      </c>
      <c r="B79" s="49" t="inlineStr">
        <is>
          <t>2026-10-07 17:30:00</t>
        </is>
      </c>
      <c r="C79" s="49" t="inlineStr">
        <is>
          <t>CLUB_CUP</t>
        </is>
      </c>
      <c r="D79" s="49" t="inlineStr"/>
      <c r="E79" s="49" t="inlineStr">
        <is>
          <t>日皇杯</t>
        </is>
      </c>
      <c r="F79" s="49" t="inlineStr">
        <is>
          <t>广岛三箭 vs 磐城FC</t>
        </is>
      </c>
      <c r="G79" s="60" t="n">
        <v>0.82</v>
      </c>
      <c r="H79" s="60" t="n">
        <v>1.5</v>
      </c>
      <c r="I79" s="60" t="n">
        <v>1</v>
      </c>
      <c r="J79" s="49" t="inlineStr">
        <is>
          <t>0.82/1.5/1.0</t>
        </is>
      </c>
      <c r="K79" s="49" t="inlineStr">
        <is>
          <t>反向</t>
        </is>
      </c>
      <c r="L79" s="49" t="inlineStr">
        <is>
          <t>广岛三箭（反向=上盘）</t>
        </is>
      </c>
      <c r="M79" s="86" t="n">
        <v>0.580523775</v>
      </c>
      <c r="N79" s="49" t="inlineStr">
        <is>
          <t>可投；通过：综合胜率57.9% &gt;= 阈值56.9%；风控状态A-正常态；杯赛分层收缩后58.1%仍通过</t>
        </is>
      </c>
      <c r="O79" s="49" t="inlineStr">
        <is>
          <t>4-0</t>
        </is>
      </c>
      <c r="P79" s="49" t="inlineStr">
        <is>
          <t>已结算</t>
        </is>
      </c>
      <c r="Q79" s="49" t="inlineStr">
        <is>
          <t>红</t>
        </is>
      </c>
      <c r="R79" s="87" t="n">
        <v>0.82</v>
      </c>
      <c r="S79" s="87" t="n">
        <v>0.82</v>
      </c>
      <c r="T79" s="49" t="inlineStr">
        <is>
          <t>D:\codex\v3_legacy\outputs\football_odds_trader\raw\titan007\20261007\20261007_083450_titan007_odds_snapshot.csv</t>
        </is>
      </c>
      <c r="U79" s="49" t="n"/>
      <c r="V79" s="87" t="n"/>
      <c r="W79" s="87" t="n"/>
      <c r="X79" s="49" t="n">
        <v>1.5</v>
      </c>
      <c r="Y79" s="49" t="n">
        <v>0.82</v>
      </c>
      <c r="Z79" s="49" t="n">
        <v>1.2738</v>
      </c>
      <c r="AA79" s="49" t="n">
        <v>5.3003</v>
      </c>
      <c r="AB79" s="49" t="n">
        <v>8.592000000000001</v>
      </c>
      <c r="AC79" s="49" t="n"/>
      <c r="AD79" s="49" t="n"/>
      <c r="AE79" s="49" t="n"/>
      <c r="AF79" s="49" t="n"/>
      <c r="AG79" s="49" t="n"/>
      <c r="AH79" s="49" t="n"/>
      <c r="AI79" s="49" t="n"/>
      <c r="AJ79" s="49" t="n"/>
      <c r="AK79" s="49" t="n"/>
      <c r="AL79" s="49" t="n"/>
      <c r="AM79" s="49" t="n"/>
      <c r="AN79" s="49" t="n"/>
      <c r="AO79" s="49" t="n"/>
      <c r="AP79" s="49" t="n"/>
      <c r="AQ79" s="49" t="n"/>
      <c r="AR79" s="49" t="n"/>
      <c r="AS79" s="49" t="n"/>
      <c r="AT79" s="49" t="n"/>
      <c r="AU79" s="49" t="n"/>
      <c r="AV79" s="49" t="inlineStr">
        <is>
          <t>Titan007/V3</t>
        </is>
      </c>
      <c r="AW79" s="49" t="inlineStr">
        <is>
          <t>可投</t>
        </is>
      </c>
      <c r="AX79" s="49" t="n"/>
      <c r="AY79" s="49" t="n"/>
      <c r="AZ79" s="0" t="n"/>
    </row>
    <row r="80" ht="22" customHeight="1" s="78">
      <c r="A80" s="49" t="inlineStr">
        <is>
          <t>2026-10-07</t>
        </is>
      </c>
      <c r="B80" s="49" t="inlineStr">
        <is>
          <t>2026-10-07 17:30:00</t>
        </is>
      </c>
      <c r="C80" s="49" t="inlineStr">
        <is>
          <t>CLUB_CUP</t>
        </is>
      </c>
      <c r="D80" s="49" t="inlineStr"/>
      <c r="E80" s="49" t="inlineStr">
        <is>
          <t>日皇杯</t>
        </is>
      </c>
      <c r="F80" s="49" t="inlineStr">
        <is>
          <t>福冈黄蜂 vs 横滨FC</t>
        </is>
      </c>
      <c r="G80" s="60" t="n">
        <v>0.8</v>
      </c>
      <c r="H80" s="60" t="n">
        <v>0.25</v>
      </c>
      <c r="I80" s="60" t="n">
        <v>1.02</v>
      </c>
      <c r="J80" s="49" t="inlineStr">
        <is>
          <t>0.8/0.25/1.02</t>
        </is>
      </c>
      <c r="K80" s="49" t="inlineStr">
        <is>
          <t>反向</t>
        </is>
      </c>
      <c r="L80" s="49" t="inlineStr">
        <is>
          <t>福冈黄蜂（反向=上盘）</t>
        </is>
      </c>
      <c r="M80" s="86" t="n">
        <v>0.580523775</v>
      </c>
      <c r="N80" s="49" t="inlineStr">
        <is>
          <t>可投；通过：综合胜率57.9% &gt;= 阈值57.6%；风控状态A-正常态；杯赛分层收缩后58.1%仍通过</t>
        </is>
      </c>
      <c r="O80" s="49" t="inlineStr">
        <is>
          <t>0-1</t>
        </is>
      </c>
      <c r="P80" s="49" t="inlineStr">
        <is>
          <t>已结算</t>
        </is>
      </c>
      <c r="Q80" s="49" t="inlineStr">
        <is>
          <t>黑</t>
        </is>
      </c>
      <c r="R80" s="87" t="n">
        <v>0.8</v>
      </c>
      <c r="S80" s="87" t="n">
        <v>-1</v>
      </c>
      <c r="T80" s="49" t="inlineStr">
        <is>
          <t>D:\codex\v3_legacy\outputs\football_odds_trader\raw\titan007\20261007\20261007_083450_titan007_odds_snapshot.csv</t>
        </is>
      </c>
      <c r="U80" s="49" t="n"/>
      <c r="V80" s="87" t="n"/>
      <c r="W80" s="87" t="n"/>
      <c r="X80" s="49" t="n">
        <v>0.25</v>
      </c>
      <c r="Y80" s="49" t="n">
        <v>0.8</v>
      </c>
      <c r="Z80" s="49" t="n">
        <v>2.196</v>
      </c>
      <c r="AA80" s="49" t="n">
        <v>3.024</v>
      </c>
      <c r="AB80" s="49" t="n">
        <v>3.2618</v>
      </c>
      <c r="AC80" s="49" t="n"/>
      <c r="AD80" s="49" t="n"/>
      <c r="AE80" s="49" t="n"/>
      <c r="AF80" s="49" t="n"/>
      <c r="AG80" s="49" t="n"/>
      <c r="AH80" s="49" t="n"/>
      <c r="AI80" s="49" t="n"/>
      <c r="AJ80" s="49" t="n"/>
      <c r="AK80" s="49" t="n"/>
      <c r="AL80" s="49" t="n"/>
      <c r="AM80" s="49" t="n"/>
      <c r="AN80" s="49" t="n"/>
      <c r="AO80" s="49" t="n"/>
      <c r="AP80" s="49" t="n"/>
      <c r="AQ80" s="49" t="n"/>
      <c r="AR80" s="49" t="n"/>
      <c r="AS80" s="49" t="n"/>
      <c r="AT80" s="49" t="n"/>
      <c r="AU80" s="49" t="n"/>
      <c r="AV80" s="49" t="inlineStr">
        <is>
          <t>Titan007/V3</t>
        </is>
      </c>
      <c r="AW80" s="49" t="inlineStr">
        <is>
          <t>可投</t>
        </is>
      </c>
      <c r="AX80" s="49" t="n"/>
      <c r="AY80" s="49" t="n"/>
      <c r="AZ80" s="0" t="n"/>
    </row>
    <row r="81" ht="22" customHeight="1" s="78">
      <c r="A81" s="49" t="inlineStr">
        <is>
          <t>2026-10-07</t>
        </is>
      </c>
      <c r="B81" s="49" t="inlineStr">
        <is>
          <t>2026-10-08 01:00:00</t>
        </is>
      </c>
      <c r="C81" s="49" t="inlineStr">
        <is>
          <t>CLUB_CUP</t>
        </is>
      </c>
      <c r="D81" s="49" t="inlineStr"/>
      <c r="E81" s="49" t="inlineStr">
        <is>
          <t>土杯</t>
        </is>
      </c>
      <c r="F81" s="49" t="inlineStr">
        <is>
          <t>埃斯基谢希尔体育 vs 阿克谢希尔士邦</t>
        </is>
      </c>
      <c r="G81" s="60" t="n">
        <v>0.83</v>
      </c>
      <c r="H81" s="60" t="n">
        <v>2.25</v>
      </c>
      <c r="I81" s="60" t="n">
        <v>0.98</v>
      </c>
      <c r="J81" s="49" t="inlineStr">
        <is>
          <t>0.83/2.25/0.98</t>
        </is>
      </c>
      <c r="K81" s="49" t="inlineStr">
        <is>
          <t>反向</t>
        </is>
      </c>
      <c r="L81" s="49" t="inlineStr">
        <is>
          <t>埃斯基谢希尔体育（反向=上盘）</t>
        </is>
      </c>
      <c r="M81" s="86" t="n">
        <v>0.57754539</v>
      </c>
      <c r="N81" s="49" t="inlineStr">
        <is>
          <t>可投；通过：综合胜率57.6% &gt;= 阈值56.6%；风控状态A-正常态；杯赛分层收缩后57.8%仍通过</t>
        </is>
      </c>
      <c r="O81" s="49" t="inlineStr">
        <is>
          <t>4-1</t>
        </is>
      </c>
      <c r="P81" s="49" t="inlineStr">
        <is>
          <t>已结算</t>
        </is>
      </c>
      <c r="Q81" s="49" t="inlineStr">
        <is>
          <t>红</t>
        </is>
      </c>
      <c r="R81" s="87" t="n">
        <v>0.83</v>
      </c>
      <c r="S81" s="87" t="n">
        <v>0.83</v>
      </c>
      <c r="T81" s="49" t="inlineStr">
        <is>
          <t>D:\codex\v3_legacy\outputs\football_odds_trader\raw\titan007\20261007\20261007_083450_titan007_odds_snapshot.csv</t>
        </is>
      </c>
      <c r="U81" s="49" t="n"/>
      <c r="V81" s="87" t="n"/>
      <c r="W81" s="87" t="n"/>
      <c r="X81" s="49" t="n">
        <v>2.25</v>
      </c>
      <c r="Y81" s="49" t="n">
        <v>0.83</v>
      </c>
      <c r="Z81" s="49" t="n">
        <v>1.1162</v>
      </c>
      <c r="AA81" s="49" t="n">
        <v>6.951</v>
      </c>
      <c r="AB81" s="49" t="n">
        <v>19.5745</v>
      </c>
      <c r="AC81" s="49" t="n"/>
      <c r="AD81" s="49" t="n"/>
      <c r="AE81" s="49" t="n"/>
      <c r="AF81" s="49" t="n"/>
      <c r="AG81" s="49" t="n"/>
      <c r="AH81" s="49" t="n"/>
      <c r="AI81" s="49" t="n"/>
      <c r="AJ81" s="49" t="n"/>
      <c r="AK81" s="49" t="n"/>
      <c r="AL81" s="49" t="n"/>
      <c r="AM81" s="49" t="n"/>
      <c r="AN81" s="49" t="n"/>
      <c r="AO81" s="49" t="n"/>
      <c r="AP81" s="49" t="n"/>
      <c r="AQ81" s="49" t="n"/>
      <c r="AR81" s="49" t="n"/>
      <c r="AS81" s="49" t="n"/>
      <c r="AT81" s="49" t="n"/>
      <c r="AU81" s="49" t="n"/>
      <c r="AV81" s="49" t="inlineStr">
        <is>
          <t>Titan007/V3</t>
        </is>
      </c>
      <c r="AW81" s="49" t="inlineStr">
        <is>
          <t>可投</t>
        </is>
      </c>
      <c r="AX81" s="49" t="n"/>
      <c r="AY81" s="49" t="n"/>
      <c r="AZ81" s="0" t="n"/>
    </row>
    <row r="82" ht="22" customHeight="1" s="78">
      <c r="A82" s="49" t="inlineStr">
        <is>
          <t>2026-10-07</t>
        </is>
      </c>
      <c r="B82" s="49" t="inlineStr">
        <is>
          <t>2026-10-07 19:00:00</t>
        </is>
      </c>
      <c r="C82" s="49" t="inlineStr">
        <is>
          <t>CLUB_CUP</t>
        </is>
      </c>
      <c r="D82" s="49" t="inlineStr"/>
      <c r="E82" s="49" t="inlineStr">
        <is>
          <t>土杯</t>
        </is>
      </c>
      <c r="F82" s="49" t="inlineStr">
        <is>
          <t>奥曼尼纽 vs 新梅尔辛</t>
        </is>
      </c>
      <c r="G82" s="60" t="n">
        <v>0.85</v>
      </c>
      <c r="H82" s="60" t="n">
        <v>0.75</v>
      </c>
      <c r="I82" s="60" t="n">
        <v>0.95</v>
      </c>
      <c r="J82" s="49" t="inlineStr">
        <is>
          <t>0.85/0.75/0.95</t>
        </is>
      </c>
      <c r="K82" s="49" t="inlineStr">
        <is>
          <t>反向</t>
        </is>
      </c>
      <c r="L82" s="49" t="inlineStr">
        <is>
          <t>奥曼尼纽（反向=上盘）</t>
        </is>
      </c>
      <c r="M82" s="86" t="n">
        <v>0.57754539</v>
      </c>
      <c r="N82" s="49" t="inlineStr">
        <is>
          <t>可投；通过：综合胜率57.6% &gt;= 阈值56.1%；风控状态A-正常态；杯赛分层收缩后57.8%仍通过</t>
        </is>
      </c>
      <c r="O82" s="49" t="inlineStr">
        <is>
          <t>0-3</t>
        </is>
      </c>
      <c r="P82" s="49" t="inlineStr">
        <is>
          <t>已结算</t>
        </is>
      </c>
      <c r="Q82" s="49" t="inlineStr">
        <is>
          <t>黑</t>
        </is>
      </c>
      <c r="R82" s="87" t="n">
        <v>0.85</v>
      </c>
      <c r="S82" s="87" t="n">
        <v>-1</v>
      </c>
      <c r="T82" s="49" t="inlineStr">
        <is>
          <t>D:\codex\v3_legacy\outputs\football_odds_trader\raw\titan007\20261007\20261007_083450_titan007_odds_snapshot.csv</t>
        </is>
      </c>
      <c r="U82" s="49" t="n"/>
      <c r="V82" s="87" t="n"/>
      <c r="W82" s="87" t="n"/>
      <c r="X82" s="49" t="n">
        <v>0.75</v>
      </c>
      <c r="Y82" s="49" t="n">
        <v>0.85</v>
      </c>
      <c r="Z82" s="49" t="n">
        <v>1.7472</v>
      </c>
      <c r="AA82" s="49" t="n">
        <v>3.68</v>
      </c>
      <c r="AB82" s="49" t="n">
        <v>4.0128</v>
      </c>
      <c r="AC82" s="49" t="n"/>
      <c r="AD82" s="49" t="n"/>
      <c r="AE82" s="49" t="n"/>
      <c r="AF82" s="49" t="n"/>
      <c r="AG82" s="49" t="n"/>
      <c r="AH82" s="49" t="n"/>
      <c r="AI82" s="49" t="n"/>
      <c r="AJ82" s="49" t="n"/>
      <c r="AK82" s="49" t="n"/>
      <c r="AL82" s="49" t="n"/>
      <c r="AM82" s="49" t="n"/>
      <c r="AN82" s="49" t="n"/>
      <c r="AO82" s="49" t="n"/>
      <c r="AP82" s="49" t="n"/>
      <c r="AQ82" s="49" t="n"/>
      <c r="AR82" s="49" t="n"/>
      <c r="AS82" s="49" t="n"/>
      <c r="AT82" s="49" t="n"/>
      <c r="AU82" s="49" t="n"/>
      <c r="AV82" s="49" t="inlineStr">
        <is>
          <t>Titan007/V3</t>
        </is>
      </c>
      <c r="AW82" s="49" t="inlineStr">
        <is>
          <t>可投</t>
        </is>
      </c>
      <c r="AX82" s="49" t="n"/>
      <c r="AY82" s="49" t="n"/>
      <c r="AZ82" s="0" t="n"/>
    </row>
    <row r="83" ht="22" customHeight="1" s="78">
      <c r="A83" s="49" t="inlineStr">
        <is>
          <t>2026-10-07</t>
        </is>
      </c>
      <c r="B83" s="49" t="inlineStr">
        <is>
          <t>2026-10-07 19:00:00</t>
        </is>
      </c>
      <c r="C83" s="49" t="inlineStr">
        <is>
          <t>CLUB_CUP</t>
        </is>
      </c>
      <c r="D83" s="49" t="inlineStr"/>
      <c r="E83" s="49" t="inlineStr">
        <is>
          <t>土杯</t>
        </is>
      </c>
      <c r="F83" s="49" t="inlineStr">
        <is>
          <t>祖古尔达克 vs 杜兹塞</t>
        </is>
      </c>
      <c r="G83" s="60" t="n">
        <v>0.83</v>
      </c>
      <c r="H83" s="60" t="n">
        <v>0.25</v>
      </c>
      <c r="I83" s="60" t="n">
        <v>0.98</v>
      </c>
      <c r="J83" s="49" t="inlineStr">
        <is>
          <t>0.83/0.25/0.98</t>
        </is>
      </c>
      <c r="K83" s="49" t="inlineStr">
        <is>
          <t>反向</t>
        </is>
      </c>
      <c r="L83" s="49" t="inlineStr">
        <is>
          <t>祖古尔达克（反向=上盘）</t>
        </is>
      </c>
      <c r="M83" s="86" t="n">
        <v>0.57754539</v>
      </c>
      <c r="N83" s="49" t="inlineStr">
        <is>
          <t>可投；通过：综合胜率57.6% &gt;= 阈值56.6%；风控状态A-正常态；杯赛分层收缩后57.8%仍通过</t>
        </is>
      </c>
      <c r="O83" s="49" t="inlineStr">
        <is>
          <t>0-1</t>
        </is>
      </c>
      <c r="P83" s="49" t="inlineStr">
        <is>
          <t>已结算</t>
        </is>
      </c>
      <c r="Q83" s="49" t="inlineStr">
        <is>
          <t>黑</t>
        </is>
      </c>
      <c r="R83" s="87" t="n">
        <v>0.83</v>
      </c>
      <c r="S83" s="87" t="n">
        <v>-1</v>
      </c>
      <c r="T83" s="49" t="inlineStr">
        <is>
          <t>D:\codex\v3_legacy\outputs\football_odds_trader\raw\titan007\20261007\20261007_083450_titan007_odds_snapshot.csv</t>
        </is>
      </c>
      <c r="U83" s="49" t="n"/>
      <c r="V83" s="87" t="n"/>
      <c r="W83" s="87" t="n"/>
      <c r="X83" s="49" t="n">
        <v>0.25</v>
      </c>
      <c r="Y83" s="49" t="n">
        <v>0.83</v>
      </c>
      <c r="Z83" s="49" t="n">
        <v>2.0593</v>
      </c>
      <c r="AA83" s="49" t="n">
        <v>3.0997</v>
      </c>
      <c r="AB83" s="49" t="n">
        <v>3.3959</v>
      </c>
      <c r="AC83" s="49" t="n"/>
      <c r="AD83" s="49" t="n"/>
      <c r="AE83" s="49" t="n"/>
      <c r="AF83" s="49" t="n"/>
      <c r="AG83" s="49" t="n"/>
      <c r="AH83" s="49" t="n"/>
      <c r="AI83" s="49" t="n"/>
      <c r="AJ83" s="49" t="n"/>
      <c r="AK83" s="49" t="n"/>
      <c r="AL83" s="49" t="n"/>
      <c r="AM83" s="49" t="n"/>
      <c r="AN83" s="49" t="n"/>
      <c r="AO83" s="49" t="n"/>
      <c r="AP83" s="49" t="n"/>
      <c r="AQ83" s="49" t="n"/>
      <c r="AR83" s="49" t="n"/>
      <c r="AS83" s="49" t="n"/>
      <c r="AT83" s="49" t="n"/>
      <c r="AU83" s="49" t="n"/>
      <c r="AV83" s="49" t="inlineStr">
        <is>
          <t>Titan007/V3</t>
        </is>
      </c>
      <c r="AW83" s="49" t="inlineStr">
        <is>
          <t>可投</t>
        </is>
      </c>
      <c r="AX83" s="49" t="n"/>
      <c r="AY83" s="49" t="n"/>
      <c r="AZ83" s="0" t="n"/>
    </row>
    <row r="84" ht="22" customHeight="1" s="78">
      <c r="A84" s="49" t="inlineStr">
        <is>
          <t>2026-10-07</t>
        </is>
      </c>
      <c r="B84" s="49" t="inlineStr">
        <is>
          <t>2026-10-08 00:00:00</t>
        </is>
      </c>
      <c r="C84" s="49" t="inlineStr">
        <is>
          <t>CLUB_CUP</t>
        </is>
      </c>
      <c r="D84" s="49" t="inlineStr"/>
      <c r="E84" s="49" t="inlineStr">
        <is>
          <t>巴王杯</t>
        </is>
      </c>
      <c r="F84" s="49" t="inlineStr">
        <is>
          <t>布赛廷 vs 卡拉利</t>
        </is>
      </c>
      <c r="G84" s="60" t="n">
        <v>0.8</v>
      </c>
      <c r="H84" s="60" t="n">
        <v>1.5</v>
      </c>
      <c r="I84" s="60" t="n">
        <v>1</v>
      </c>
      <c r="J84" s="49" t="inlineStr">
        <is>
          <t>0.8/1.5/1.0</t>
        </is>
      </c>
      <c r="K84" s="49" t="inlineStr">
        <is>
          <t>反向</t>
        </is>
      </c>
      <c r="L84" s="49" t="inlineStr">
        <is>
          <t>布赛廷（反向=上盘）</t>
        </is>
      </c>
      <c r="M84" s="86" t="n">
        <v>0.5909053900000001</v>
      </c>
      <c r="N84" s="49" t="inlineStr">
        <is>
          <t>可投；通过：综合胜率59.2% &gt;= 阈值57.6%；风控状态A-正常态；杯赛分层收缩后59.1%仍通过</t>
        </is>
      </c>
      <c r="O84" s="49" t="inlineStr">
        <is>
          <t>1-1</t>
        </is>
      </c>
      <c r="P84" s="49" t="inlineStr">
        <is>
          <t>已结算</t>
        </is>
      </c>
      <c r="Q84" s="49" t="inlineStr">
        <is>
          <t>黑</t>
        </is>
      </c>
      <c r="R84" s="87" t="n">
        <v>0.8</v>
      </c>
      <c r="S84" s="87" t="n">
        <v>-1</v>
      </c>
      <c r="T84" s="49" t="inlineStr">
        <is>
          <t>D:\codex\v3_legacy\outputs\football_odds_trader\raw\titan007\20261007\20261007_083450_titan007_odds_snapshot.csv</t>
        </is>
      </c>
      <c r="U84" s="49" t="n"/>
      <c r="V84" s="87" t="n"/>
      <c r="W84" s="87" t="n"/>
      <c r="X84" s="49" t="n">
        <v>1.5</v>
      </c>
      <c r="Y84" s="49" t="n">
        <v>0.8</v>
      </c>
      <c r="Z84" s="49" t="n">
        <v>1.2529</v>
      </c>
      <c r="AA84" s="49" t="n">
        <v>5.2477</v>
      </c>
      <c r="AB84" s="49" t="n">
        <v>8.5154</v>
      </c>
      <c r="AC84" s="49" t="n"/>
      <c r="AD84" s="49" t="n"/>
      <c r="AE84" s="49" t="n"/>
      <c r="AF84" s="49" t="n"/>
      <c r="AG84" s="49" t="n"/>
      <c r="AH84" s="49" t="n"/>
      <c r="AI84" s="49" t="n"/>
      <c r="AJ84" s="49" t="n"/>
      <c r="AK84" s="49" t="n"/>
      <c r="AL84" s="49" t="n"/>
      <c r="AM84" s="49" t="n"/>
      <c r="AN84" s="49" t="n"/>
      <c r="AO84" s="49" t="n"/>
      <c r="AP84" s="49" t="n"/>
      <c r="AQ84" s="49" t="n"/>
      <c r="AR84" s="49" t="n"/>
      <c r="AS84" s="49" t="n"/>
      <c r="AT84" s="49" t="n"/>
      <c r="AU84" s="49" t="n"/>
      <c r="AV84" s="49" t="inlineStr">
        <is>
          <t>Titan007/V3</t>
        </is>
      </c>
      <c r="AW84" s="49" t="inlineStr">
        <is>
          <t>可投</t>
        </is>
      </c>
      <c r="AX84" s="49" t="n"/>
      <c r="AY84" s="49" t="n"/>
      <c r="AZ84" s="0" t="n"/>
    </row>
    <row r="85" ht="22" customHeight="1" s="78">
      <c r="A85" s="49" t="inlineStr">
        <is>
          <t>2026-10-07</t>
        </is>
      </c>
      <c r="B85" s="49" t="inlineStr">
        <is>
          <t>2026-10-07 21:00:00</t>
        </is>
      </c>
      <c r="C85" s="49" t="inlineStr">
        <is>
          <t>CLUB_CUP</t>
        </is>
      </c>
      <c r="D85" s="49" t="inlineStr"/>
      <c r="E85" s="49" t="inlineStr">
        <is>
          <t>意丁杯</t>
        </is>
      </c>
      <c r="F85" s="49" t="inlineStr">
        <is>
          <t>华伦扎纳 vs ACSD萨鲁佐</t>
        </is>
      </c>
      <c r="G85" s="60" t="n">
        <v>0.78</v>
      </c>
      <c r="H85" s="60" t="n">
        <v>0.25</v>
      </c>
      <c r="I85" s="60" t="n">
        <v>1.03</v>
      </c>
      <c r="J85" s="49" t="inlineStr">
        <is>
          <t>0.78/0.25/1.03</t>
        </is>
      </c>
      <c r="K85" s="49" t="inlineStr">
        <is>
          <t>反向</t>
        </is>
      </c>
      <c r="L85" s="49" t="inlineStr">
        <is>
          <t>华伦扎纳（反向=上盘）</t>
        </is>
      </c>
      <c r="M85" s="86" t="n">
        <v>0.5819257849999999</v>
      </c>
      <c r="N85" s="49" t="inlineStr">
        <is>
          <t>可投；通过：综合胜率58.4% &gt;= 阈值58.2%；风控状态A-正常态；杯赛分层收缩后58.2%仍通过</t>
        </is>
      </c>
      <c r="O85" s="49" t="inlineStr">
        <is>
          <t>3-2</t>
        </is>
      </c>
      <c r="P85" s="49" t="inlineStr">
        <is>
          <t>已结算</t>
        </is>
      </c>
      <c r="Q85" s="49" t="inlineStr">
        <is>
          <t>红</t>
        </is>
      </c>
      <c r="R85" s="87" t="n">
        <v>0.78</v>
      </c>
      <c r="S85" s="87" t="n">
        <v>0.78</v>
      </c>
      <c r="T85" s="49" t="inlineStr">
        <is>
          <t>D:\codex\v3_legacy\outputs\football_odds_trader\raw\titan007\20261007\20261007_083450_titan007_odds_snapshot.csv</t>
        </is>
      </c>
      <c r="U85" s="49" t="n"/>
      <c r="V85" s="87" t="n"/>
      <c r="W85" s="87" t="n"/>
      <c r="X85" s="49" t="n">
        <v>0.25</v>
      </c>
      <c r="Y85" s="49" t="n">
        <v>0.78</v>
      </c>
      <c r="Z85" s="49" t="n">
        <v>2.0017</v>
      </c>
      <c r="AA85" s="49" t="n">
        <v>3.2444</v>
      </c>
      <c r="AB85" s="49" t="n">
        <v>3.304</v>
      </c>
      <c r="AC85" s="49" t="n"/>
      <c r="AD85" s="49" t="n"/>
      <c r="AE85" s="49" t="n"/>
      <c r="AF85" s="49" t="n"/>
      <c r="AG85" s="49" t="n"/>
      <c r="AH85" s="49" t="n"/>
      <c r="AI85" s="49" t="n"/>
      <c r="AJ85" s="49" t="n"/>
      <c r="AK85" s="49" t="n"/>
      <c r="AL85" s="49" t="n"/>
      <c r="AM85" s="49" t="n"/>
      <c r="AN85" s="49" t="n"/>
      <c r="AO85" s="49" t="n"/>
      <c r="AP85" s="49" t="n"/>
      <c r="AQ85" s="49" t="n"/>
      <c r="AR85" s="49" t="n"/>
      <c r="AS85" s="49" t="n"/>
      <c r="AT85" s="49" t="n"/>
      <c r="AU85" s="49" t="n"/>
      <c r="AV85" s="49" t="inlineStr">
        <is>
          <t>Titan007/V3</t>
        </is>
      </c>
      <c r="AW85" s="49" t="inlineStr">
        <is>
          <t>可投</t>
        </is>
      </c>
      <c r="AX85" s="49" t="n"/>
      <c r="AY85" s="49" t="n"/>
      <c r="AZ85" s="0" t="n"/>
    </row>
    <row r="86" ht="22" customHeight="1" s="78">
      <c r="A86" s="49" t="inlineStr">
        <is>
          <t>2026-10-07</t>
        </is>
      </c>
      <c r="B86" s="49" t="inlineStr">
        <is>
          <t>2026-10-08 00:30:00</t>
        </is>
      </c>
      <c r="C86" s="49" t="inlineStr">
        <is>
          <t>CLUB_CUP</t>
        </is>
      </c>
      <c r="D86" s="49" t="inlineStr"/>
      <c r="E86" s="49" t="inlineStr">
        <is>
          <t>意丁杯</t>
        </is>
      </c>
      <c r="F86" s="49" t="inlineStr">
        <is>
          <t>ASD塞拉韦扎足球 vs 卢捷斯</t>
        </is>
      </c>
      <c r="G86" s="60" t="n">
        <v>0.98</v>
      </c>
      <c r="H86" s="60" t="n">
        <v>0.25</v>
      </c>
      <c r="I86" s="60" t="n">
        <v>0.83</v>
      </c>
      <c r="J86" s="49" t="inlineStr">
        <is>
          <t>0.98/0.25/0.83</t>
        </is>
      </c>
      <c r="K86" s="49" t="inlineStr">
        <is>
          <t>正向</t>
        </is>
      </c>
      <c r="L86" s="49" t="inlineStr">
        <is>
          <t>ASD塞拉韦扎足球（上盘）</t>
        </is>
      </c>
      <c r="M86" s="86" t="n">
        <v>0.552215</v>
      </c>
      <c r="N86" s="49" t="inlineStr">
        <is>
          <t>可投；通过：综合胜率55.9% &gt;= 阈值52.5%；风控状态A-正常态；杯赛分层收缩后55.2%仍通过</t>
        </is>
      </c>
      <c r="O86" s="49" t="inlineStr">
        <is>
          <t>1-1</t>
        </is>
      </c>
      <c r="P86" s="49" t="inlineStr">
        <is>
          <t>已结算</t>
        </is>
      </c>
      <c r="Q86" s="49" t="inlineStr">
        <is>
          <t>半黑</t>
        </is>
      </c>
      <c r="R86" s="87" t="n">
        <v>0.98</v>
      </c>
      <c r="S86" s="87" t="n">
        <v>-0.5</v>
      </c>
      <c r="T86" s="49" t="inlineStr">
        <is>
          <t>D:\codex\v3_legacy\outputs\football_odds_trader\raw\titan007\20261007\20261007_083450_titan007_odds_snapshot.csv</t>
        </is>
      </c>
      <c r="U86" s="49" t="n"/>
      <c r="V86" s="87" t="n"/>
      <c r="W86" s="87" t="n"/>
      <c r="X86" s="49" t="n">
        <v>0.25</v>
      </c>
      <c r="Y86" s="49" t="n">
        <v>0.98</v>
      </c>
      <c r="Z86" s="49" t="n">
        <v>2.2486</v>
      </c>
      <c r="AA86" s="49" t="n">
        <v>3.0259</v>
      </c>
      <c r="AB86" s="49" t="n">
        <v>2.9797</v>
      </c>
      <c r="AC86" s="49" t="n"/>
      <c r="AD86" s="49" t="n"/>
      <c r="AE86" s="49" t="n"/>
      <c r="AF86" s="49" t="n"/>
      <c r="AG86" s="49" t="n"/>
      <c r="AH86" s="49" t="n"/>
      <c r="AI86" s="49" t="n"/>
      <c r="AJ86" s="49" t="n"/>
      <c r="AK86" s="49" t="n"/>
      <c r="AL86" s="49" t="n"/>
      <c r="AM86" s="49" t="n"/>
      <c r="AN86" s="49" t="n"/>
      <c r="AO86" s="49" t="n"/>
      <c r="AP86" s="49" t="n"/>
      <c r="AQ86" s="49" t="n"/>
      <c r="AR86" s="49" t="n"/>
      <c r="AS86" s="49" t="n"/>
      <c r="AT86" s="49" t="n"/>
      <c r="AU86" s="49" t="n"/>
      <c r="AV86" s="49" t="inlineStr">
        <is>
          <t>Titan007/V3</t>
        </is>
      </c>
      <c r="AW86" s="49" t="inlineStr">
        <is>
          <t>可投</t>
        </is>
      </c>
      <c r="AX86" s="49" t="n"/>
      <c r="AY86" s="49" t="n"/>
      <c r="AZ86" s="0" t="n"/>
    </row>
    <row r="87" ht="22" customHeight="1" s="78">
      <c r="A87" s="49" t="inlineStr">
        <is>
          <t>2026-10-07</t>
        </is>
      </c>
      <c r="B87" s="49" t="inlineStr">
        <is>
          <t>2026-10-07 21:00:00</t>
        </is>
      </c>
      <c r="C87" s="49" t="inlineStr">
        <is>
          <t>CLUB_CUP</t>
        </is>
      </c>
      <c r="D87" s="49" t="inlineStr"/>
      <c r="E87" s="49" t="inlineStr">
        <is>
          <t>意丁杯</t>
        </is>
      </c>
      <c r="F87" s="49" t="inlineStr">
        <is>
          <t>斯莱万特 vs 比斯托伊斯</t>
        </is>
      </c>
      <c r="G87" s="60" t="n">
        <v>0.78</v>
      </c>
      <c r="H87" s="60" t="n">
        <v>-1</v>
      </c>
      <c r="I87" s="60" t="n">
        <v>1.03</v>
      </c>
      <c r="J87" s="49" t="inlineStr">
        <is>
          <t>0.78/-1.0/1.03</t>
        </is>
      </c>
      <c r="K87" s="49" t="inlineStr">
        <is>
          <t>正向</t>
        </is>
      </c>
      <c r="L87" s="49" t="inlineStr">
        <is>
          <t>比斯托伊斯（上盘）</t>
        </is>
      </c>
      <c r="M87" s="86" t="n">
        <v>0.529</v>
      </c>
      <c r="N87" s="49" t="inlineStr">
        <is>
          <t>可投；通过：综合胜率52.9% &gt;= 阈值51.3%；风控状态A-正常态</t>
        </is>
      </c>
      <c r="O87" s="49" t="inlineStr">
        <is>
          <t>1-0</t>
        </is>
      </c>
      <c r="P87" s="49" t="inlineStr">
        <is>
          <t>已结算</t>
        </is>
      </c>
      <c r="Q87" s="49" t="inlineStr">
        <is>
          <t>黑</t>
        </is>
      </c>
      <c r="R87" s="87" t="n">
        <v>1.03</v>
      </c>
      <c r="S87" s="87" t="n">
        <v>-1</v>
      </c>
      <c r="T87" s="49" t="inlineStr">
        <is>
          <t>D:\codex\v3_legacy\outputs\football_odds_trader\raw\titan007\20261007\20261007_083450_titan007_odds_snapshot.csv</t>
        </is>
      </c>
      <c r="U87" s="49" t="n"/>
      <c r="V87" s="87" t="n"/>
      <c r="W87" s="87" t="n"/>
      <c r="X87" s="49" t="n">
        <v>-1</v>
      </c>
      <c r="Y87" s="49" t="n">
        <v>1.03</v>
      </c>
      <c r="Z87" s="49" t="n">
        <v>4.9037</v>
      </c>
      <c r="AA87" s="49" t="n">
        <v>3.6457</v>
      </c>
      <c r="AB87" s="49" t="n">
        <v>1.5803</v>
      </c>
      <c r="AC87" s="49" t="n"/>
      <c r="AD87" s="49" t="n"/>
      <c r="AE87" s="49" t="n"/>
      <c r="AF87" s="49" t="n"/>
      <c r="AG87" s="49" t="n"/>
      <c r="AH87" s="49" t="n"/>
      <c r="AI87" s="49" t="n"/>
      <c r="AJ87" s="49" t="n"/>
      <c r="AK87" s="49" t="n"/>
      <c r="AL87" s="49" t="n"/>
      <c r="AM87" s="49" t="n"/>
      <c r="AN87" s="49" t="n"/>
      <c r="AO87" s="49" t="n"/>
      <c r="AP87" s="49" t="n"/>
      <c r="AQ87" s="49" t="n"/>
      <c r="AR87" s="49" t="n"/>
      <c r="AS87" s="49" t="n"/>
      <c r="AT87" s="49" t="n"/>
      <c r="AU87" s="49" t="n"/>
      <c r="AV87" s="49" t="inlineStr">
        <is>
          <t>Titan007/V3</t>
        </is>
      </c>
      <c r="AW87" s="49" t="inlineStr">
        <is>
          <t>可投</t>
        </is>
      </c>
      <c r="AX87" s="49" t="n"/>
      <c r="AY87" s="49" t="n"/>
      <c r="AZ87" s="0" t="n"/>
    </row>
    <row r="88" ht="22" customHeight="1" s="78">
      <c r="A88" s="49" t="inlineStr">
        <is>
          <t>2026-10-07</t>
        </is>
      </c>
      <c r="B88" s="49" t="inlineStr">
        <is>
          <t>2026-10-08 00:30:00</t>
        </is>
      </c>
      <c r="C88" s="49" t="inlineStr">
        <is>
          <t>CLUB_CUP</t>
        </is>
      </c>
      <c r="D88" s="49" t="inlineStr"/>
      <c r="E88" s="49" t="inlineStr">
        <is>
          <t>意丁杯</t>
        </is>
      </c>
      <c r="F88" s="49" t="inlineStr">
        <is>
          <t>巴维亚 vs ACD圣天使</t>
        </is>
      </c>
      <c r="G88" s="60" t="n">
        <v>0.8</v>
      </c>
      <c r="H88" s="60" t="n">
        <v>0.25</v>
      </c>
      <c r="I88" s="60" t="n">
        <v>1</v>
      </c>
      <c r="J88" s="49" t="inlineStr">
        <is>
          <t>0.8/0.25/1.0</t>
        </is>
      </c>
      <c r="K88" s="49" t="inlineStr">
        <is>
          <t>反向</t>
        </is>
      </c>
      <c r="L88" s="49" t="inlineStr">
        <is>
          <t>巴维亚（反向=上盘）</t>
        </is>
      </c>
      <c r="M88" s="86" t="n">
        <v>0.5819257849999999</v>
      </c>
      <c r="N88" s="49" t="inlineStr">
        <is>
          <t>可投；通过：综合胜率58.4% &gt;= 阈值57.6%；风控状态A-正常态；杯赛分层收缩后58.2%仍通过</t>
        </is>
      </c>
      <c r="O88" s="49" t="inlineStr">
        <is>
          <t>1-3</t>
        </is>
      </c>
      <c r="P88" s="49" t="inlineStr">
        <is>
          <t>已结算</t>
        </is>
      </c>
      <c r="Q88" s="49" t="inlineStr">
        <is>
          <t>黑</t>
        </is>
      </c>
      <c r="R88" s="87" t="n">
        <v>0.8</v>
      </c>
      <c r="S88" s="87" t="n">
        <v>-1</v>
      </c>
      <c r="T88" s="49" t="inlineStr">
        <is>
          <t>D:\codex\v3_legacy\outputs\football_odds_trader\raw\titan007\20261007\20261007_083450_titan007_odds_snapshot.csv</t>
        </is>
      </c>
      <c r="U88" s="49" t="n"/>
      <c r="V88" s="87" t="n"/>
      <c r="W88" s="87" t="n"/>
      <c r="X88" s="49" t="n">
        <v>0.25</v>
      </c>
      <c r="Y88" s="49" t="n">
        <v>0.8</v>
      </c>
      <c r="Z88" s="49" t="n">
        <v>2.0481</v>
      </c>
      <c r="AA88" s="49" t="n">
        <v>3.0003</v>
      </c>
      <c r="AB88" s="49" t="n">
        <v>3.456</v>
      </c>
      <c r="AC88" s="49" t="n"/>
      <c r="AD88" s="49" t="n"/>
      <c r="AE88" s="49" t="n"/>
      <c r="AF88" s="49" t="n"/>
      <c r="AG88" s="49" t="n"/>
      <c r="AH88" s="49" t="n"/>
      <c r="AI88" s="49" t="n"/>
      <c r="AJ88" s="49" t="n"/>
      <c r="AK88" s="49" t="n"/>
      <c r="AL88" s="49" t="n"/>
      <c r="AM88" s="49" t="n"/>
      <c r="AN88" s="49" t="n"/>
      <c r="AO88" s="49" t="n"/>
      <c r="AP88" s="49" t="n"/>
      <c r="AQ88" s="49" t="n"/>
      <c r="AR88" s="49" t="n"/>
      <c r="AS88" s="49" t="n"/>
      <c r="AT88" s="49" t="n"/>
      <c r="AU88" s="49" t="n"/>
      <c r="AV88" s="49" t="inlineStr">
        <is>
          <t>Titan007/V3</t>
        </is>
      </c>
      <c r="AW88" s="49" t="inlineStr">
        <is>
          <t>可投</t>
        </is>
      </c>
      <c r="AX88" s="49" t="n"/>
      <c r="AY88" s="49" t="n"/>
      <c r="AZ88" s="0" t="n"/>
    </row>
    <row r="89" ht="22" customHeight="1" s="78">
      <c r="A89" s="49" t="inlineStr">
        <is>
          <t>2026-10-07</t>
        </is>
      </c>
      <c r="B89" s="49" t="inlineStr">
        <is>
          <t>2026-10-07 21:00:00</t>
        </is>
      </c>
      <c r="C89" s="49" t="inlineStr">
        <is>
          <t>CLUB_CUP</t>
        </is>
      </c>
      <c r="D89" s="49" t="inlineStr"/>
      <c r="E89" s="49" t="inlineStr">
        <is>
          <t>意丁杯</t>
        </is>
      </c>
      <c r="F89" s="49" t="inlineStr">
        <is>
          <t>奇维塔卡斯提亚 vs 锡耶纳</t>
        </is>
      </c>
      <c r="G89" s="60" t="n">
        <v>0.8</v>
      </c>
      <c r="H89" s="60" t="n">
        <v>0</v>
      </c>
      <c r="I89" s="60" t="n">
        <v>1</v>
      </c>
      <c r="J89" s="49" t="inlineStr">
        <is>
          <t>0.8/0.0/1.0</t>
        </is>
      </c>
      <c r="K89" s="49" t="inlineStr">
        <is>
          <t>反向</t>
        </is>
      </c>
      <c r="L89" s="49" t="inlineStr">
        <is>
          <t>奇维塔卡斯提亚（反向=上盘）</t>
        </is>
      </c>
      <c r="M89" s="86" t="n">
        <v>0.5819257849999999</v>
      </c>
      <c r="N89" s="49" t="inlineStr">
        <is>
          <t>可投；通过：综合胜率58.4% &gt;= 阈值57.6%；风控状态A-正常态；杯赛分层收缩后58.2%仍通过</t>
        </is>
      </c>
      <c r="O89" s="49" t="inlineStr">
        <is>
          <t>0-3</t>
        </is>
      </c>
      <c r="P89" s="49" t="inlineStr">
        <is>
          <t>已结算</t>
        </is>
      </c>
      <c r="Q89" s="49" t="inlineStr">
        <is>
          <t>黑</t>
        </is>
      </c>
      <c r="R89" s="87" t="n">
        <v>0.8</v>
      </c>
      <c r="S89" s="87" t="n">
        <v>-1</v>
      </c>
      <c r="T89" s="49" t="inlineStr">
        <is>
          <t>D:\codex\v3_legacy\outputs\football_odds_trader\raw\titan007\20261007\20261007_083450_titan007_odds_snapshot.csv</t>
        </is>
      </c>
      <c r="U89" s="49" t="n"/>
      <c r="V89" s="87" t="n"/>
      <c r="W89" s="87" t="n"/>
      <c r="X89" s="49" t="n">
        <v>0</v>
      </c>
      <c r="Y89" s="49" t="n">
        <v>0.8</v>
      </c>
      <c r="Z89" s="49" t="n">
        <v>2.3978</v>
      </c>
      <c r="AA89" s="49" t="n">
        <v>3.2162</v>
      </c>
      <c r="AB89" s="49" t="n">
        <v>2.5968</v>
      </c>
      <c r="AC89" s="49" t="n"/>
      <c r="AD89" s="49" t="n"/>
      <c r="AE89" s="49" t="n"/>
      <c r="AF89" s="49" t="n"/>
      <c r="AG89" s="49" t="n"/>
      <c r="AH89" s="49" t="n"/>
      <c r="AI89" s="49" t="n"/>
      <c r="AJ89" s="49" t="n"/>
      <c r="AK89" s="49" t="n"/>
      <c r="AL89" s="49" t="n"/>
      <c r="AM89" s="49" t="n"/>
      <c r="AN89" s="49" t="n"/>
      <c r="AO89" s="49" t="n"/>
      <c r="AP89" s="49" t="n"/>
      <c r="AQ89" s="49" t="n"/>
      <c r="AR89" s="49" t="n"/>
      <c r="AS89" s="49" t="n"/>
      <c r="AT89" s="49" t="n"/>
      <c r="AU89" s="49" t="n"/>
      <c r="AV89" s="49" t="inlineStr">
        <is>
          <t>Titan007/V3</t>
        </is>
      </c>
      <c r="AW89" s="49" t="inlineStr">
        <is>
          <t>可投</t>
        </is>
      </c>
      <c r="AX89" s="49" t="n"/>
      <c r="AY89" s="49" t="n"/>
      <c r="AZ89" s="0" t="n"/>
    </row>
    <row r="90" ht="22" customHeight="1" s="78">
      <c r="A90" s="49" t="inlineStr">
        <is>
          <t>2026-10-07</t>
        </is>
      </c>
      <c r="B90" s="49" t="inlineStr">
        <is>
          <t>2026-10-08 02:30:00</t>
        </is>
      </c>
      <c r="C90" s="49" t="inlineStr">
        <is>
          <t>CLUB_CUP</t>
        </is>
      </c>
      <c r="D90" s="49" t="inlineStr"/>
      <c r="E90" s="49" t="inlineStr">
        <is>
          <t>意丁杯</t>
        </is>
      </c>
      <c r="F90" s="49" t="inlineStr">
        <is>
          <t>维鲁斯弗兰卡维拉 vs FBC格拉维纳</t>
        </is>
      </c>
      <c r="G90" s="60" t="n">
        <v>0.83</v>
      </c>
      <c r="H90" s="60" t="n">
        <v>0.75</v>
      </c>
      <c r="I90" s="60" t="n">
        <v>0.98</v>
      </c>
      <c r="J90" s="49" t="inlineStr">
        <is>
          <t>0.83/0.75/0.98</t>
        </is>
      </c>
      <c r="K90" s="49" t="inlineStr">
        <is>
          <t>反向</t>
        </is>
      </c>
      <c r="L90" s="49" t="inlineStr">
        <is>
          <t>维鲁斯弗兰卡维拉（反向=上盘）</t>
        </is>
      </c>
      <c r="M90" s="86" t="n">
        <v>0.5819257849999999</v>
      </c>
      <c r="N90" s="49" t="inlineStr">
        <is>
          <t>可投；通过：综合胜率58.4% &gt;= 阈值56.6%；风控状态A-正常态；杯赛分层收缩后58.2%仍通过</t>
        </is>
      </c>
      <c r="O90" s="49" t="inlineStr">
        <is>
          <t>3-0</t>
        </is>
      </c>
      <c r="P90" s="49" t="inlineStr">
        <is>
          <t>已结算</t>
        </is>
      </c>
      <c r="Q90" s="49" t="inlineStr">
        <is>
          <t>红</t>
        </is>
      </c>
      <c r="R90" s="87" t="n">
        <v>0.83</v>
      </c>
      <c r="S90" s="87" t="n">
        <v>0.83</v>
      </c>
      <c r="T90" s="49" t="inlineStr">
        <is>
          <t>D:\codex\v3_legacy\outputs\football_odds_trader\raw\titan007\20261007\20261007_083450_titan007_odds_snapshot.csv</t>
        </is>
      </c>
      <c r="U90" s="49" t="n"/>
      <c r="V90" s="87" t="n"/>
      <c r="W90" s="87" t="n"/>
      <c r="X90" s="49" t="n">
        <v>0.75</v>
      </c>
      <c r="Y90" s="49" t="n">
        <v>0.83</v>
      </c>
      <c r="Z90" s="49" t="n">
        <v>1.6391</v>
      </c>
      <c r="AA90" s="49" t="n">
        <v>3.5847</v>
      </c>
      <c r="AB90" s="49" t="n">
        <v>4.5558</v>
      </c>
      <c r="AC90" s="49" t="n"/>
      <c r="AD90" s="49" t="n"/>
      <c r="AE90" s="49" t="n"/>
      <c r="AF90" s="49" t="n"/>
      <c r="AG90" s="49" t="n"/>
      <c r="AH90" s="49" t="n"/>
      <c r="AI90" s="49" t="n"/>
      <c r="AJ90" s="49" t="n"/>
      <c r="AK90" s="49" t="n"/>
      <c r="AL90" s="49" t="n"/>
      <c r="AM90" s="49" t="n"/>
      <c r="AN90" s="49" t="n"/>
      <c r="AO90" s="49" t="n"/>
      <c r="AP90" s="49" t="n"/>
      <c r="AQ90" s="49" t="n"/>
      <c r="AR90" s="49" t="n"/>
      <c r="AS90" s="49" t="n"/>
      <c r="AT90" s="49" t="n"/>
      <c r="AU90" s="49" t="n"/>
      <c r="AV90" s="49" t="inlineStr">
        <is>
          <t>Titan007/V3</t>
        </is>
      </c>
      <c r="AW90" s="49" t="inlineStr">
        <is>
          <t>可投</t>
        </is>
      </c>
      <c r="AX90" s="49" t="n"/>
      <c r="AY90" s="49" t="n"/>
      <c r="AZ90" s="0" t="n"/>
    </row>
    <row r="91" ht="22" customHeight="1" s="78">
      <c r="A91" s="49" t="inlineStr">
        <is>
          <t>2026-10-07</t>
        </is>
      </c>
      <c r="B91" s="49" t="inlineStr">
        <is>
          <t>2026-10-07 21:00:00</t>
        </is>
      </c>
      <c r="C91" s="49" t="inlineStr">
        <is>
          <t>CLUB_CUP</t>
        </is>
      </c>
      <c r="D91" s="49" t="inlineStr"/>
      <c r="E91" s="49" t="inlineStr">
        <is>
          <t>希业余杯</t>
        </is>
      </c>
      <c r="F91" s="49" t="inlineStr">
        <is>
          <t>阿特罗米次生 vs 佐格拉福</t>
        </is>
      </c>
      <c r="G91" s="60" t="n">
        <v>0.8</v>
      </c>
      <c r="H91" s="60" t="n">
        <v>0.5</v>
      </c>
      <c r="I91" s="60" t="n">
        <v>1</v>
      </c>
      <c r="J91" s="49" t="inlineStr">
        <is>
          <t>0.8/0.5/1.0</t>
        </is>
      </c>
      <c r="K91" s="49" t="inlineStr">
        <is>
          <t>反向</t>
        </is>
      </c>
      <c r="L91" s="49" t="inlineStr">
        <is>
          <t>阿特罗米次生（反向=上盘）</t>
        </is>
      </c>
      <c r="M91" s="86" t="n">
        <v>0.5909053900000001</v>
      </c>
      <c r="N91" s="49" t="inlineStr">
        <is>
          <t>可投；通过：综合胜率59.2% &gt;= 阈值57.6%；风控状态A-正常态；杯赛分层收缩后59.1%仍通过</t>
        </is>
      </c>
      <c r="O91" s="49" t="inlineStr">
        <is>
          <t>1-5</t>
        </is>
      </c>
      <c r="P91" s="49" t="inlineStr">
        <is>
          <t>已结算</t>
        </is>
      </c>
      <c r="Q91" s="49" t="inlineStr">
        <is>
          <t>黑</t>
        </is>
      </c>
      <c r="R91" s="87" t="n">
        <v>0.8</v>
      </c>
      <c r="S91" s="87" t="n">
        <v>-1</v>
      </c>
      <c r="T91" s="49" t="inlineStr">
        <is>
          <t>D:\codex\v3_legacy\outputs\football_odds_trader\raw\titan007\20261007\20261007_083450_titan007_odds_snapshot.csv</t>
        </is>
      </c>
      <c r="U91" s="49" t="n"/>
      <c r="V91" s="87" t="n"/>
      <c r="W91" s="87" t="n"/>
      <c r="X91" s="49" t="n">
        <v>0.5</v>
      </c>
      <c r="Y91" s="49" t="n">
        <v>0.8</v>
      </c>
      <c r="Z91" s="49" t="n">
        <v>1.785</v>
      </c>
      <c r="AA91" s="49" t="n">
        <v>3.45</v>
      </c>
      <c r="AB91" s="49" t="n">
        <v>3.87</v>
      </c>
      <c r="AC91" s="49" t="n"/>
      <c r="AD91" s="49" t="n"/>
      <c r="AE91" s="49" t="n"/>
      <c r="AF91" s="49" t="n"/>
      <c r="AG91" s="49" t="n"/>
      <c r="AH91" s="49" t="n"/>
      <c r="AI91" s="49" t="n"/>
      <c r="AJ91" s="49" t="n"/>
      <c r="AK91" s="49" t="n"/>
      <c r="AL91" s="49" t="n"/>
      <c r="AM91" s="49" t="n"/>
      <c r="AN91" s="49" t="n"/>
      <c r="AO91" s="49" t="n"/>
      <c r="AP91" s="49" t="n"/>
      <c r="AQ91" s="49" t="n"/>
      <c r="AR91" s="49" t="n"/>
      <c r="AS91" s="49" t="n"/>
      <c r="AT91" s="49" t="n"/>
      <c r="AU91" s="49" t="n"/>
      <c r="AV91" s="49" t="inlineStr">
        <is>
          <t>Titan007/V3</t>
        </is>
      </c>
      <c r="AW91" s="49" t="inlineStr">
        <is>
          <t>可投</t>
        </is>
      </c>
      <c r="AX91" s="49" t="n"/>
      <c r="AY91" s="49" t="n"/>
      <c r="AZ91" s="0" t="n"/>
    </row>
    <row r="92" ht="22" customHeight="1" s="78">
      <c r="A92" s="49" t="inlineStr">
        <is>
          <t>2026-10-08</t>
        </is>
      </c>
      <c r="B92" s="49" t="inlineStr">
        <is>
          <t>2026-10-09 01:30:00</t>
        </is>
      </c>
      <c r="C92" s="49" t="inlineStr">
        <is>
          <t>UNKNOWN</t>
        </is>
      </c>
      <c r="D92" s="49" t="inlineStr"/>
      <c r="E92" s="49" t="inlineStr">
        <is>
          <t>伊拉联</t>
        </is>
      </c>
      <c r="F92" s="49" t="inlineStr">
        <is>
          <t>塔拉巴 vs 巴格达警察</t>
        </is>
      </c>
      <c r="G92" s="60" t="n">
        <v>1.03</v>
      </c>
      <c r="H92" s="60" t="n">
        <v>-0.25</v>
      </c>
      <c r="I92" s="60" t="n">
        <v>0.78</v>
      </c>
      <c r="J92" s="49" t="inlineStr">
        <is>
          <t>1.03/-0.25/0.78</t>
        </is>
      </c>
      <c r="K92" s="49" t="inlineStr">
        <is>
          <t>反向</t>
        </is>
      </c>
      <c r="L92" s="49" t="inlineStr">
        <is>
          <t>巴格达警察（反向=上盘）</t>
        </is>
      </c>
      <c r="M92" s="86" t="n">
        <v>0.5920000000000001</v>
      </c>
      <c r="N92" s="49" t="inlineStr">
        <is>
          <t>可投；通过：综合胜率59.2% &gt;= 阈值58.2%；风控状态A-正常态</t>
        </is>
      </c>
      <c r="O92" s="49" t="inlineStr">
        <is>
          <t>0-0</t>
        </is>
      </c>
      <c r="P92" s="49" t="inlineStr">
        <is>
          <t>未开赛</t>
        </is>
      </c>
      <c r="Q92" s="49" t="inlineStr"/>
      <c r="R92" s="87" t="n">
        <v>0.78</v>
      </c>
      <c r="S92" s="87" t="n"/>
      <c r="T92" s="49" t="inlineStr">
        <is>
          <t>D:\codex\outputs\football_odds_trader\decision_versions\2026-10-08\RUN_20261008_074649\slate_raw.csv</t>
        </is>
      </c>
      <c r="U92" s="49" t="n"/>
      <c r="V92" s="87" t="n"/>
      <c r="W92" s="87" t="n"/>
      <c r="X92" s="49" t="n">
        <v>-0.25</v>
      </c>
      <c r="Y92" s="49" t="n">
        <v>0.78</v>
      </c>
      <c r="Z92" s="49" t="n">
        <v>3.3161</v>
      </c>
      <c r="AA92" s="49" t="n">
        <v>3.0896</v>
      </c>
      <c r="AB92" s="49" t="n">
        <v>2.0561</v>
      </c>
      <c r="AC92" s="49" t="n"/>
      <c r="AD92" s="49" t="n"/>
      <c r="AE92" s="49" t="n"/>
      <c r="AF92" s="49" t="n"/>
      <c r="AG92" s="49" t="n"/>
      <c r="AH92" s="49" t="n"/>
      <c r="AI92" s="49" t="n"/>
      <c r="AJ92" s="49" t="n"/>
      <c r="AK92" s="49" t="n"/>
      <c r="AL92" s="49" t="n"/>
      <c r="AM92" s="49" t="n"/>
      <c r="AN92" s="49" t="n"/>
      <c r="AO92" s="49" t="n"/>
      <c r="AP92" s="49" t="n"/>
      <c r="AQ92" s="49" t="n"/>
      <c r="AR92" s="49" t="n"/>
      <c r="AS92" s="49" t="n"/>
      <c r="AT92" s="49" t="n"/>
      <c r="AU92" s="49" t="n"/>
      <c r="AV92" s="49" t="inlineStr">
        <is>
          <t>Titan007/V3</t>
        </is>
      </c>
      <c r="AW92" s="49" t="inlineStr">
        <is>
          <t>可投</t>
        </is>
      </c>
      <c r="AX92" s="49" t="n"/>
      <c r="AY92" s="49" t="n"/>
      <c r="AZ92" s="0" t="n"/>
    </row>
    <row r="93" ht="22" customHeight="1" s="78">
      <c r="A93" s="49" t="inlineStr">
        <is>
          <t>2026-10-08</t>
        </is>
      </c>
      <c r="B93" s="49" t="inlineStr">
        <is>
          <t>2026-10-08 23:00:00</t>
        </is>
      </c>
      <c r="C93" s="49" t="inlineStr">
        <is>
          <t>UNKNOWN</t>
        </is>
      </c>
      <c r="D93" s="49" t="inlineStr"/>
      <c r="E93" s="49" t="inlineStr">
        <is>
          <t>伊拉联</t>
        </is>
      </c>
      <c r="F93" s="49" t="inlineStr">
        <is>
          <t>杜赫克 vs 扎瓦拉</t>
        </is>
      </c>
      <c r="G93" s="60" t="n">
        <v>0.98</v>
      </c>
      <c r="H93" s="60" t="n">
        <v>-0.25</v>
      </c>
      <c r="I93" s="60" t="n">
        <v>0.83</v>
      </c>
      <c r="J93" s="49" t="inlineStr">
        <is>
          <t>0.98/-0.25/0.83</t>
        </is>
      </c>
      <c r="K93" s="49" t="inlineStr">
        <is>
          <t>反向</t>
        </is>
      </c>
      <c r="L93" s="49" t="inlineStr">
        <is>
          <t>扎瓦拉（反向=上盘）</t>
        </is>
      </c>
      <c r="M93" s="86" t="n">
        <v>0.5920000000000001</v>
      </c>
      <c r="N93" s="49" t="inlineStr">
        <is>
          <t>可投；通过：综合胜率59.2% &gt;= 阈值56.6%；风控状态A-正常态</t>
        </is>
      </c>
      <c r="O93" s="49" t="inlineStr">
        <is>
          <t>0-0</t>
        </is>
      </c>
      <c r="P93" s="49" t="inlineStr">
        <is>
          <t>未开赛</t>
        </is>
      </c>
      <c r="Q93" s="49" t="inlineStr"/>
      <c r="R93" s="87" t="n">
        <v>0.83</v>
      </c>
      <c r="S93" s="87" t="n"/>
      <c r="T93" s="49" t="inlineStr">
        <is>
          <t>D:\codex\outputs\football_odds_trader\decision_versions\2026-10-08\RUN_20261008_074649\slate_raw.csv</t>
        </is>
      </c>
      <c r="U93" s="49" t="n"/>
      <c r="V93" s="87" t="n"/>
      <c r="W93" s="87" t="n"/>
      <c r="X93" s="49" t="n">
        <v>-0.25</v>
      </c>
      <c r="Y93" s="49" t="n">
        <v>0.83</v>
      </c>
      <c r="Z93" s="49" t="n">
        <v>3.0586</v>
      </c>
      <c r="AA93" s="49" t="n">
        <v>3.0625</v>
      </c>
      <c r="AB93" s="49" t="n">
        <v>2.1873</v>
      </c>
      <c r="AC93" s="49" t="n"/>
      <c r="AD93" s="49" t="n"/>
      <c r="AE93" s="49" t="n"/>
      <c r="AF93" s="49" t="n"/>
      <c r="AG93" s="49" t="n"/>
      <c r="AH93" s="49" t="n"/>
      <c r="AI93" s="49" t="n"/>
      <c r="AJ93" s="49" t="n"/>
      <c r="AK93" s="49" t="n"/>
      <c r="AL93" s="49" t="n"/>
      <c r="AM93" s="49" t="n"/>
      <c r="AN93" s="49" t="n"/>
      <c r="AO93" s="49" t="n"/>
      <c r="AP93" s="49" t="n"/>
      <c r="AQ93" s="49" t="n"/>
      <c r="AR93" s="49" t="n"/>
      <c r="AS93" s="49" t="n"/>
      <c r="AT93" s="49" t="n"/>
      <c r="AU93" s="49" t="n"/>
      <c r="AV93" s="49" t="inlineStr">
        <is>
          <t>Titan007/V3</t>
        </is>
      </c>
      <c r="AW93" s="49" t="inlineStr">
        <is>
          <t>可投</t>
        </is>
      </c>
      <c r="AX93" s="49" t="n"/>
      <c r="AY93" s="49" t="n"/>
      <c r="AZ93" s="0" t="n"/>
    </row>
    <row r="94" ht="22" customHeight="1" s="78">
      <c r="A94" s="49" t="inlineStr">
        <is>
          <t>2026-10-08</t>
        </is>
      </c>
      <c r="B94" s="49" t="inlineStr">
        <is>
          <t>2026-10-08 22:00:00</t>
        </is>
      </c>
      <c r="C94" s="49" t="inlineStr">
        <is>
          <t>CLUB_CUP</t>
        </is>
      </c>
      <c r="D94" s="49" t="inlineStr"/>
      <c r="E94" s="49" t="inlineStr">
        <is>
          <t>埃及联杯</t>
        </is>
      </c>
      <c r="F94" s="49" t="inlineStr">
        <is>
          <t>艾德瀚德 vs 瓦迪格拉</t>
        </is>
      </c>
      <c r="G94" s="60" t="n">
        <v>0.78</v>
      </c>
      <c r="H94" s="60" t="n">
        <v>0</v>
      </c>
      <c r="I94" s="60" t="n">
        <v>1.04</v>
      </c>
      <c r="J94" s="49" t="inlineStr">
        <is>
          <t>0.78/0.0/1.04</t>
        </is>
      </c>
      <c r="K94" s="49" t="inlineStr">
        <is>
          <t>反向</t>
        </is>
      </c>
      <c r="L94" s="49" t="inlineStr">
        <is>
          <t>艾德瀚德（反向=上盘）</t>
        </is>
      </c>
      <c r="M94" s="86" t="n">
        <v>0.5909053900000001</v>
      </c>
      <c r="N94" s="49" t="inlineStr">
        <is>
          <t>可投；通过：综合胜率59.2% &gt;= 阈值58.2%；风控状态A-正常态；杯赛分层收缩后59.1%仍通过</t>
        </is>
      </c>
      <c r="O94" s="49" t="inlineStr">
        <is>
          <t>0-0</t>
        </is>
      </c>
      <c r="P94" s="49" t="inlineStr">
        <is>
          <t>未开赛</t>
        </is>
      </c>
      <c r="Q94" s="49" t="inlineStr"/>
      <c r="R94" s="87" t="n">
        <v>0.78</v>
      </c>
      <c r="S94" s="87" t="n"/>
      <c r="T94" s="49" t="inlineStr">
        <is>
          <t>D:\codex\outputs\football_odds_trader\decision_versions\2026-10-08\RUN_20261008_074649\slate_raw.csv</t>
        </is>
      </c>
      <c r="U94" s="49" t="n"/>
      <c r="V94" s="87" t="n"/>
      <c r="W94" s="87" t="n"/>
      <c r="X94" s="49" t="n">
        <v>0</v>
      </c>
      <c r="Y94" s="49" t="n">
        <v>0.78</v>
      </c>
      <c r="Z94" s="49" t="n">
        <v>2.3658</v>
      </c>
      <c r="AA94" s="49" t="n">
        <v>2.9387</v>
      </c>
      <c r="AB94" s="49" t="n">
        <v>2.9075</v>
      </c>
      <c r="AC94" s="49" t="n"/>
      <c r="AD94" s="49" t="n"/>
      <c r="AE94" s="49" t="n"/>
      <c r="AF94" s="49" t="n"/>
      <c r="AG94" s="49" t="n"/>
      <c r="AH94" s="49" t="n"/>
      <c r="AI94" s="49" t="n"/>
      <c r="AJ94" s="49" t="n"/>
      <c r="AK94" s="49" t="n"/>
      <c r="AL94" s="49" t="n"/>
      <c r="AM94" s="49" t="n"/>
      <c r="AN94" s="49" t="n"/>
      <c r="AO94" s="49" t="n"/>
      <c r="AP94" s="49" t="n"/>
      <c r="AQ94" s="49" t="n"/>
      <c r="AR94" s="49" t="n"/>
      <c r="AS94" s="49" t="n"/>
      <c r="AT94" s="49" t="n"/>
      <c r="AU94" s="49" t="n"/>
      <c r="AV94" s="49" t="inlineStr">
        <is>
          <t>Titan007/V3</t>
        </is>
      </c>
      <c r="AW94" s="49" t="inlineStr">
        <is>
          <t>可投</t>
        </is>
      </c>
      <c r="AX94" s="49" t="n"/>
      <c r="AY94" s="49" t="n"/>
      <c r="AZ94" s="0" t="n"/>
    </row>
    <row r="95" ht="22" customHeight="1" s="78">
      <c r="A95" s="49" t="inlineStr">
        <is>
          <t>2026-10-08</t>
        </is>
      </c>
      <c r="B95" s="49" t="inlineStr">
        <is>
          <t>2026-10-08 22:00:00</t>
        </is>
      </c>
      <c r="C95" s="49" t="inlineStr">
        <is>
          <t>CLUB_CUP</t>
        </is>
      </c>
      <c r="D95" s="49" t="inlineStr"/>
      <c r="E95" s="49" t="inlineStr">
        <is>
          <t>埃及联杯</t>
        </is>
      </c>
      <c r="F95" s="49" t="inlineStr">
        <is>
          <t>阿拉伯建筑 vs 艾尔格纳</t>
        </is>
      </c>
      <c r="G95" s="60" t="n">
        <v>0.82</v>
      </c>
      <c r="H95" s="60" t="n">
        <v>0.5</v>
      </c>
      <c r="I95" s="60" t="n">
        <v>1</v>
      </c>
      <c r="J95" s="49" t="inlineStr">
        <is>
          <t>0.82/0.5/1.0</t>
        </is>
      </c>
      <c r="K95" s="49" t="inlineStr">
        <is>
          <t>反向</t>
        </is>
      </c>
      <c r="L95" s="49" t="inlineStr">
        <is>
          <t>阿拉伯建筑（反向=上盘）</t>
        </is>
      </c>
      <c r="M95" s="86" t="n">
        <v>0.5909053900000001</v>
      </c>
      <c r="N95" s="49" t="inlineStr">
        <is>
          <t>可投；通过：综合胜率59.2% &gt;= 阈值56.9%；风控状态A-正常态；杯赛分层收缩后59.1%仍通过</t>
        </is>
      </c>
      <c r="O95" s="49" t="inlineStr">
        <is>
          <t>0-0</t>
        </is>
      </c>
      <c r="P95" s="49" t="inlineStr">
        <is>
          <t>未开赛</t>
        </is>
      </c>
      <c r="Q95" s="49" t="inlineStr"/>
      <c r="R95" s="87" t="n">
        <v>0.82</v>
      </c>
      <c r="S95" s="87" t="n"/>
      <c r="T95" s="49" t="inlineStr">
        <is>
          <t>D:\codex\outputs\football_odds_trader\decision_versions\2026-10-08\RUN_20261008_074649\slate_raw.csv</t>
        </is>
      </c>
      <c r="U95" s="49" t="n"/>
      <c r="V95" s="87" t="n"/>
      <c r="W95" s="87" t="n"/>
      <c r="X95" s="49" t="n">
        <v>0.5</v>
      </c>
      <c r="Y95" s="49" t="n">
        <v>0.82</v>
      </c>
      <c r="Z95" s="49" t="n">
        <v>1.737</v>
      </c>
      <c r="AA95" s="49" t="n">
        <v>3.144</v>
      </c>
      <c r="AB95" s="49" t="n">
        <v>4.6863</v>
      </c>
      <c r="AC95" s="49" t="n"/>
      <c r="AD95" s="49" t="n"/>
      <c r="AE95" s="49" t="n"/>
      <c r="AF95" s="49" t="n"/>
      <c r="AG95" s="49" t="n"/>
      <c r="AH95" s="49" t="n"/>
      <c r="AI95" s="49" t="n"/>
      <c r="AJ95" s="49" t="n"/>
      <c r="AK95" s="49" t="n"/>
      <c r="AL95" s="49" t="n"/>
      <c r="AM95" s="49" t="n"/>
      <c r="AN95" s="49" t="n"/>
      <c r="AO95" s="49" t="n"/>
      <c r="AP95" s="49" t="n"/>
      <c r="AQ95" s="49" t="n"/>
      <c r="AR95" s="49" t="n"/>
      <c r="AS95" s="49" t="n"/>
      <c r="AT95" s="49" t="n"/>
      <c r="AU95" s="49" t="n"/>
      <c r="AV95" s="49" t="inlineStr">
        <is>
          <t>Titan007/V3</t>
        </is>
      </c>
      <c r="AW95" s="49" t="inlineStr">
        <is>
          <t>可投</t>
        </is>
      </c>
      <c r="AX95" s="49" t="n"/>
      <c r="AY95" s="49" t="n"/>
      <c r="AZ95" s="0" t="n"/>
    </row>
    <row r="96" ht="22" customHeight="1" s="78">
      <c r="A96" s="49" t="inlineStr">
        <is>
          <t>2026-10-08</t>
        </is>
      </c>
      <c r="B96" s="49" t="inlineStr">
        <is>
          <t>2026-10-09 00:00:00</t>
        </is>
      </c>
      <c r="C96" s="49" t="inlineStr">
        <is>
          <t>CLUB_CUP</t>
        </is>
      </c>
      <c r="D96" s="49" t="inlineStr"/>
      <c r="E96" s="49" t="inlineStr">
        <is>
          <t>巴王杯</t>
        </is>
      </c>
      <c r="F96" s="49" t="inlineStr">
        <is>
          <t>哈萨姆 vs 艾沙镇</t>
        </is>
      </c>
      <c r="G96" s="60" t="n">
        <v>0.83</v>
      </c>
      <c r="H96" s="60" t="n">
        <v>0.25</v>
      </c>
      <c r="I96" s="60" t="n">
        <v>0.98</v>
      </c>
      <c r="J96" s="49" t="inlineStr">
        <is>
          <t>0.83/0.25/0.98</t>
        </is>
      </c>
      <c r="K96" s="49" t="inlineStr">
        <is>
          <t>反向</t>
        </is>
      </c>
      <c r="L96" s="49" t="inlineStr">
        <is>
          <t>哈萨姆（反向=上盘）</t>
        </is>
      </c>
      <c r="M96" s="86" t="n">
        <v>0.5909053900000001</v>
      </c>
      <c r="N96" s="49" t="inlineStr">
        <is>
          <t>可投；通过：综合胜率59.2% &gt;= 阈值56.6%；风控状态A-正常态；杯赛分层收缩后59.1%仍通过</t>
        </is>
      </c>
      <c r="O96" s="49" t="inlineStr">
        <is>
          <t>0-0</t>
        </is>
      </c>
      <c r="P96" s="49" t="inlineStr">
        <is>
          <t>未开赛</t>
        </is>
      </c>
      <c r="Q96" s="49" t="inlineStr"/>
      <c r="R96" s="87" t="n">
        <v>0.83</v>
      </c>
      <c r="S96" s="87" t="n"/>
      <c r="T96" s="49" t="inlineStr">
        <is>
          <t>D:\codex\outputs\football_odds_trader\decision_versions\2026-10-08\RUN_20261008_074649\slate_raw.csv</t>
        </is>
      </c>
      <c r="U96" s="49" t="n"/>
      <c r="V96" s="87" t="n"/>
      <c r="W96" s="87" t="n"/>
      <c r="X96" s="49" t="n">
        <v>0.25</v>
      </c>
      <c r="Y96" s="49" t="n">
        <v>0.83</v>
      </c>
      <c r="Z96" s="49" t="n">
        <v>2.07</v>
      </c>
      <c r="AA96" s="49" t="n">
        <v>2.9275</v>
      </c>
      <c r="AB96" s="49" t="n">
        <v>3.4962</v>
      </c>
      <c r="AC96" s="49" t="n"/>
      <c r="AD96" s="49" t="n"/>
      <c r="AE96" s="49" t="n"/>
      <c r="AF96" s="49" t="n"/>
      <c r="AG96" s="49" t="n"/>
      <c r="AH96" s="49" t="n"/>
      <c r="AI96" s="49" t="n"/>
      <c r="AJ96" s="49" t="n"/>
      <c r="AK96" s="49" t="n"/>
      <c r="AL96" s="49" t="n"/>
      <c r="AM96" s="49" t="n"/>
      <c r="AN96" s="49" t="n"/>
      <c r="AO96" s="49" t="n"/>
      <c r="AP96" s="49" t="n"/>
      <c r="AQ96" s="49" t="n"/>
      <c r="AR96" s="49" t="n"/>
      <c r="AS96" s="49" t="n"/>
      <c r="AT96" s="49" t="n"/>
      <c r="AU96" s="49" t="n"/>
      <c r="AV96" s="49" t="inlineStr">
        <is>
          <t>Titan007/V3</t>
        </is>
      </c>
      <c r="AW96" s="49" t="inlineStr">
        <is>
          <t>可投</t>
        </is>
      </c>
      <c r="AX96" s="49" t="n"/>
      <c r="AY96" s="49" t="n"/>
      <c r="AZ96" s="0" t="n"/>
    </row>
    <row r="97" ht="22" customHeight="1" s="78"/>
    <row r="98" ht="22" customHeight="1" s="78"/>
    <row r="99" ht="22" customHeight="1" s="78"/>
    <row r="100" ht="22" customHeight="1" s="78"/>
    <row r="101" ht="22" customHeight="1" s="78"/>
    <row r="102" ht="22" customHeight="1" s="78"/>
    <row r="103" ht="22" customHeight="1" s="78"/>
    <row r="104" ht="22" customHeight="1" s="78"/>
    <row r="105" ht="22" customHeight="1" s="78"/>
    <row r="106" ht="22" customHeight="1" s="78"/>
    <row r="107" ht="22" customHeight="1" s="78"/>
    <row r="108" ht="22" customHeight="1" s="78"/>
    <row r="109" ht="22" customHeight="1" s="78"/>
    <row r="110" ht="22" customHeight="1" s="78"/>
    <row r="111" ht="22" customHeight="1" s="78"/>
    <row r="112" ht="22" customHeight="1" s="78"/>
    <row r="113" ht="22" customHeight="1" s="78"/>
    <row r="114" ht="22" customHeight="1" s="78"/>
    <row r="115" ht="22" customHeight="1" s="78"/>
    <row r="116" ht="22" customHeight="1" s="78"/>
    <row r="117" ht="22" customHeight="1" s="78"/>
    <row r="118" ht="22" customHeight="1" s="78"/>
    <row r="119" ht="22" customHeight="1" s="78"/>
    <row r="120" ht="22" customHeight="1" s="78"/>
    <row r="121" ht="22" customHeight="1" s="78"/>
    <row r="122" ht="22" customHeight="1" s="78"/>
    <row r="123" ht="22" customHeight="1" s="78"/>
    <row r="124" ht="22" customHeight="1" s="78"/>
    <row r="125" ht="22" customHeight="1" s="78"/>
    <row r="126" ht="22" customHeight="1" s="78"/>
    <row r="127" ht="22" customHeight="1" s="78"/>
    <row r="128" ht="22" customHeight="1" s="78"/>
    <row r="129" ht="22" customHeight="1" s="78"/>
    <row r="130" ht="22" customHeight="1" s="78"/>
    <row r="131" ht="22" customHeight="1" s="78"/>
    <row r="132" ht="22" customHeight="1" s="78"/>
    <row r="133" ht="22" customHeight="1" s="78"/>
    <row r="134" ht="22" customHeight="1" s="78"/>
    <row r="135" ht="22" customHeight="1" s="78"/>
    <row r="136" ht="22" customHeight="1" s="78"/>
    <row r="137" ht="22" customHeight="1" s="78"/>
    <row r="138" ht="22" customHeight="1" s="78"/>
    <row r="139" ht="22" customHeight="1" s="78"/>
    <row r="140" ht="22" customHeight="1" s="78"/>
    <row r="141" ht="22" customHeight="1" s="78"/>
    <row r="142" ht="22" customHeight="1" s="78"/>
    <row r="143" ht="22" customHeight="1" s="78"/>
    <row r="144" ht="22" customHeight="1" s="78"/>
    <row r="145" ht="22" customHeight="1" s="78"/>
    <row r="146" ht="22" customHeight="1" s="78"/>
    <row r="147" ht="22" customHeight="1" s="78"/>
    <row r="148" ht="22" customHeight="1" s="78"/>
    <row r="149" ht="22" customHeight="1" s="78"/>
    <row r="150" ht="22" customHeight="1" s="78"/>
    <row r="151" ht="22" customHeight="1" s="78"/>
    <row r="152" ht="22" customHeight="1" s="78"/>
    <row r="153" ht="22" customHeight="1" s="78"/>
    <row r="154" ht="22" customHeight="1" s="78"/>
    <row r="155" ht="22" customHeight="1" s="78"/>
    <row r="156" ht="22" customHeight="1" s="78"/>
    <row r="157" ht="22" customHeight="1" s="78"/>
    <row r="158" ht="22" customHeight="1" s="78"/>
    <row r="159" ht="22" customHeight="1" s="78"/>
    <row r="160" ht="22" customHeight="1" s="78"/>
    <row r="161" ht="22" customHeight="1" s="78"/>
    <row r="162" ht="22" customHeight="1" s="78"/>
    <row r="163" ht="22" customHeight="1" s="78"/>
    <row r="164" ht="22" customHeight="1" s="78"/>
    <row r="165" ht="22" customHeight="1" s="78"/>
    <row r="166" ht="22" customHeight="1" s="78"/>
    <row r="167" ht="22" customHeight="1" s="78"/>
    <row r="168" ht="22" customHeight="1" s="78"/>
    <row r="169" ht="22" customHeight="1" s="78"/>
    <row r="170" ht="22" customHeight="1" s="78"/>
    <row r="171" ht="22" customHeight="1" s="78"/>
    <row r="172" ht="22" customHeight="1" s="78"/>
    <row r="173" ht="22" customHeight="1" s="78"/>
    <row r="174" ht="22" customHeight="1" s="78"/>
    <row r="175" ht="22" customHeight="1" s="78"/>
    <row r="176" ht="22" customHeight="1" s="78"/>
    <row r="177" ht="22" customHeight="1" s="78"/>
    <row r="178" ht="22" customHeight="1" s="78"/>
    <row r="179" ht="22" customHeight="1" s="78"/>
    <row r="180" ht="22" customHeight="1" s="78"/>
    <row r="181" ht="22" customHeight="1" s="78"/>
    <row r="182" ht="22" customHeight="1" s="78"/>
    <row r="183" ht="22" customHeight="1" s="78"/>
    <row r="184" ht="22" customHeight="1" s="78"/>
    <row r="185" ht="22" customHeight="1" s="78"/>
    <row r="186" ht="22" customHeight="1" s="78"/>
    <row r="187" ht="22" customHeight="1" s="78"/>
    <row r="188" ht="22" customHeight="1" s="78"/>
    <row r="189" ht="22" customHeight="1" s="78"/>
    <row r="190" ht="22" customHeight="1" s="78"/>
    <row r="191" ht="22" customHeight="1" s="78"/>
    <row r="192" ht="22" customHeight="1" s="78"/>
    <row r="193" ht="22" customHeight="1" s="78"/>
    <row r="194" ht="22" customHeight="1" s="78"/>
    <row r="195" ht="22" customHeight="1" s="78"/>
    <row r="196" ht="22" customHeight="1" s="78"/>
    <row r="197" ht="22" customHeight="1" s="78"/>
    <row r="198" ht="22" customHeight="1" s="78"/>
    <row r="199" ht="22" customHeight="1" s="78"/>
    <row r="200" ht="22" customHeight="1" s="78"/>
    <row r="201" ht="22" customHeight="1" s="78"/>
    <row r="202" ht="22" customHeight="1" s="78"/>
    <row r="203" ht="22" customHeight="1" s="78"/>
    <row r="204" ht="22" customHeight="1" s="78"/>
    <row r="205" ht="22" customHeight="1" s="78"/>
    <row r="206" ht="22" customHeight="1" s="78"/>
    <row r="207" ht="22" customHeight="1" s="78"/>
    <row r="208" ht="22" customHeight="1" s="78"/>
    <row r="209" ht="22" customHeight="1" s="78"/>
    <row r="210" ht="22" customHeight="1" s="78"/>
    <row r="211" ht="22" customHeight="1" s="78"/>
    <row r="212" ht="22" customHeight="1" s="78"/>
    <row r="213" ht="22" customHeight="1" s="78"/>
    <row r="214" ht="22" customHeight="1" s="78"/>
    <row r="215" ht="22" customHeight="1" s="78"/>
    <row r="216" ht="22" customHeight="1" s="78"/>
    <row r="217" ht="22" customHeight="1" s="78"/>
    <row r="218" ht="22" customHeight="1" s="78"/>
    <row r="219" ht="22" customHeight="1" s="78"/>
    <row r="220" ht="22" customHeight="1" s="78"/>
    <row r="221" ht="22" customHeight="1" s="78"/>
    <row r="222" ht="22" customHeight="1" s="78"/>
    <row r="223" ht="22" customHeight="1" s="78"/>
    <row r="224" ht="22" customHeight="1" s="78"/>
    <row r="225" ht="22" customHeight="1" s="78"/>
    <row r="226" ht="22" customHeight="1" s="78"/>
    <row r="227" ht="22" customHeight="1" s="78"/>
    <row r="228" ht="22" customHeight="1" s="78"/>
    <row r="229" ht="22" customHeight="1" s="78"/>
    <row r="230" ht="22" customHeight="1" s="78"/>
    <row r="231" ht="22" customHeight="1" s="78"/>
    <row r="232" ht="22" customHeight="1" s="78"/>
    <row r="233" ht="22" customHeight="1" s="78"/>
    <row r="234" ht="22" customHeight="1" s="78"/>
    <row r="235" ht="22" customHeight="1" s="78"/>
    <row r="236" ht="22" customHeight="1" s="78"/>
    <row r="237" ht="22" customHeight="1" s="78"/>
    <row r="238" ht="22" customHeight="1" s="78"/>
    <row r="239" ht="22" customHeight="1" s="78"/>
    <row r="240" ht="22" customHeight="1" s="78"/>
    <row r="241" ht="22" customHeight="1" s="78"/>
    <row r="242" ht="22" customHeight="1" s="78"/>
    <row r="243" ht="22" customHeight="1" s="78"/>
    <row r="244" ht="22" customHeight="1" s="78"/>
    <row r="245" ht="22" customHeight="1" s="78"/>
    <row r="246" ht="22" customHeight="1" s="78"/>
    <row r="247" ht="22" customHeight="1" s="78"/>
    <row r="248" ht="22" customHeight="1" s="78"/>
    <row r="249" ht="22" customHeight="1" s="78"/>
    <row r="250" ht="22" customHeight="1" s="78"/>
    <row r="251" ht="22" customHeight="1" s="78"/>
    <row r="252" ht="22" customHeight="1" s="78"/>
    <row r="253" ht="22" customHeight="1" s="78"/>
    <row r="254" ht="22" customHeight="1" s="78"/>
    <row r="255" ht="22" customHeight="1" s="78"/>
    <row r="256" ht="22" customHeight="1" s="78"/>
    <row r="257" ht="22" customHeight="1" s="78"/>
    <row r="258" ht="22" customHeight="1" s="78"/>
    <row r="259" ht="22" customHeight="1" s="78"/>
    <row r="260" ht="22" customHeight="1" s="78"/>
    <row r="261" ht="22" customHeight="1" s="78"/>
    <row r="262" ht="22" customHeight="1" s="78"/>
    <row r="263" ht="22" customHeight="1" s="78"/>
    <row r="264" ht="22" customHeight="1" s="78"/>
    <row r="265" ht="22" customHeight="1" s="78"/>
    <row r="266" ht="22" customHeight="1" s="78"/>
    <row r="267" ht="22" customHeight="1" s="78"/>
    <row r="268" ht="22" customHeight="1" s="78"/>
    <row r="269" ht="22" customHeight="1" s="78"/>
    <row r="270" ht="22" customHeight="1" s="78"/>
    <row r="271" ht="22" customHeight="1" s="78"/>
    <row r="272" ht="22" customHeight="1" s="78"/>
    <row r="273" ht="22" customHeight="1" s="78"/>
    <row r="274" ht="22" customHeight="1" s="78"/>
    <row r="275" ht="22" customHeight="1" s="78"/>
    <row r="276" ht="22" customHeight="1" s="78"/>
    <row r="277" ht="22" customHeight="1" s="78"/>
    <row r="278" ht="22" customHeight="1" s="78"/>
    <row r="279" ht="22" customHeight="1" s="78"/>
    <row r="280" ht="22" customHeight="1" s="78"/>
    <row r="281" ht="22" customHeight="1" s="78"/>
    <row r="282" ht="22" customHeight="1" s="78"/>
    <row r="283" ht="22" customHeight="1" s="78"/>
    <row r="284" ht="22" customHeight="1" s="78"/>
    <row r="285" ht="22" customHeight="1" s="78"/>
    <row r="286" ht="22" customHeight="1" s="78"/>
    <row r="287" ht="22" customHeight="1" s="78"/>
    <row r="288" ht="22" customHeight="1" s="78"/>
    <row r="289" ht="22" customHeight="1" s="78"/>
    <row r="290" ht="22" customHeight="1" s="78"/>
    <row r="291" ht="22" customHeight="1" s="78"/>
    <row r="292" ht="22" customHeight="1" s="78"/>
    <row r="293" ht="22" customHeight="1" s="78"/>
    <row r="294" ht="22" customHeight="1" s="78"/>
    <row r="295" ht="22" customHeight="1" s="78"/>
    <row r="296" ht="22" customHeight="1" s="78"/>
    <row r="297" ht="22" customHeight="1" s="78"/>
    <row r="298" ht="22" customHeight="1" s="78"/>
    <row r="299" ht="22" customHeight="1" s="78"/>
    <row r="300" ht="22" customHeight="1" s="78"/>
    <row r="301" ht="22" customHeight="1" s="78"/>
    <row r="302" ht="22" customHeight="1" s="78"/>
    <row r="303" ht="22" customHeight="1" s="78"/>
    <row r="304" ht="22" customHeight="1" s="78"/>
    <row r="305" ht="22" customHeight="1" s="78"/>
    <row r="306" ht="22" customHeight="1" s="78"/>
    <row r="307" ht="22" customHeight="1" s="78"/>
    <row r="308" ht="22" customHeight="1" s="78"/>
    <row r="309" ht="22" customHeight="1" s="78"/>
    <row r="310" ht="22" customHeight="1" s="78"/>
    <row r="311" ht="22" customHeight="1" s="78"/>
    <row r="312" ht="22" customHeight="1" s="78"/>
    <row r="313" ht="22" customHeight="1" s="78"/>
    <row r="314" ht="22" customHeight="1" s="78"/>
    <row r="315" ht="22" customHeight="1" s="78"/>
    <row r="316" ht="22" customHeight="1" s="78"/>
    <row r="317" ht="22" customHeight="1" s="78"/>
    <row r="318" ht="22" customHeight="1" s="78"/>
    <row r="319" ht="22" customHeight="1" s="78"/>
    <row r="320" ht="22" customHeight="1" s="78"/>
    <row r="321" ht="22" customHeight="1" s="78"/>
    <row r="322" ht="22" customHeight="1" s="78"/>
    <row r="323" ht="22" customHeight="1" s="78"/>
    <row r="324" ht="22" customHeight="1" s="78"/>
    <row r="325" ht="22" customHeight="1" s="78"/>
    <row r="326" ht="22" customHeight="1" s="78"/>
    <row r="327" ht="22" customHeight="1" s="78"/>
    <row r="328" ht="22" customHeight="1" s="78"/>
    <row r="329" ht="22" customHeight="1" s="78"/>
    <row r="330" ht="22" customHeight="1" s="78"/>
    <row r="331" ht="22" customHeight="1" s="78"/>
    <row r="332" ht="22" customHeight="1" s="78"/>
    <row r="333" ht="22" customHeight="1" s="78"/>
    <row r="334" ht="22" customHeight="1" s="78"/>
    <row r="335" ht="22" customHeight="1" s="78"/>
    <row r="336" ht="22" customHeight="1" s="78"/>
    <row r="337" ht="22" customHeight="1" s="78"/>
    <row r="338" ht="22" customHeight="1" s="78"/>
    <row r="339" ht="22" customHeight="1" s="78"/>
    <row r="340" ht="22" customHeight="1" s="78"/>
    <row r="341" ht="22" customHeight="1" s="78"/>
    <row r="342" ht="22" customHeight="1" s="78"/>
    <row r="343" ht="22" customHeight="1" s="78"/>
    <row r="344" ht="22" customHeight="1" s="78"/>
    <row r="345" ht="22" customHeight="1" s="78"/>
    <row r="346" ht="22" customHeight="1" s="78"/>
    <row r="347" ht="22" customHeight="1" s="78"/>
    <row r="348" ht="22" customHeight="1" s="78"/>
    <row r="349" ht="22" customHeight="1" s="78"/>
    <row r="350" ht="22" customHeight="1" s="78"/>
    <row r="351" ht="22" customHeight="1" s="78"/>
    <row r="352" ht="22" customHeight="1" s="78"/>
    <row r="353" ht="22" customHeight="1" s="78"/>
    <row r="354" ht="22" customHeight="1" s="78"/>
    <row r="355" ht="22" customHeight="1" s="78"/>
    <row r="356" ht="22" customHeight="1" s="78"/>
    <row r="357" ht="22" customHeight="1" s="78"/>
    <row r="358" ht="22" customHeight="1" s="78"/>
    <row r="359" ht="22" customHeight="1" s="78"/>
    <row r="360" ht="22" customHeight="1" s="78"/>
    <row r="361" ht="22" customHeight="1" s="78"/>
    <row r="362" ht="22" customHeight="1" s="78"/>
    <row r="363" ht="22" customHeight="1" s="78"/>
    <row r="364" ht="22" customHeight="1" s="78"/>
    <row r="365" ht="22" customHeight="1" s="78"/>
    <row r="366" ht="22" customHeight="1" s="78"/>
    <row r="367" ht="22" customHeight="1" s="78"/>
    <row r="368" ht="22" customHeight="1" s="78"/>
    <row r="369" ht="22" customHeight="1" s="78"/>
    <row r="370" ht="22" customHeight="1" s="78"/>
    <row r="371" ht="22" customHeight="1" s="78"/>
    <row r="372" ht="22" customHeight="1" s="78"/>
    <row r="373" ht="22" customHeight="1" s="78"/>
    <row r="374" ht="22" customHeight="1" s="78"/>
    <row r="375" ht="22" customHeight="1" s="78"/>
    <row r="376" ht="22" customHeight="1" s="78"/>
    <row r="377" ht="22" customHeight="1" s="78"/>
    <row r="378" ht="22" customHeight="1" s="78"/>
    <row r="379" ht="22" customHeight="1" s="78"/>
    <row r="380" ht="22" customHeight="1" s="78"/>
    <row r="381" ht="22" customHeight="1" s="78"/>
    <row r="382" ht="22" customHeight="1" s="78"/>
    <row r="383" ht="22" customHeight="1" s="78"/>
    <row r="384" ht="22" customHeight="1" s="78"/>
    <row r="385" ht="22" customHeight="1" s="78"/>
    <row r="386" ht="22" customHeight="1" s="78"/>
    <row r="387" ht="22" customHeight="1" s="78"/>
    <row r="388" ht="22" customHeight="1" s="78"/>
    <row r="389" ht="22" customHeight="1" s="78"/>
    <row r="390" ht="22" customHeight="1" s="78"/>
    <row r="391" ht="22" customHeight="1" s="78"/>
    <row r="392" ht="22" customHeight="1" s="78"/>
    <row r="393" ht="22" customHeight="1" s="78"/>
    <row r="394" ht="22" customHeight="1" s="78"/>
    <row r="395" ht="22" customHeight="1" s="78"/>
    <row r="396" ht="22" customHeight="1" s="78"/>
    <row r="397" ht="22" customHeight="1" s="78"/>
    <row r="398" ht="22" customHeight="1" s="78"/>
    <row r="399" ht="22" customHeight="1" s="78"/>
    <row r="400" ht="22" customHeight="1" s="78"/>
    <row r="401" ht="22" customHeight="1" s="78"/>
    <row r="402" ht="22" customHeight="1" s="78"/>
    <row r="403" ht="22" customHeight="1" s="78"/>
    <row r="404" ht="22" customHeight="1" s="78"/>
    <row r="405" ht="22" customHeight="1" s="78"/>
    <row r="406" ht="22" customHeight="1" s="78"/>
    <row r="407" ht="22" customHeight="1" s="78"/>
    <row r="408" ht="22" customHeight="1" s="78"/>
    <row r="409" ht="22" customHeight="1" s="78"/>
    <row r="410" ht="22" customHeight="1" s="78"/>
    <row r="411" ht="22" customHeight="1" s="78"/>
    <row r="412" ht="22" customHeight="1" s="78"/>
    <row r="413" ht="22" customHeight="1" s="78"/>
    <row r="414" ht="22" customHeight="1" s="78"/>
    <row r="415" ht="22" customHeight="1" s="78"/>
    <row r="416" ht="22" customHeight="1" s="78"/>
    <row r="417" ht="22" customHeight="1" s="78"/>
    <row r="418" ht="22" customHeight="1" s="78"/>
    <row r="419" ht="22" customHeight="1" s="78"/>
    <row r="420" ht="22" customHeight="1" s="78"/>
    <row r="421" ht="22" customHeight="1" s="78"/>
    <row r="422" ht="22" customHeight="1" s="78"/>
    <row r="423" ht="22" customHeight="1" s="78"/>
    <row r="424" ht="22" customHeight="1" s="78"/>
    <row r="425" ht="22" customHeight="1" s="78"/>
    <row r="426" ht="22" customHeight="1" s="78"/>
    <row r="427" ht="22" customHeight="1" s="78"/>
    <row r="428" ht="22" customHeight="1" s="78"/>
    <row r="429" ht="22" customHeight="1" s="78"/>
    <row r="430" ht="22" customHeight="1" s="78"/>
    <row r="431" ht="22" customHeight="1" s="78"/>
    <row r="432" ht="22" customHeight="1" s="78"/>
    <row r="433" ht="22" customHeight="1" s="78"/>
    <row r="434" ht="22" customHeight="1" s="78"/>
    <row r="435" ht="22" customHeight="1" s="78"/>
    <row r="436" ht="22" customHeight="1" s="78"/>
    <row r="437" ht="22" customHeight="1" s="78"/>
    <row r="438" ht="22" customHeight="1" s="78"/>
    <row r="439" ht="22" customHeight="1" s="78"/>
    <row r="440" ht="22" customHeight="1" s="78"/>
    <row r="441" ht="22" customHeight="1" s="78"/>
    <row r="442" ht="22" customHeight="1" s="78"/>
    <row r="443" ht="22" customHeight="1" s="78"/>
    <row r="444" ht="22" customHeight="1" s="78"/>
    <row r="445" ht="22" customHeight="1" s="78"/>
    <row r="446" ht="22" customHeight="1" s="78"/>
    <row r="447" ht="22" customHeight="1" s="78"/>
    <row r="448" ht="22" customHeight="1" s="78"/>
    <row r="449" ht="22" customHeight="1" s="78"/>
    <row r="450" ht="22" customHeight="1" s="78"/>
    <row r="451" ht="22" customHeight="1" s="78"/>
    <row r="452" ht="22" customHeight="1" s="78"/>
    <row r="453" ht="22" customHeight="1" s="78"/>
    <row r="454" ht="22" customHeight="1" s="78"/>
    <row r="455" ht="22" customHeight="1" s="78"/>
    <row r="456" ht="22" customHeight="1" s="78"/>
    <row r="457" ht="22" customHeight="1" s="78"/>
    <row r="458" ht="22" customHeight="1" s="78"/>
    <row r="459" ht="22" customHeight="1" s="78"/>
    <row r="460" ht="22" customHeight="1" s="78"/>
    <row r="461" ht="22" customHeight="1" s="78"/>
    <row r="462" ht="22" customHeight="1" s="78"/>
    <row r="463" ht="22" customHeight="1" s="78"/>
    <row r="464" ht="22" customHeight="1" s="78"/>
    <row r="465" ht="22" customHeight="1" s="78"/>
    <row r="466" ht="22" customHeight="1" s="78"/>
    <row r="467" ht="22" customHeight="1" s="78"/>
    <row r="468" ht="22" customHeight="1" s="78"/>
    <row r="469" ht="22" customHeight="1" s="78"/>
    <row r="470" ht="22" customHeight="1" s="78"/>
    <row r="471" ht="22" customHeight="1" s="78"/>
    <row r="472" ht="22" customHeight="1" s="78"/>
    <row r="473" ht="22" customHeight="1" s="78"/>
    <row r="474" ht="22" customHeight="1" s="78"/>
    <row r="475" ht="22" customHeight="1" s="78"/>
    <row r="476" ht="22" customHeight="1" s="78"/>
    <row r="477" ht="22" customHeight="1" s="78"/>
    <row r="478" ht="22" customHeight="1" s="78"/>
    <row r="479" ht="22" customHeight="1" s="78"/>
    <row r="480" ht="22" customHeight="1" s="78"/>
    <row r="481" ht="22" customHeight="1" s="78"/>
    <row r="482" ht="22" customHeight="1" s="78"/>
    <row r="483" ht="22" customHeight="1" s="78"/>
    <row r="484" ht="22" customHeight="1" s="78"/>
    <row r="485" ht="22" customHeight="1" s="78"/>
    <row r="486" ht="22" customHeight="1" s="78"/>
    <row r="487" ht="22" customHeight="1" s="78"/>
    <row r="488" ht="22" customHeight="1" s="78"/>
    <row r="489" ht="22" customHeight="1" s="78"/>
    <row r="490" ht="22" customHeight="1" s="78"/>
    <row r="491" ht="22" customHeight="1" s="78"/>
    <row r="492" ht="22" customHeight="1" s="78"/>
    <row r="493" ht="22" customHeight="1" s="78"/>
    <row r="494" ht="22" customHeight="1" s="78"/>
    <row r="495" ht="22" customHeight="1" s="78"/>
    <row r="496" ht="22" customHeight="1" s="78"/>
    <row r="497" ht="22" customHeight="1" s="78"/>
    <row r="498" ht="22" customHeight="1" s="78"/>
    <row r="499" ht="22" customHeight="1" s="78"/>
    <row r="500" ht="22" customHeight="1" s="78"/>
    <row r="501" ht="22" customHeight="1" s="78"/>
    <row r="502" ht="22" customHeight="1" s="78"/>
    <row r="503" ht="22" customHeight="1" s="78"/>
    <row r="504" ht="22" customHeight="1" s="78"/>
    <row r="505" ht="22" customHeight="1" s="78"/>
    <row r="506" ht="22" customHeight="1" s="78"/>
    <row r="507" ht="22" customHeight="1" s="78"/>
    <row r="508" ht="22" customHeight="1" s="78"/>
    <row r="509" ht="22" customHeight="1" s="78"/>
    <row r="510" ht="22" customHeight="1" s="78"/>
    <row r="511" ht="22" customHeight="1" s="78"/>
    <row r="512" ht="22" customHeight="1" s="78"/>
    <row r="513" ht="22" customHeight="1" s="78"/>
    <row r="514" ht="22" customHeight="1" s="78"/>
    <row r="515" ht="22" customHeight="1" s="78"/>
    <row r="516" ht="22" customHeight="1" s="78"/>
    <row r="517" ht="22" customHeight="1" s="78"/>
    <row r="518" ht="22" customHeight="1" s="78"/>
    <row r="519" ht="22" customHeight="1" s="78"/>
    <row r="520" ht="22" customHeight="1" s="78"/>
    <row r="521" ht="22" customHeight="1" s="78"/>
    <row r="522" ht="22" customHeight="1" s="78"/>
    <row r="523" ht="22" customHeight="1" s="78"/>
    <row r="524" ht="22" customHeight="1" s="78"/>
    <row r="525" ht="22" customHeight="1" s="78"/>
    <row r="526" ht="22" customHeight="1" s="78"/>
    <row r="527" ht="22" customHeight="1" s="78"/>
    <row r="528" ht="22" customHeight="1" s="78"/>
    <row r="529" ht="22" customHeight="1" s="78"/>
    <row r="530" ht="22" customHeight="1" s="78"/>
    <row r="531" ht="22" customHeight="1" s="78"/>
    <row r="532" ht="22" customHeight="1" s="78"/>
    <row r="533" ht="22" customHeight="1" s="78"/>
    <row r="534" ht="22" customHeight="1" s="78"/>
    <row r="535" ht="22" customHeight="1" s="78"/>
    <row r="536" ht="22" customHeight="1" s="78"/>
    <row r="537" ht="22" customHeight="1" s="78"/>
    <row r="538" ht="22" customHeight="1" s="78"/>
    <row r="539" ht="22" customHeight="1" s="78"/>
    <row r="540" ht="22" customHeight="1" s="78"/>
    <row r="541" ht="22" customHeight="1" s="78"/>
    <row r="542" ht="22" customHeight="1" s="78"/>
    <row r="543" ht="22" customHeight="1" s="78"/>
    <row r="544" ht="22" customHeight="1" s="78"/>
    <row r="545" ht="22" customHeight="1" s="78"/>
    <row r="546" ht="22" customHeight="1" s="78"/>
    <row r="547" ht="22" customHeight="1" s="78"/>
    <row r="548" ht="22" customHeight="1" s="78"/>
    <row r="549" ht="22" customHeight="1" s="78"/>
    <row r="550" ht="22" customHeight="1" s="78"/>
    <row r="551" ht="22" customHeight="1" s="78"/>
    <row r="552" ht="22" customHeight="1" s="78"/>
    <row r="553" ht="22" customHeight="1" s="78"/>
    <row r="554" ht="22" customHeight="1" s="78"/>
    <row r="555" ht="22" customHeight="1" s="78"/>
    <row r="556" ht="22" customHeight="1" s="78"/>
    <row r="557" ht="22" customHeight="1" s="78"/>
    <row r="558" ht="22" customHeight="1" s="78"/>
    <row r="559" ht="22" customHeight="1" s="78"/>
    <row r="560" ht="22" customHeight="1" s="78"/>
    <row r="561" ht="22" customHeight="1" s="78"/>
    <row r="562" ht="22" customHeight="1" s="78"/>
    <row r="563" ht="22" customHeight="1" s="78"/>
    <row r="564" ht="22" customHeight="1" s="78"/>
    <row r="565" ht="22" customHeight="1" s="78"/>
    <row r="566" ht="22" customHeight="1" s="78"/>
    <row r="567" ht="22" customHeight="1" s="78"/>
    <row r="568" ht="22" customHeight="1" s="78"/>
    <row r="569" ht="22" customHeight="1" s="78"/>
    <row r="570" ht="22" customHeight="1" s="78"/>
    <row r="571" ht="22" customHeight="1" s="78"/>
    <row r="572" ht="22" customHeight="1" s="78"/>
    <row r="573" ht="22" customHeight="1" s="78"/>
    <row r="574" ht="22" customHeight="1" s="78"/>
    <row r="575" ht="22" customHeight="1" s="78"/>
    <row r="576" ht="22" customHeight="1" s="78"/>
    <row r="577" ht="22" customHeight="1" s="78"/>
    <row r="578" ht="22" customHeight="1" s="78"/>
    <row r="579" ht="22" customHeight="1" s="78"/>
    <row r="580" ht="22" customHeight="1" s="78"/>
    <row r="581" ht="22" customHeight="1" s="78"/>
    <row r="582" ht="22" customHeight="1" s="78"/>
    <row r="583" ht="22" customHeight="1" s="78"/>
    <row r="584" ht="22" customHeight="1" s="78"/>
    <row r="585" ht="22" customHeight="1" s="78"/>
    <row r="586" ht="22" customHeight="1" s="78"/>
    <row r="587" ht="22" customHeight="1" s="78"/>
    <row r="588" ht="22" customHeight="1" s="78"/>
    <row r="589" ht="22" customHeight="1" s="78"/>
    <row r="590" ht="22" customHeight="1" s="78"/>
    <row r="591" ht="22" customHeight="1" s="78"/>
    <row r="592" ht="22" customHeight="1" s="78"/>
    <row r="593" ht="22" customHeight="1" s="78"/>
    <row r="594" ht="22" customHeight="1" s="78"/>
    <row r="595" ht="22" customHeight="1" s="78"/>
    <row r="596" ht="22" customHeight="1" s="78"/>
    <row r="597" ht="22" customHeight="1" s="78"/>
    <row r="598" ht="22" customHeight="1" s="78"/>
    <row r="599" ht="22" customHeight="1" s="78"/>
    <row r="600" ht="22" customHeight="1" s="78"/>
    <row r="601" ht="22" customHeight="1" s="78"/>
    <row r="602" ht="22" customHeight="1" s="78"/>
    <row r="603" ht="22" customHeight="1" s="78"/>
    <row r="604" ht="22" customHeight="1" s="78"/>
    <row r="605" ht="22" customHeight="1" s="78"/>
    <row r="606" ht="22" customHeight="1" s="78"/>
    <row r="607" ht="22" customHeight="1" s="78"/>
    <row r="608" ht="22" customHeight="1" s="78"/>
    <row r="609" ht="22" customHeight="1" s="78"/>
    <row r="610" ht="22" customHeight="1" s="78"/>
    <row r="611" ht="22" customHeight="1" s="78"/>
    <row r="612" ht="22" customHeight="1" s="78"/>
    <row r="613" ht="22" customHeight="1" s="78"/>
    <row r="614" ht="22" customHeight="1" s="78"/>
    <row r="615" ht="22" customHeight="1" s="78"/>
    <row r="616" ht="22" customHeight="1" s="78"/>
    <row r="617" ht="22" customHeight="1" s="78"/>
    <row r="618" ht="22" customHeight="1" s="78"/>
    <row r="619" ht="22" customHeight="1" s="78"/>
    <row r="620" ht="22" customHeight="1" s="78"/>
    <row r="621" ht="22" customHeight="1" s="78"/>
    <row r="622" ht="22" customHeight="1" s="78"/>
    <row r="623" ht="22" customHeight="1" s="78"/>
    <row r="624" ht="22" customHeight="1" s="78"/>
    <row r="625" ht="22" customHeight="1" s="78"/>
    <row r="626" ht="22" customHeight="1" s="78"/>
    <row r="627" ht="22" customHeight="1" s="78"/>
    <row r="628" ht="22" customHeight="1" s="78"/>
    <row r="629" ht="22" customHeight="1" s="78"/>
    <row r="630" ht="22" customHeight="1" s="78"/>
    <row r="631" ht="22" customHeight="1" s="78"/>
    <row r="632" ht="22" customHeight="1" s="78"/>
    <row r="633" ht="22" customHeight="1" s="78"/>
    <row r="634" ht="22" customHeight="1" s="78"/>
    <row r="635" ht="22" customHeight="1" s="78"/>
    <row r="636" ht="22" customHeight="1" s="78"/>
    <row r="637" ht="22" customHeight="1" s="78"/>
    <row r="638" ht="22" customHeight="1" s="78"/>
    <row r="639" ht="22" customHeight="1" s="78"/>
    <row r="640" ht="22" customHeight="1" s="78"/>
    <row r="641" ht="22" customHeight="1" s="78"/>
    <row r="642" ht="22" customHeight="1" s="78"/>
    <row r="643" ht="22" customHeight="1" s="78"/>
    <row r="644" ht="22" customHeight="1" s="78"/>
    <row r="645" ht="22" customHeight="1" s="78"/>
    <row r="646" ht="22" customHeight="1" s="78"/>
    <row r="647" ht="22" customHeight="1" s="78"/>
    <row r="648" ht="22" customHeight="1" s="78"/>
    <row r="649" ht="22" customHeight="1" s="78"/>
    <row r="650" ht="22" customHeight="1" s="78"/>
    <row r="651" ht="22" customHeight="1" s="78"/>
    <row r="652" ht="22" customHeight="1" s="78"/>
    <row r="653" ht="22" customHeight="1" s="78"/>
    <row r="654" ht="22" customHeight="1" s="78"/>
    <row r="655" ht="22" customHeight="1" s="78"/>
    <row r="656" ht="22" customHeight="1" s="78"/>
    <row r="657" ht="22" customHeight="1" s="78"/>
    <row r="658" ht="22" customHeight="1" s="78"/>
    <row r="659" ht="22" customHeight="1" s="78"/>
    <row r="660" ht="22" customHeight="1" s="78"/>
    <row r="661" ht="22" customHeight="1" s="78"/>
    <row r="662" ht="22" customHeight="1" s="78"/>
    <row r="663" ht="22" customHeight="1" s="78"/>
    <row r="664" ht="22" customHeight="1" s="78"/>
    <row r="665" ht="22" customHeight="1" s="78"/>
    <row r="666" ht="22" customHeight="1" s="78"/>
    <row r="667" ht="22" customHeight="1" s="78"/>
    <row r="668" ht="22" customHeight="1" s="78"/>
    <row r="669" ht="22" customHeight="1" s="78"/>
    <row r="670" ht="22" customHeight="1" s="78"/>
    <row r="671" ht="22" customHeight="1" s="78"/>
    <row r="672" ht="22" customHeight="1" s="78"/>
    <row r="673" ht="22" customHeight="1" s="78"/>
    <row r="674" ht="22" customHeight="1" s="78"/>
    <row r="675" ht="22" customHeight="1" s="78"/>
    <row r="676" ht="22" customHeight="1" s="78"/>
    <row r="677" ht="22" customHeight="1" s="78"/>
    <row r="678" ht="22" customHeight="1" s="78"/>
    <row r="679" ht="22" customHeight="1" s="78"/>
    <row r="680" ht="22" customHeight="1" s="78"/>
    <row r="681" ht="22" customHeight="1" s="78"/>
    <row r="682" ht="22" customHeight="1" s="78"/>
    <row r="683" ht="22" customHeight="1" s="78"/>
    <row r="684" ht="22" customHeight="1" s="78"/>
    <row r="685" ht="22" customHeight="1" s="78"/>
    <row r="686" ht="22" customHeight="1" s="78"/>
    <row r="687" ht="22" customHeight="1" s="78"/>
    <row r="688" ht="22" customHeight="1" s="78"/>
    <row r="689" ht="22" customHeight="1" s="78"/>
    <row r="690" ht="22" customHeight="1" s="78"/>
    <row r="691" ht="22" customHeight="1" s="78"/>
    <row r="692" ht="22" customHeight="1" s="78"/>
    <row r="693" ht="22" customHeight="1" s="78"/>
    <row r="694" ht="22" customHeight="1" s="78"/>
    <row r="695" ht="22" customHeight="1" s="78"/>
    <row r="696" ht="22" customHeight="1" s="78"/>
    <row r="697" ht="22" customHeight="1" s="78"/>
    <row r="698" ht="22" customHeight="1" s="78"/>
    <row r="699" ht="22" customHeight="1" s="78"/>
    <row r="700" ht="22" customHeight="1" s="78"/>
    <row r="701" ht="22" customHeight="1" s="78"/>
    <row r="702" ht="22" customHeight="1" s="78"/>
    <row r="703" ht="22" customHeight="1" s="78"/>
    <row r="704" ht="22" customHeight="1" s="78"/>
    <row r="705" ht="22" customHeight="1" s="78"/>
    <row r="706" ht="22" customHeight="1" s="78"/>
    <row r="707" ht="22" customHeight="1" s="78"/>
    <row r="708" ht="22" customHeight="1" s="78"/>
    <row r="709" ht="22" customHeight="1" s="78"/>
    <row r="710" ht="22" customHeight="1" s="78"/>
    <row r="711" ht="22" customHeight="1" s="78"/>
    <row r="712" ht="22" customHeight="1" s="78"/>
    <row r="713" ht="22" customHeight="1" s="78"/>
    <row r="714" ht="22" customHeight="1" s="78"/>
    <row r="715" ht="22" customHeight="1" s="78"/>
    <row r="716" ht="22" customHeight="1" s="78"/>
    <row r="717" ht="22" customHeight="1" s="78"/>
    <row r="718" ht="22" customHeight="1" s="78"/>
    <row r="719" ht="22" customHeight="1" s="78"/>
    <row r="720" ht="22" customHeight="1" s="78"/>
    <row r="721" ht="22" customHeight="1" s="78"/>
    <row r="722" ht="22" customHeight="1" s="78"/>
    <row r="723" ht="22" customHeight="1" s="78"/>
    <row r="724" ht="22" customHeight="1" s="78"/>
    <row r="725" ht="22" customHeight="1" s="78"/>
    <row r="726" ht="22" customHeight="1" s="78"/>
    <row r="727" ht="22" customHeight="1" s="78"/>
    <row r="728" ht="22" customHeight="1" s="78"/>
    <row r="729" ht="22" customHeight="1" s="78"/>
    <row r="730" ht="22" customHeight="1" s="78"/>
    <row r="731" ht="22" customHeight="1" s="78"/>
    <row r="732" ht="22" customHeight="1" s="78"/>
    <row r="733" ht="22" customHeight="1" s="78"/>
    <row r="734" ht="22" customHeight="1" s="78"/>
    <row r="735" ht="22" customHeight="1" s="78"/>
    <row r="736" ht="22" customHeight="1" s="78"/>
    <row r="737" ht="22" customHeight="1" s="78"/>
    <row r="738" ht="22" customHeight="1" s="78"/>
    <row r="739" ht="22" customHeight="1" s="78"/>
    <row r="740" ht="22" customHeight="1" s="78"/>
    <row r="741" ht="22" customHeight="1" s="78"/>
    <row r="742" ht="22" customHeight="1" s="78"/>
    <row r="743" ht="22" customHeight="1" s="78"/>
    <row r="744" ht="22" customHeight="1" s="78"/>
    <row r="745" ht="22" customHeight="1" s="78"/>
    <row r="746" ht="22" customHeight="1" s="78"/>
    <row r="747" ht="22" customHeight="1" s="78"/>
    <row r="748" ht="22" customHeight="1" s="78"/>
    <row r="749" ht="22" customHeight="1" s="78"/>
    <row r="750" ht="22" customHeight="1" s="78"/>
    <row r="751" ht="22" customHeight="1" s="78"/>
    <row r="752" ht="22" customHeight="1" s="78"/>
    <row r="753" ht="22" customHeight="1" s="78"/>
    <row r="754" ht="22" customHeight="1" s="78"/>
    <row r="755" ht="22" customHeight="1" s="78"/>
    <row r="756" ht="22" customHeight="1" s="78"/>
    <row r="757" ht="22" customHeight="1" s="78"/>
    <row r="758" ht="22" customHeight="1" s="78"/>
    <row r="759" ht="22" customHeight="1" s="78"/>
    <row r="760" ht="22" customHeight="1" s="78"/>
    <row r="761" ht="22" customHeight="1" s="78"/>
    <row r="762" ht="22" customHeight="1" s="78"/>
    <row r="763" ht="22" customHeight="1" s="78"/>
    <row r="764" ht="22" customHeight="1" s="78"/>
    <row r="765" ht="22" customHeight="1" s="78"/>
    <row r="766" ht="22" customHeight="1" s="78"/>
    <row r="767" ht="22" customHeight="1" s="78"/>
    <row r="768" ht="22" customHeight="1" s="78"/>
    <row r="769" ht="22" customHeight="1" s="78"/>
    <row r="770" ht="22" customHeight="1" s="78"/>
    <row r="771" ht="22" customHeight="1" s="78"/>
    <row r="772" ht="22" customHeight="1" s="78"/>
    <row r="773" ht="22" customHeight="1" s="78"/>
    <row r="774" ht="22" customHeight="1" s="78"/>
    <row r="775" ht="22" customHeight="1" s="78"/>
    <row r="776" ht="22" customHeight="1" s="78"/>
    <row r="777" ht="22" customHeight="1" s="78"/>
    <row r="778" ht="22" customHeight="1" s="78"/>
    <row r="779" ht="22" customHeight="1" s="78"/>
    <row r="780" ht="22" customHeight="1" s="78"/>
    <row r="781" ht="22" customHeight="1" s="78"/>
    <row r="782" ht="22" customHeight="1" s="78"/>
    <row r="783" ht="22" customHeight="1" s="78"/>
    <row r="784" ht="22" customHeight="1" s="78"/>
    <row r="785" ht="22" customHeight="1" s="78"/>
    <row r="786" ht="22" customHeight="1" s="78"/>
    <row r="787" ht="22" customHeight="1" s="78"/>
    <row r="788" ht="22" customHeight="1" s="78"/>
    <row r="789" ht="22" customHeight="1" s="78"/>
    <row r="790" ht="22" customHeight="1" s="78"/>
    <row r="791" ht="22" customHeight="1" s="78"/>
    <row r="792" ht="22" customHeight="1" s="78"/>
    <row r="793" ht="22" customHeight="1" s="78"/>
    <row r="794" ht="22" customHeight="1" s="78"/>
    <row r="795" ht="22" customHeight="1" s="78"/>
    <row r="796" ht="22" customHeight="1" s="78"/>
    <row r="797" ht="22" customHeight="1" s="78"/>
    <row r="798" ht="22" customHeight="1" s="78"/>
    <row r="799" ht="22" customHeight="1" s="78"/>
    <row r="800" ht="22" customHeight="1" s="78"/>
    <row r="801" ht="22" customHeight="1" s="78"/>
    <row r="802" ht="22" customHeight="1" s="78"/>
    <row r="803" ht="22" customHeight="1" s="78"/>
    <row r="804" ht="22" customHeight="1" s="78"/>
    <row r="805" ht="22" customHeight="1" s="78"/>
    <row r="806" ht="22" customHeight="1" s="78"/>
    <row r="807" ht="22" customHeight="1" s="78"/>
    <row r="808" ht="22" customHeight="1" s="78"/>
    <row r="809" ht="22" customHeight="1" s="78"/>
    <row r="810" ht="22" customHeight="1" s="78"/>
    <row r="811" ht="22" customHeight="1" s="78"/>
    <row r="812" ht="22" customHeight="1" s="78"/>
    <row r="813" ht="22" customHeight="1" s="78"/>
    <row r="814" ht="22" customHeight="1" s="78"/>
    <row r="815" ht="22" customHeight="1" s="78"/>
    <row r="816" ht="22" customHeight="1" s="78"/>
    <row r="817" ht="22" customHeight="1" s="78"/>
    <row r="818" ht="22" customHeight="1" s="78"/>
    <row r="819" ht="22" customHeight="1" s="78"/>
    <row r="820" ht="22" customHeight="1" s="78"/>
    <row r="821" ht="22" customHeight="1" s="78"/>
    <row r="822" ht="22" customHeight="1" s="78"/>
    <row r="823" ht="22" customHeight="1" s="78"/>
    <row r="824" ht="22" customHeight="1" s="78"/>
    <row r="825" ht="22" customHeight="1" s="78"/>
    <row r="826" ht="22" customHeight="1" s="78"/>
    <row r="827" ht="22" customHeight="1" s="78"/>
    <row r="828" ht="22" customHeight="1" s="78"/>
    <row r="829" ht="22" customHeight="1" s="78"/>
    <row r="830" ht="22" customHeight="1" s="78"/>
    <row r="831" ht="22" customHeight="1" s="78"/>
    <row r="832" ht="22" customHeight="1" s="78"/>
    <row r="833" ht="22" customHeight="1" s="78"/>
    <row r="834" ht="22" customHeight="1" s="78"/>
    <row r="835" ht="22" customHeight="1" s="78"/>
    <row r="836" ht="22" customHeight="1" s="78"/>
    <row r="837" ht="22" customHeight="1" s="78"/>
    <row r="838" ht="22" customHeight="1" s="78"/>
    <row r="839" ht="22" customHeight="1" s="78"/>
    <row r="840" ht="22" customHeight="1" s="78"/>
    <row r="841" ht="22" customHeight="1" s="78"/>
    <row r="842" ht="22" customHeight="1" s="78"/>
    <row r="843" ht="22" customHeight="1" s="78"/>
    <row r="844" ht="22" customHeight="1" s="78"/>
    <row r="845" ht="22" customHeight="1" s="78"/>
    <row r="846" ht="22" customHeight="1" s="78"/>
    <row r="847" ht="22" customHeight="1" s="78"/>
    <row r="848" ht="22" customHeight="1" s="78"/>
    <row r="849" ht="22" customHeight="1" s="78"/>
    <row r="850" ht="22" customHeight="1" s="78"/>
    <row r="851" ht="22" customHeight="1" s="78"/>
    <row r="852" ht="22" customHeight="1" s="78"/>
    <row r="853" ht="22" customHeight="1" s="78"/>
    <row r="854" ht="22" customHeight="1" s="78"/>
    <row r="855" ht="22" customHeight="1" s="78"/>
    <row r="856" ht="22" customHeight="1" s="78"/>
    <row r="857" ht="22" customHeight="1" s="78"/>
    <row r="858" ht="22" customHeight="1" s="78"/>
    <row r="859" ht="22" customHeight="1" s="78"/>
    <row r="860" ht="22" customHeight="1" s="78"/>
    <row r="861" ht="22" customHeight="1" s="78"/>
    <row r="862" ht="22" customHeight="1" s="78"/>
    <row r="863" ht="22" customHeight="1" s="78"/>
    <row r="864" ht="22" customHeight="1" s="78"/>
    <row r="865" ht="22" customHeight="1" s="78"/>
    <row r="866" ht="22" customHeight="1" s="78"/>
    <row r="867" ht="22" customHeight="1" s="78"/>
    <row r="868" ht="22" customHeight="1" s="78"/>
    <row r="869" ht="22" customHeight="1" s="78"/>
    <row r="870" ht="22" customHeight="1" s="78"/>
    <row r="871" ht="22" customHeight="1" s="78"/>
    <row r="872" ht="22" customHeight="1" s="78"/>
    <row r="873" ht="22" customHeight="1" s="78"/>
    <row r="874" ht="22" customHeight="1" s="78"/>
    <row r="875" ht="22" customHeight="1" s="78"/>
    <row r="876" ht="22" customHeight="1" s="78"/>
    <row r="877" ht="22" customHeight="1" s="78"/>
    <row r="878" ht="22" customHeight="1" s="78"/>
    <row r="879" ht="22" customHeight="1" s="78"/>
    <row r="880" ht="22" customHeight="1" s="78"/>
    <row r="881" ht="22" customHeight="1" s="78"/>
    <row r="882" ht="22" customHeight="1" s="78"/>
    <row r="883" ht="22" customHeight="1" s="78"/>
    <row r="884" ht="22" customHeight="1" s="78"/>
    <row r="885" ht="22" customHeight="1" s="78"/>
    <row r="886" ht="22" customHeight="1" s="78"/>
    <row r="887" ht="22" customHeight="1" s="78"/>
    <row r="888" ht="22" customHeight="1" s="78"/>
    <row r="889" ht="22" customHeight="1" s="78"/>
    <row r="890" ht="22" customHeight="1" s="78"/>
    <row r="891" ht="22" customHeight="1" s="78"/>
    <row r="892" ht="22" customHeight="1" s="78"/>
    <row r="893" ht="22" customHeight="1" s="78"/>
    <row r="894" ht="22" customHeight="1" s="78"/>
    <row r="895" ht="22" customHeight="1" s="78"/>
    <row r="896" ht="22" customHeight="1" s="78"/>
    <row r="897" ht="22" customHeight="1" s="78"/>
    <row r="898" ht="22" customHeight="1" s="78"/>
    <row r="899" ht="22" customHeight="1" s="78"/>
    <row r="900" ht="22" customHeight="1" s="78"/>
    <row r="901" ht="22" customHeight="1" s="78"/>
    <row r="902" ht="22" customHeight="1" s="78"/>
    <row r="903" ht="22" customHeight="1" s="78"/>
    <row r="904" ht="22" customHeight="1" s="78"/>
    <row r="905" ht="22" customHeight="1" s="78"/>
    <row r="906" ht="22" customHeight="1" s="78"/>
    <row r="907" ht="22" customHeight="1" s="78"/>
    <row r="908" ht="22" customHeight="1" s="78"/>
    <row r="909" ht="22" customHeight="1" s="78"/>
    <row r="910" ht="22" customHeight="1" s="78"/>
    <row r="911" ht="22" customHeight="1" s="78"/>
    <row r="912" ht="22" customHeight="1" s="78"/>
    <row r="913" ht="22" customHeight="1" s="78"/>
    <row r="914" ht="22" customHeight="1" s="78"/>
    <row r="915" ht="22" customHeight="1" s="78"/>
    <row r="916" ht="22" customHeight="1" s="78"/>
    <row r="917" ht="22" customHeight="1" s="78"/>
    <row r="918" ht="22" customHeight="1" s="78"/>
    <row r="919" ht="22" customHeight="1" s="78"/>
    <row r="920" ht="22" customHeight="1" s="78"/>
    <row r="921" ht="22" customHeight="1" s="78"/>
    <row r="922" ht="22" customHeight="1" s="78"/>
    <row r="923" ht="22" customHeight="1" s="78"/>
    <row r="924" ht="22" customHeight="1" s="78"/>
    <row r="925" ht="22" customHeight="1" s="78"/>
    <row r="926" ht="22" customHeight="1" s="78"/>
    <row r="927" ht="22" customHeight="1" s="78"/>
    <row r="928" ht="22" customHeight="1" s="78"/>
    <row r="929" ht="22" customHeight="1" s="78"/>
    <row r="930" ht="22" customHeight="1" s="78"/>
    <row r="931" ht="22" customHeight="1" s="78"/>
    <row r="932" ht="22" customHeight="1" s="78"/>
    <row r="933" ht="22" customHeight="1" s="78"/>
    <row r="934" ht="22" customHeight="1" s="78"/>
    <row r="935" ht="22" customHeight="1" s="78"/>
    <row r="936" ht="22" customHeight="1" s="78"/>
    <row r="937" ht="22" customHeight="1" s="78"/>
    <row r="938" ht="22" customHeight="1" s="78"/>
    <row r="939" ht="22" customHeight="1" s="78"/>
    <row r="940" ht="22" customHeight="1" s="78"/>
    <row r="941" ht="22" customHeight="1" s="78"/>
    <row r="942" ht="22" customHeight="1" s="78"/>
    <row r="943" ht="22" customHeight="1" s="78"/>
    <row r="944" ht="22" customHeight="1" s="78"/>
    <row r="945" ht="22" customHeight="1" s="78"/>
    <row r="946" ht="22" customHeight="1" s="78"/>
    <row r="947" ht="22" customHeight="1" s="78"/>
    <row r="948" ht="22" customHeight="1" s="78"/>
    <row r="949" ht="22" customHeight="1" s="78"/>
    <row r="950" ht="22" customHeight="1" s="78"/>
    <row r="951" ht="22" customHeight="1" s="78"/>
    <row r="952" ht="22" customHeight="1" s="78"/>
    <row r="953" ht="22" customHeight="1" s="78"/>
    <row r="954" ht="22" customHeight="1" s="78"/>
    <row r="955" ht="22" customHeight="1" s="78"/>
    <row r="956" ht="22" customHeight="1" s="78"/>
    <row r="957" ht="22" customHeight="1" s="78"/>
    <row r="958" ht="22" customHeight="1" s="78"/>
    <row r="959" ht="22" customHeight="1" s="78"/>
    <row r="960" ht="22" customHeight="1" s="78"/>
    <row r="961" ht="22" customHeight="1" s="78"/>
    <row r="962" ht="22" customHeight="1" s="78"/>
    <row r="963" ht="22" customHeight="1" s="78"/>
    <row r="964" ht="22" customHeight="1" s="78"/>
    <row r="965" ht="22" customHeight="1" s="78"/>
    <row r="966" ht="22" customHeight="1" s="78"/>
    <row r="967" ht="22" customHeight="1" s="78"/>
    <row r="968" ht="22" customHeight="1" s="78"/>
    <row r="969" ht="22" customHeight="1" s="78"/>
    <row r="970" ht="22" customHeight="1" s="78"/>
    <row r="971" ht="22" customHeight="1" s="78"/>
    <row r="972" ht="22" customHeight="1" s="78"/>
    <row r="973" ht="22" customHeight="1" s="78"/>
    <row r="974" ht="22" customHeight="1" s="78"/>
    <row r="975" ht="22" customHeight="1" s="78"/>
    <row r="976" ht="22" customHeight="1" s="78"/>
    <row r="977" ht="22" customHeight="1" s="78"/>
    <row r="978" ht="22" customHeight="1" s="78"/>
    <row r="979" ht="22" customHeight="1" s="78"/>
    <row r="980" ht="22" customHeight="1" s="78"/>
    <row r="981" ht="22" customHeight="1" s="78"/>
    <row r="982" ht="22" customHeight="1" s="78"/>
    <row r="983" ht="22" customHeight="1" s="78"/>
    <row r="984" ht="22" customHeight="1" s="78"/>
    <row r="985" ht="22" customHeight="1" s="78"/>
    <row r="986" ht="22" customHeight="1" s="78"/>
    <row r="987" ht="22" customHeight="1" s="78"/>
    <row r="988" ht="22" customHeight="1" s="78"/>
    <row r="989" ht="22" customHeight="1" s="78"/>
    <row r="990" ht="22" customHeight="1" s="78"/>
    <row r="991" ht="22" customHeight="1" s="78"/>
    <row r="992" ht="22" customHeight="1" s="78"/>
    <row r="993" ht="22" customHeight="1" s="78"/>
    <row r="994" ht="22" customHeight="1" s="78"/>
    <row r="995" ht="22" customHeight="1" s="78"/>
    <row r="996" ht="22" customHeight="1" s="78"/>
    <row r="997" ht="22" customHeight="1" s="78"/>
    <row r="998" ht="22" customHeight="1" s="78"/>
    <row r="999" ht="22" customHeight="1" s="78"/>
    <row r="1000" ht="22" customHeight="1" s="78"/>
    <row r="1001" ht="22" customHeight="1" s="78"/>
    <row r="1002" ht="22" customHeight="1" s="78"/>
    <row r="1003" ht="22" customHeight="1" s="78"/>
    <row r="1004" ht="22" customHeight="1" s="78"/>
    <row r="1005" ht="22" customHeight="1" s="78"/>
    <row r="1006" ht="22" customHeight="1" s="78"/>
    <row r="1007" ht="22" customHeight="1" s="78"/>
    <row r="1008" ht="22" customHeight="1" s="78"/>
    <row r="1009" ht="22" customHeight="1" s="78"/>
    <row r="1010" ht="22" customHeight="1" s="78"/>
    <row r="1011" ht="22" customHeight="1" s="78"/>
    <row r="1012" ht="22" customHeight="1" s="78"/>
    <row r="1013" ht="22" customHeight="1" s="78"/>
    <row r="1014" ht="22" customHeight="1" s="78"/>
    <row r="1015" ht="22" customHeight="1" s="78"/>
    <row r="1016" ht="22" customHeight="1" s="78"/>
    <row r="1017" ht="22" customHeight="1" s="78"/>
    <row r="1018" ht="22" customHeight="1" s="78"/>
    <row r="1019" ht="22" customHeight="1" s="78"/>
    <row r="1020" ht="22" customHeight="1" s="78"/>
    <row r="1021" ht="22" customHeight="1" s="78"/>
    <row r="1022" ht="22" customHeight="1" s="78"/>
    <row r="1023" ht="22" customHeight="1" s="78"/>
    <row r="1024" ht="22" customHeight="1" s="78"/>
    <row r="1025" ht="22" customHeight="1" s="78"/>
    <row r="1026" ht="22" customHeight="1" s="78"/>
    <row r="1027" ht="22" customHeight="1" s="78"/>
    <row r="1028" ht="22" customHeight="1" s="78"/>
    <row r="1029" ht="22" customHeight="1" s="78"/>
    <row r="1030" ht="22" customHeight="1" s="78"/>
    <row r="1031" ht="22" customHeight="1" s="78"/>
    <row r="1032" ht="22" customHeight="1" s="78"/>
    <row r="1033" ht="22" customHeight="1" s="78"/>
    <row r="1034" ht="22" customHeight="1" s="78"/>
    <row r="1035" ht="22" customHeight="1" s="78"/>
    <row r="1036" ht="22" customHeight="1" s="78"/>
    <row r="1037" ht="22" customHeight="1" s="78"/>
    <row r="1038" ht="22" customHeight="1" s="78"/>
    <row r="1039" ht="22" customHeight="1" s="78"/>
    <row r="1040" ht="22" customHeight="1" s="78"/>
    <row r="1041" ht="22" customHeight="1" s="78"/>
    <row r="1042" ht="22" customHeight="1" s="78"/>
    <row r="1043" ht="22" customHeight="1" s="78"/>
    <row r="1044" ht="22" customHeight="1" s="78"/>
    <row r="1045" ht="22" customHeight="1" s="78"/>
    <row r="1046" ht="22" customHeight="1" s="78"/>
    <row r="1047" ht="22" customHeight="1" s="78"/>
    <row r="1048" ht="22" customHeight="1" s="78"/>
    <row r="1049" ht="22" customHeight="1" s="78"/>
    <row r="1050" ht="22" customHeight="1" s="78"/>
    <row r="1051" ht="22" customHeight="1" s="78"/>
    <row r="1052" ht="22" customHeight="1" s="78"/>
    <row r="1053" ht="22" customHeight="1" s="78"/>
    <row r="1054" ht="22" customHeight="1" s="78"/>
    <row r="1055" ht="22" customHeight="1" s="78"/>
    <row r="1056" ht="22" customHeight="1" s="78"/>
    <row r="1057" ht="22" customHeight="1" s="78"/>
    <row r="1058" ht="22" customHeight="1" s="78"/>
    <row r="1059" ht="22" customHeight="1" s="78"/>
    <row r="1060" ht="22" customHeight="1" s="78"/>
    <row r="1061" ht="22" customHeight="1" s="78"/>
    <row r="1062" ht="22" customHeight="1" s="78"/>
    <row r="1063" ht="22" customHeight="1" s="78"/>
    <row r="1064" ht="22" customHeight="1" s="78"/>
    <row r="1065" ht="22" customHeight="1" s="78"/>
    <row r="1066" ht="22" customHeight="1" s="78"/>
    <row r="1067" ht="22" customHeight="1" s="78"/>
    <row r="1068" ht="22" customHeight="1" s="78"/>
    <row r="1069" ht="22" customHeight="1" s="78"/>
    <row r="1070" ht="22" customHeight="1" s="78"/>
    <row r="1071" ht="22" customHeight="1" s="78"/>
    <row r="1072" ht="22" customHeight="1" s="78"/>
    <row r="1073" ht="22" customHeight="1" s="78"/>
    <row r="1074" ht="22" customHeight="1" s="78"/>
    <row r="1075" ht="22" customHeight="1" s="78"/>
    <row r="1076" ht="22" customHeight="1" s="78"/>
    <row r="1077" ht="22" customHeight="1" s="78"/>
    <row r="1078" ht="22" customHeight="1" s="78"/>
    <row r="1079" ht="22" customHeight="1" s="78"/>
    <row r="1080" ht="22" customHeight="1" s="78"/>
    <row r="1081" ht="22" customHeight="1" s="78"/>
    <row r="1082" ht="22" customHeight="1" s="78"/>
    <row r="1083" ht="22" customHeight="1" s="78"/>
    <row r="1084" ht="22" customHeight="1" s="78"/>
    <row r="1085" ht="22" customHeight="1" s="78"/>
    <row r="1086" ht="22" customHeight="1" s="78"/>
    <row r="1087" ht="22" customHeight="1" s="78"/>
    <row r="1088" ht="22" customHeight="1" s="78"/>
    <row r="1089" ht="22" customHeight="1" s="78"/>
    <row r="1090" ht="22" customHeight="1" s="78"/>
    <row r="1091" ht="22" customHeight="1" s="78"/>
    <row r="1092" ht="22" customHeight="1" s="78"/>
    <row r="1093" ht="22" customHeight="1" s="78"/>
    <row r="1094" ht="22" customHeight="1" s="78"/>
    <row r="1095" ht="22" customHeight="1" s="78"/>
    <row r="1096" ht="22" customHeight="1" s="78"/>
    <row r="1097" ht="22" customHeight="1" s="78"/>
    <row r="1098" ht="22" customHeight="1" s="78"/>
    <row r="1099" ht="22" customHeight="1" s="78"/>
    <row r="1100" ht="22" customHeight="1" s="78"/>
    <row r="1101" ht="22" customHeight="1" s="78"/>
    <row r="1102" ht="22" customHeight="1" s="78"/>
    <row r="1103" ht="22" customHeight="1" s="78"/>
    <row r="1104" ht="22" customHeight="1" s="78"/>
    <row r="1105" ht="22" customHeight="1" s="78"/>
    <row r="1106" ht="22" customHeight="1" s="78"/>
    <row r="1107" ht="22" customHeight="1" s="78"/>
    <row r="1108" ht="22" customHeight="1" s="78"/>
    <row r="1109" ht="22" customHeight="1" s="78"/>
    <row r="1110" ht="22" customHeight="1" s="78"/>
    <row r="1111" ht="22" customHeight="1" s="78"/>
    <row r="1112" ht="22" customHeight="1" s="78"/>
    <row r="1113" ht="22" customHeight="1" s="78"/>
    <row r="1114" ht="22" customHeight="1" s="78"/>
    <row r="1115" ht="22" customHeight="1" s="78"/>
    <row r="1116" ht="22" customHeight="1" s="78"/>
    <row r="1117" ht="22" customHeight="1" s="78"/>
    <row r="1118" ht="22" customHeight="1" s="78"/>
    <row r="1119" ht="22" customHeight="1" s="78"/>
    <row r="1120" ht="22" customHeight="1" s="78"/>
    <row r="1121" ht="22" customHeight="1" s="78"/>
    <row r="1122" ht="22" customHeight="1" s="78"/>
    <row r="1123" ht="22" customHeight="1" s="78"/>
    <row r="1124" ht="22" customHeight="1" s="78"/>
    <row r="1125" ht="22" customHeight="1" s="78"/>
    <row r="1126" ht="22" customHeight="1" s="78"/>
    <row r="1127" ht="22" customHeight="1" s="78"/>
    <row r="1128" ht="22" customHeight="1" s="78"/>
    <row r="1129" ht="22" customHeight="1" s="78"/>
    <row r="1130" ht="22" customHeight="1" s="78"/>
    <row r="1131" ht="22" customHeight="1" s="78"/>
    <row r="1132" ht="22" customHeight="1" s="78"/>
    <row r="1133" ht="22" customHeight="1" s="78"/>
    <row r="1134" ht="22" customHeight="1" s="78"/>
    <row r="1135" ht="22" customHeight="1" s="78"/>
    <row r="1136" ht="22" customHeight="1" s="78"/>
    <row r="1137" ht="22" customHeight="1" s="78"/>
    <row r="1138" ht="22" customHeight="1" s="78"/>
    <row r="1139" ht="22" customHeight="1" s="78"/>
    <row r="1140" ht="22" customHeight="1" s="78"/>
    <row r="1141" ht="22" customHeight="1" s="78"/>
    <row r="1142" ht="22" customHeight="1" s="78"/>
    <row r="1143" ht="22" customHeight="1" s="78"/>
    <row r="1144" ht="22" customHeight="1" s="78"/>
    <row r="1145" ht="22" customHeight="1" s="78"/>
    <row r="1146" ht="22" customHeight="1" s="78"/>
    <row r="1147" ht="22" customHeight="1" s="78"/>
    <row r="1148" ht="22" customHeight="1" s="78"/>
    <row r="1149" ht="22" customHeight="1" s="78"/>
    <row r="1150" ht="22" customHeight="1" s="78"/>
    <row r="1151" ht="22" customHeight="1" s="78"/>
    <row r="1152" ht="22" customHeight="1" s="78"/>
    <row r="1153" ht="22" customHeight="1" s="78"/>
    <row r="1154" ht="22" customHeight="1" s="78"/>
    <row r="1155" ht="22" customHeight="1" s="78"/>
    <row r="1156" ht="22" customHeight="1" s="78"/>
    <row r="1157" ht="22" customHeight="1" s="78"/>
    <row r="1158" ht="22" customHeight="1" s="78"/>
    <row r="1159" ht="22" customHeight="1" s="78"/>
    <row r="1160" ht="22" customHeight="1" s="78"/>
    <row r="1161" ht="22" customHeight="1" s="78"/>
    <row r="1162" ht="22" customHeight="1" s="78"/>
    <row r="1163" ht="22" customHeight="1" s="78"/>
    <row r="1164" ht="22" customHeight="1" s="78"/>
    <row r="1165" ht="22" customHeight="1" s="78"/>
    <row r="1166" ht="22" customHeight="1" s="78"/>
    <row r="1167" ht="22" customHeight="1" s="78"/>
    <row r="1168" ht="22" customHeight="1" s="78"/>
    <row r="1169" ht="22" customHeight="1" s="78"/>
    <row r="1170" ht="22" customHeight="1" s="78"/>
    <row r="1171" ht="22" customHeight="1" s="78"/>
    <row r="1172" ht="22" customHeight="1" s="78"/>
    <row r="1173" ht="22" customHeight="1" s="78"/>
    <row r="1174" ht="22" customHeight="1" s="78"/>
    <row r="1175" ht="22" customHeight="1" s="78"/>
    <row r="1176" ht="22" customHeight="1" s="78"/>
    <row r="1177" ht="22" customHeight="1" s="78"/>
    <row r="1178" ht="22" customHeight="1" s="78"/>
    <row r="1179" ht="22" customHeight="1" s="78"/>
  </sheetData>
  <mergeCells count="2">
    <mergeCell ref="A2:W2"/>
    <mergeCell ref="A1:W1"/>
  </mergeCells>
  <conditionalFormatting sqref="Q4:Q1000">
    <cfRule type="containsText" priority="6" operator="between" dxfId="0" text="红">
      <formula>NOT(ISERROR(SEARCH("红",Q4)))</formula>
    </cfRule>
    <cfRule type="containsText" priority="7" operator="between" dxfId="1" text="黑">
      <formula>NOT(ISERROR(SEARCH("黑",Q4)))</formula>
    </cfRule>
    <cfRule type="containsText" priority="8" operator="between" dxfId="2" text="走">
      <formula>NOT(ISERROR(SEARCH("走",Q4)))</formula>
    </cfRule>
  </conditionalFormatting>
  <conditionalFormatting sqref="R4:R1000">
    <cfRule type="cellIs" priority="4" operator="greaterThan" dxfId="3">
      <formula>0</formula>
    </cfRule>
    <cfRule type="cellIs" priority="5" operator="lessThan" dxfId="4">
      <formula>0</formula>
    </cfRule>
  </conditionalFormatting>
  <conditionalFormatting sqref="S4:S1000">
    <cfRule type="cellIs" priority="12" operator="greaterThan" dxfId="3">
      <formula>0</formula>
    </cfRule>
    <cfRule type="cellIs" priority="13" operator="lessThan" dxfId="4">
      <formula>0</formula>
    </cfRule>
  </conditionalFormatting>
  <conditionalFormatting sqref="U4:U1000">
    <cfRule type="containsText" priority="9" operator="between" dxfId="0" text="红">
      <formula>NOT(ISERROR(SEARCH("红",U4)))</formula>
    </cfRule>
    <cfRule type="containsText" priority="10" operator="between" dxfId="1" text="黑">
      <formula>NOT(ISERROR(SEARCH("黑",U4)))</formula>
    </cfRule>
    <cfRule type="containsText" priority="11" operator="between" dxfId="2" text="走">
      <formula>NOT(ISERROR(SEARCH("走",U4)))</formula>
    </cfRule>
  </conditionalFormatting>
  <conditionalFormatting sqref="W4:W1000">
    <cfRule type="cellIs" priority="14" operator="greaterThan" dxfId="3">
      <formula>0</formula>
    </cfRule>
    <cfRule type="cellIs" priority="15" operator="lessThan" dxfId="4">
      <formula>0</formula>
    </cfRule>
  </conditionalFormatting>
  <dataValidations count="2">
    <dataValidation sqref="O4:O1000 P4:P1000" showDropDown="0" showInputMessage="0" showErrorMessage="0" allowBlank="0" type="list">
      <formula1>"已结算,进行中,未开赛,待结算"</formula1>
    </dataValidation>
    <dataValidation sqref="Q4:Q1000" showDropDown="0" showInputMessage="0" showErrorMessage="0" allowBlank="0" type="list">
      <formula1>"红,半红,走,半黑,黑,待结算"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selection activeCell="A1" sqref="A1:J1"/>
    </sheetView>
  </sheetViews>
  <sheetFormatPr baseColWidth="8" defaultColWidth="9" defaultRowHeight="13.8"/>
  <cols>
    <col width="12" customWidth="1" style="78" min="1" max="1"/>
    <col width="23" customWidth="1" style="78" min="2" max="4"/>
    <col width="39" customWidth="1" style="78" min="5" max="5"/>
    <col width="13" customWidth="1" style="78" min="6" max="9"/>
    <col width="48" customWidth="1" style="78" min="10" max="10"/>
  </cols>
  <sheetData>
    <row r="1" ht="17.4" customHeight="1" s="78">
      <c r="A1" s="47" t="inlineStr">
        <is>
          <t>更新日志</t>
        </is>
      </c>
    </row>
    <row r="2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</row>
    <row r="3" ht="14.4" customHeight="1" s="78">
      <c r="A3" s="48" t="inlineStr">
        <is>
          <t>更新序号</t>
        </is>
      </c>
      <c r="B3" s="48" t="inlineStr">
        <is>
          <t>记录时间</t>
        </is>
      </c>
      <c r="C3" s="48" t="inlineStr">
        <is>
          <t>网页筛选日期</t>
        </is>
      </c>
      <c r="D3" s="48" t="inlineStr">
        <is>
          <t>页面更新时间</t>
        </is>
      </c>
      <c r="E3" s="48" t="inlineStr">
        <is>
          <t>来源</t>
        </is>
      </c>
      <c r="F3" s="48" t="inlineStr">
        <is>
          <t>本次场次</t>
        </is>
      </c>
      <c r="G3" s="48" t="inlineStr">
        <is>
          <t>已结算</t>
        </is>
      </c>
      <c r="H3" s="48" t="inlineStr">
        <is>
          <t>待结算</t>
        </is>
      </c>
      <c r="I3" s="48" t="inlineStr">
        <is>
          <t>已结算盈亏(u)</t>
        </is>
      </c>
      <c r="J3" s="48" t="inlineStr">
        <is>
          <t>备注</t>
        </is>
      </c>
    </row>
    <row r="4" ht="28.8" customHeight="1" s="78">
      <c r="A4" s="53" t="n">
        <v>1</v>
      </c>
      <c r="B4" s="53" t="inlineStr">
        <is>
          <t>2026-09-02 07:35</t>
        </is>
      </c>
      <c r="C4" s="53" t="inlineStr">
        <is>
          <t>2026-09-01</t>
        </is>
      </c>
      <c r="D4" s="53" t="inlineStr">
        <is>
          <t>2026-09-02 07:35（北京时间）</t>
        </is>
      </c>
      <c r="E4" s="53" t="inlineStr">
        <is>
          <t>https://simondongxiao.github.io/odds/</t>
        </is>
      </c>
      <c r="F4" s="53" t="n">
        <v>26</v>
      </c>
      <c r="G4" s="53" t="n">
        <v>20</v>
      </c>
      <c r="H4" s="53" t="n">
        <v>6</v>
      </c>
      <c r="I4" s="83" t="n">
        <v>-2.605</v>
      </c>
      <c r="J4" s="53" t="inlineStr">
        <is>
          <t>首次建立账本；网页筛选结果26场，当前20场已结算、6场未结算</t>
        </is>
      </c>
    </row>
    <row r="5" ht="42" customHeight="1" s="78">
      <c r="A5" s="49" t="n">
        <v>2</v>
      </c>
      <c r="B5" s="49" t="inlineStr">
        <is>
          <t>2026-09-02 07:35</t>
        </is>
      </c>
      <c r="C5" s="49" t="inlineStr">
        <is>
          <t>2026-09-01</t>
        </is>
      </c>
      <c r="D5" s="49" t="inlineStr">
        <is>
          <t>2026-09-02 07:35（北京时间）</t>
        </is>
      </c>
      <c r="E5" s="49" t="inlineStr">
        <is>
          <t>https://simondongxiao.github.io/odds/</t>
        </is>
      </c>
      <c r="F5" s="49" t="n">
        <v>26</v>
      </c>
      <c r="G5" s="49" t="n">
        <v>20</v>
      </c>
      <c r="H5" s="49" t="n">
        <v>6</v>
      </c>
      <c r="I5" s="87" t="n">
        <v>-2.605</v>
      </c>
      <c r="J5" s="49" t="inlineStr">
        <is>
          <t>新增地区分布列；按HTML micro_region记录，并将欧洲五大系列拆分为五大联赛、五大联赛非顶级联赛、五大联赛杯赛</t>
        </is>
      </c>
    </row>
    <row r="6" ht="42" customHeight="1" s="78">
      <c r="A6" s="49" t="n">
        <v>3</v>
      </c>
      <c r="B6" s="49" t="inlineStr">
        <is>
          <t>2026-09-02 07:35</t>
        </is>
      </c>
      <c r="C6" s="49" t="inlineStr">
        <is>
          <t>2026-09-01</t>
        </is>
      </c>
      <c r="D6" s="49" t="inlineStr">
        <is>
          <t>2026-09-02 07:35（北京时间）</t>
        </is>
      </c>
      <c r="E6" s="49" t="inlineStr">
        <is>
          <t>https://simondongxiao.github.io/odds/</t>
        </is>
      </c>
      <c r="F6" s="49" t="n">
        <v>26</v>
      </c>
      <c r="G6" s="49" t="n">
        <v>20</v>
      </c>
      <c r="H6" s="49" t="n">
        <v>6</v>
      </c>
      <c r="I6" s="87" t="n">
        <v>-2.605</v>
      </c>
      <c r="J6" s="49" t="inlineStr">
        <is>
          <t>新增分类统计页：按赛事类型、具体联赛/杯赛、亚盘意图、地区分布统计已结算场次、红黑分布、有效胜率、总盈亏和ROI</t>
        </is>
      </c>
    </row>
    <row r="7" ht="42" customHeight="1" s="78">
      <c r="A7" s="49" t="n">
        <v>4</v>
      </c>
      <c r="B7" s="49" t="inlineStr">
        <is>
          <t>2026-09-02 07:35</t>
        </is>
      </c>
      <c r="C7" s="49" t="inlineStr">
        <is>
          <t>2026-09-01</t>
        </is>
      </c>
      <c r="D7" s="49" t="inlineStr">
        <is>
          <t>2026-09-02 07:35（北京时间）</t>
        </is>
      </c>
      <c r="E7" s="49" t="inlineStr">
        <is>
          <t>https://simondongxiao.github.io/odds/</t>
        </is>
      </c>
      <c r="F7" s="49" t="n">
        <v>26</v>
      </c>
      <c r="G7" s="49" t="n">
        <v>20</v>
      </c>
      <c r="H7" s="49" t="n">
        <v>6</v>
      </c>
      <c r="I7" s="87" t="n">
        <v>-2.605</v>
      </c>
      <c r="J7" s="49" t="inlineStr">
        <is>
          <t>按截图纠正列位置：在原表“比赛时间”和“赛事类型”之间插入地区分布；现为比赛时间→地区分布→赛事类型→联赛/杯赛</t>
        </is>
      </c>
    </row>
    <row r="8" ht="46" customHeight="1" s="78">
      <c r="A8" s="49" t="n">
        <v>5</v>
      </c>
      <c r="B8" s="49" t="inlineStr">
        <is>
          <t>2026-09-02 07:35</t>
        </is>
      </c>
      <c r="C8" s="49" t="inlineStr">
        <is>
          <t>2026-09-01</t>
        </is>
      </c>
      <c r="D8" s="49" t="inlineStr">
        <is>
          <t>2026-09-02 07:35（北京时间）</t>
        </is>
      </c>
      <c r="E8" s="49" t="inlineStr">
        <is>
          <t>https://simondongxiao.github.io/odds/</t>
        </is>
      </c>
      <c r="F8" s="49" t="n">
        <v>26</v>
      </c>
      <c r="G8" s="49" t="n">
        <v>20</v>
      </c>
      <c r="H8" s="49" t="n">
        <v>6</v>
      </c>
      <c r="I8" s="87" t="n">
        <v>-2.605</v>
      </c>
      <c r="J8" s="49" t="inlineStr">
        <is>
          <t>新增亚盘意图正向/反向回测：反向红黑、反向水位、反向盈亏写入赛事明细U:W，并按亚盘意图比较有效胜率、ROI和总盈亏</t>
        </is>
      </c>
    </row>
    <row r="9" ht="64" customHeight="1" s="78">
      <c r="A9" s="49" t="n">
        <v>6</v>
      </c>
      <c r="B9" s="49" t="inlineStr">
        <is>
          <t>2026-09-02 10:41</t>
        </is>
      </c>
      <c r="C9" s="49" t="inlineStr">
        <is>
          <t>2026-09-01</t>
        </is>
      </c>
      <c r="D9" s="49" t="inlineStr">
        <is>
          <t>2026-09-02 10:41（北京时间，球探完场页）</t>
        </is>
      </c>
      <c r="E9" s="49" t="inlineStr">
        <is>
          <t>https://bf.titan007.com/football/Over_20260901.htm</t>
        </is>
      </c>
      <c r="F9" s="49" t="n">
        <v>26</v>
      </c>
      <c r="G9" s="49" t="n">
        <v>25</v>
      </c>
      <c r="H9" s="49" t="n">
        <v>1</v>
      </c>
      <c r="I9" s="87" t="n">
        <v>-2.44</v>
      </c>
      <c r="J9" s="49" t="inlineStr">
        <is>
          <t>按球探网完场比分回填5场：哥查瓜0-1萨拉曼卡（黑）、隆迪那0-0尤文图德（半红）、国防部队0-2三多俱乐部（黑）、基多体育大学0-0穆苏克鲁纳（红）、米内罗竞技2-1克鲁塞罗（红）；福塔雷绍查 vs 云斯卡尔达斯仍未开赛，继续待结算。</t>
        </is>
      </c>
    </row>
    <row r="10" ht="64" customHeight="1" s="78">
      <c r="A10" s="49" t="n">
        <v>7</v>
      </c>
      <c r="B10" s="49" t="inlineStr">
        <is>
          <t>2026-09-03 08:09</t>
        </is>
      </c>
      <c r="C10" s="49" t="inlineStr">
        <is>
          <t>2026-09-02</t>
        </is>
      </c>
      <c r="D10" s="49" t="inlineStr">
        <is>
          <t>2026-09-03 08:09（北京时间）</t>
        </is>
      </c>
      <c r="E10" s="49" t="inlineStr">
        <is>
          <t>https://simondongxiao.github.io/odds/</t>
        </is>
      </c>
      <c r="F10" s="49" t="n">
        <v>7</v>
      </c>
      <c r="G10" s="49" t="n">
        <v>7</v>
      </c>
      <c r="H10" s="49" t="n">
        <v>0</v>
      </c>
      <c r="I10" s="87" t="n">
        <v>0.225</v>
      </c>
      <c r="J10" s="49" t="inlineStr">
        <is>
          <t>新增9/2筛选可投注赛事7场；累计33场、32场已结算、1场待结算。正向本批次盈亏+0.225u，分类统计和亚盘意图正反回测已同步刷新。</t>
        </is>
      </c>
    </row>
    <row r="11" ht="64" customHeight="1" s="78">
      <c r="A11" s="49" t="n">
        <v>8</v>
      </c>
      <c r="B11" s="49" t="inlineStr">
        <is>
          <t>2026-09-03 10:00</t>
        </is>
      </c>
      <c r="C11" s="49" t="inlineStr">
        <is>
          <t>2026-09-01、2026-09-02</t>
        </is>
      </c>
      <c r="D11" s="49" t="inlineStr">
        <is>
          <t>2026-09-03 10:00（北京时间，球探完场页）</t>
        </is>
      </c>
      <c r="E11" s="49" t="inlineStr">
        <is>
          <t>https://bf.titan007.com/football/Over_20260901.htm</t>
        </is>
      </c>
      <c r="F11" s="49" t="n">
        <v>33</v>
      </c>
      <c r="G11" s="49" t="n">
        <v>33</v>
      </c>
      <c r="H11" s="49" t="n">
        <v>0</v>
      </c>
      <c r="I11" s="87" t="n">
        <v>-3.215</v>
      </c>
      <c r="J11" s="49" t="inlineStr">
        <is>
          <t>按球探网完场比分页补结并复核：9/1福塔雷绍查1-2云斯卡尔达斯，福塔雷绍查-0.25结算黑、-1.000u；9/2已录入7场完场比分逐场核对无变化。累计33场、33场已结算、0场待结算；分类统计与亚盘意图正反统计同步刷新。</t>
        </is>
      </c>
    </row>
    <row r="12" ht="64" customHeight="1" s="78">
      <c r="A12" s="49" t="n">
        <v>9</v>
      </c>
      <c r="B12" s="49" t="inlineStr">
        <is>
          <t>2026-09-03 10:00</t>
        </is>
      </c>
      <c r="C12" s="49" t="inlineStr">
        <is>
          <t>2026-09-02</t>
        </is>
      </c>
      <c r="D12" s="49" t="inlineStr">
        <is>
          <t>2026-09-03 10:00（北京时间）</t>
        </is>
      </c>
      <c r="E12" s="49" t="inlineStr">
        <is>
          <t>https://simondongxiao.github.io/odds/</t>
        </is>
      </c>
      <c r="F12" s="49" t="n">
        <v>86</v>
      </c>
      <c r="G12" s="49" t="n">
        <v>77</v>
      </c>
      <c r="H12" s="49" t="n">
        <v>9</v>
      </c>
      <c r="I12" s="87" t="n">
        <v>3.555</v>
      </c>
      <c r="J12" s="49" t="inlineStr">
        <is>
          <t>纠正网页筛选口径：9/2实际显示60场可投，原账本已有7场，本次补回缺少的53场；新增部分44场已完场、9场仍进行中/未开赛，按页面当前亚盘方向与即时水位写入，累计86场、77场已结算、9场待结算。</t>
        </is>
      </c>
    </row>
    <row r="13" ht="64" customHeight="1" s="78">
      <c r="A13" s="49" t="n">
        <v>10</v>
      </c>
      <c r="B13" s="49" t="inlineStr">
        <is>
          <t>2026-09-03 10:00</t>
        </is>
      </c>
      <c r="C13" s="49" t="inlineStr">
        <is>
          <t>2026-09-02</t>
        </is>
      </c>
      <c r="D13" s="49" t="inlineStr">
        <is>
          <t>2026-09-03 10:00（北京时间，球探完场页）</t>
        </is>
      </c>
      <c r="E13" s="49" t="inlineStr">
        <is>
          <t>https://bf.titan007.com/football/Over_20260902.htm</t>
        </is>
      </c>
      <c r="F13" s="49" t="n">
        <v>10</v>
      </c>
      <c r="G13" s="49" t="n">
        <v>10</v>
      </c>
      <c r="H13" s="49" t="n">
        <v>0</v>
      </c>
      <c r="I13" s="87" t="n">
        <v>1.13</v>
      </c>
      <c r="J13" s="49" t="inlineStr">
        <is>
          <t>按球探网9/2完场页补结并复核10场：其中9场由待结算更新为已结算，塞萨洛尼基 vs OFI克里特复核无变化；仅更新比分、结算状态、红黑及盈亏，保留原即时赔率、亚盘意图和投注方向。累计86场、86场已结算、0场待结算。</t>
        </is>
      </c>
    </row>
    <row r="14" ht="42" customHeight="1" s="78">
      <c r="A14" s="49" t="n">
        <v>11</v>
      </c>
      <c r="B14" s="49" t="inlineStr">
        <is>
          <t>2026-09-03 11:10</t>
        </is>
      </c>
      <c r="C14" s="49" t="inlineStr">
        <is>
          <t>2026-09-02</t>
        </is>
      </c>
      <c r="D14" s="49" t="inlineStr">
        <is>
          <t>2026-09-03 11:10（北京时间，格式维护）</t>
        </is>
      </c>
      <c r="E14" s="49" t="inlineStr">
        <is>
          <t>本地工作簿格式维护</t>
        </is>
      </c>
      <c r="F14" s="49" t="n">
        <v>0</v>
      </c>
      <c r="G14" s="49" t="n">
        <v>0</v>
      </c>
      <c r="H14" s="49" t="n">
        <v>0</v>
      </c>
      <c r="I14" s="87" t="n">
        <v>0</v>
      </c>
      <c r="J14" s="49" t="inlineStr">
        <is>
          <t>统一全部工作表已使用区域为左对齐；保留原有颜色、边框、公式、数字格式和数据内容。</t>
        </is>
      </c>
    </row>
    <row r="15" ht="64" customHeight="1" s="78">
      <c r="A15" s="49" t="n">
        <v>12</v>
      </c>
      <c r="B15" s="49" t="inlineStr">
        <is>
          <t>2026-09-03 11:19</t>
        </is>
      </c>
      <c r="C15" s="49" t="inlineStr">
        <is>
          <t>2026-09-01、2026-09-02</t>
        </is>
      </c>
      <c r="D15" s="49" t="inlineStr">
        <is>
          <t>2026-09-03 11:19（北京时间，亚盘规则复核）</t>
        </is>
      </c>
      <c r="E15" s="49" t="inlineStr">
        <is>
          <t>本地工作簿亚盘规则复核</t>
        </is>
      </c>
      <c r="F15" s="49" t="n">
        <v>86</v>
      </c>
      <c r="G15" s="49" t="n">
        <v>86</v>
      </c>
      <c r="H15" s="49" t="n">
        <v>0</v>
      </c>
      <c r="I15" s="87" t="n">
        <v>-7.91</v>
      </c>
      <c r="J15" s="49" t="inlineStr">
        <is>
          <t>按亚盘输赢规则逐场复核86场，修正28场：H&gt;0按主队让球（主队结算线=-H），H&lt;0按主队受让；查尔斯顿电池-0.75负于哈特福德竞技1-2为全黑、-1.000u。累计86场、86场已结算、0场待结算。</t>
        </is>
      </c>
    </row>
    <row r="16" ht="64" customHeight="1" s="78">
      <c r="A16" s="49" t="n">
        <v>13</v>
      </c>
      <c r="B16" s="49" t="inlineStr">
        <is>
          <t>2026-09-04 09:00</t>
        </is>
      </c>
      <c r="C16" s="49" t="inlineStr">
        <is>
          <t>2026-09-03</t>
        </is>
      </c>
      <c r="D16" s="49" t="inlineStr">
        <is>
          <t>2026-09-04 09:00（北京时间）</t>
        </is>
      </c>
      <c r="E16" s="49" t="inlineStr">
        <is>
          <t>https://simondongxiao.github.io/odds/</t>
        </is>
      </c>
      <c r="F16" s="49" t="n">
        <v>17</v>
      </c>
      <c r="G16" s="49" t="n">
        <v>17</v>
      </c>
      <c r="H16" s="49" t="n">
        <v>0</v>
      </c>
      <c r="I16" s="87" t="n">
        <v>9.029999999999999</v>
      </c>
      <c r="J16" s="49" t="inlineStr">
        <is>
          <t>按最新skill补录9/3网页可投注且已完场17场；按亚洲盘标准结算并保留真实投注水位盈亏。9/3球探归档页不可用，比分采用网页当前完场记录。</t>
        </is>
      </c>
    </row>
    <row r="17" ht="64" customHeight="1" s="78">
      <c r="A17" s="49" t="n">
        <v>14</v>
      </c>
      <c r="B17" s="49" t="inlineStr">
        <is>
          <t>2026-09-07 07:45</t>
        </is>
      </c>
      <c r="C17" s="49" t="inlineStr">
        <is>
          <t>2026-09-04、2026-09-05、2026-09-06、2026-09-07</t>
        </is>
      </c>
      <c r="D17" s="49" t="inlineStr">
        <is>
          <t>2026-09-07 07:45（北京时间）</t>
        </is>
      </c>
      <c r="E17" s="49" t="inlineStr">
        <is>
          <t>https://simondongxiao.github.io/odds/</t>
        </is>
      </c>
      <c r="F17" s="49" t="n">
        <v>166</v>
      </c>
      <c r="G17" s="49" t="n">
        <v>55</v>
      </c>
      <c r="H17" s="49" t="n">
        <v>111</v>
      </c>
      <c r="I17" s="87" t="n">
        <v>1.05</v>
      </c>
      <c r="J17" s="49" t="inlineStr">
        <is>
          <t>按网页历史日期“冻结赛前可投记录”口径重建：9/4 19场、9/5 103场、9/6 40场；9/7按当前严格skill漏斗4场。已完场按最新亚盘规则结算。</t>
        </is>
      </c>
    </row>
    <row r="18" ht="64" customHeight="1" s="78">
      <c r="A18" s="49" t="n">
        <v>15</v>
      </c>
      <c r="B18" s="49" t="inlineStr">
        <is>
          <t>2026-09-07 10:30</t>
        </is>
      </c>
      <c r="C18" s="49" t="inlineStr">
        <is>
          <t>2026-09-04、2026-09-05、2026-09-06</t>
        </is>
      </c>
      <c r="D18" s="49" t="inlineStr">
        <is>
          <t>2026-09-07 07:45（北京时间）</t>
        </is>
      </c>
      <c r="E18" s="49" t="inlineStr">
        <is>
          <t>网页源码 rowsForDate/frozen_bettable 复核</t>
        </is>
      </c>
      <c r="F18" s="49" t="n">
        <v>51</v>
      </c>
      <c r="G18" s="49" t="n">
        <v>0</v>
      </c>
      <c r="H18" s="49" t="n">
        <v>0</v>
      </c>
      <c r="I18" s="87" t="n">
        <v>0</v>
      </c>
      <c r="J18" s="49" t="inlineStr">
        <is>
          <t>修正此前错误使用 plannedSkillDecision 重算历史日期的问题，移除多录51场；历史日期必须优先使用 frozen_bettable 冻结清单。</t>
        </is>
      </c>
    </row>
    <row r="19" ht="72" customHeight="1" s="78">
      <c r="A19" s="49" t="n">
        <v>16</v>
      </c>
      <c r="B19" s="49" t="inlineStr">
        <is>
          <t>2026-09-07 10:54</t>
        </is>
      </c>
      <c r="C19" s="49" t="inlineStr">
        <is>
          <t>2026-09-04、2026-09-05、2026-09-06</t>
        </is>
      </c>
      <c r="D19" s="49" t="inlineStr">
        <is>
          <t>2026-09-07 10:54（北京时间）</t>
        </is>
      </c>
      <c r="E19" s="49" t="inlineStr">
        <is>
          <t>Titan007/球探、网页官方结算报表及交叉比分源</t>
        </is>
      </c>
      <c r="F19" s="49" t="n">
        <v>162</v>
      </c>
      <c r="G19" s="49" t="n">
        <v>162</v>
      </c>
      <c r="H19" s="49" t="n">
        <v>0</v>
      </c>
      <c r="I19" s="87" t="n">
        <v>-12.08</v>
      </c>
      <c r="J19" s="49" t="inlineStr">
        <is>
          <t>按冻结赛前可投方向逐场补齐最终比分；9/4 19场、9/5 103场、9/6 40场全部重新按亚洲盘全赢/赢半/走/输半/全输规则结算，未采用网页红黑标签代替计算。</t>
        </is>
      </c>
    </row>
    <row r="20" ht="76" customHeight="1" s="78">
      <c r="A20" s="49" t="n">
        <v>17</v>
      </c>
      <c r="B20" s="49" t="inlineStr">
        <is>
          <t>2026-09-09 09:43</t>
        </is>
      </c>
      <c r="C20" s="49" t="inlineStr">
        <is>
          <t>2026-09-07、2026-09-08</t>
        </is>
      </c>
      <c r="D20" s="49" t="inlineStr">
        <is>
          <t>2026-09-09 09:43（北京时间）</t>
        </is>
      </c>
      <c r="E20" s="49" t="inlineStr">
        <is>
          <t>赔率：simondongxiao.github.io/odds；比分：网页完场数据、球迷屋、Sofascore</t>
        </is>
      </c>
      <c r="F20" s="49" t="n">
        <v>15</v>
      </c>
      <c r="G20" s="49" t="n">
        <v>15</v>
      </c>
      <c r="H20" s="49" t="n">
        <v>0</v>
      </c>
      <c r="I20" s="87" t="n">
        <v>6.145</v>
      </c>
      <c r="J20" s="49" t="inlineStr">
        <is>
          <t>9/7原有4场补齐赛果并按亚盘规则结算；新增9/8冻结可投11场及Delta字段。9/8最后两场比分交叉核验：弗鲁米嫩塞2-0普拉腾斯、库里科1-1西班牙联合。同步新增周中/周末让球与受让盘口统计。</t>
        </is>
      </c>
    </row>
    <row r="21" ht="64" customHeight="1" s="78">
      <c r="A21" s="49" t="n">
        <v>18</v>
      </c>
      <c r="B21" s="49" t="inlineStr">
        <is>
          <t>2026-09-09 10:27</t>
        </is>
      </c>
      <c r="C21" s="49" t="inlineStr">
        <is>
          <t>全表周中星期拆分</t>
        </is>
      </c>
      <c r="D21" s="49" t="inlineStr">
        <is>
          <t>2026-09-09 10:27（北京时间）</t>
        </is>
      </c>
      <c r="E21" s="49" t="inlineStr">
        <is>
          <t>football_odds_ledger_delta_conv.xlsx 赛事明细</t>
        </is>
      </c>
      <c r="F21" s="49" t="n">
        <v>144</v>
      </c>
      <c r="G21" s="49" t="n">
        <v>144</v>
      </c>
      <c r="H21" s="49" t="n">
        <v>0</v>
      </c>
      <c r="I21" s="87" t="n">
        <v>12.36</v>
      </c>
      <c r="J21" s="49" t="inlineStr">
        <is>
          <t>新增周一至周五以及实际开赛日期的均注回测。每场1u；使用真实投注水位；半仓记录在本模拟中同样按1u；走盘不进入有效胜率分母。</t>
        </is>
      </c>
    </row>
    <row r="22" ht="76" customHeight="1" s="78">
      <c r="A22" s="49" t="n">
        <v>19</v>
      </c>
      <c r="B22" s="49" t="inlineStr">
        <is>
          <t>2026-09-10 11:25</t>
        </is>
      </c>
      <c r="C22" s="49" t="inlineStr">
        <is>
          <t>2026-09-09</t>
        </is>
      </c>
      <c r="D22" s="49" t="inlineStr">
        <is>
          <t>2026-09-10 11:25（北京时间）</t>
        </is>
      </c>
      <c r="E22" s="49" t="inlineStr">
        <is>
          <t>赔率及比分：simondongxiao.github.io/odds 页面冻结记录</t>
        </is>
      </c>
      <c r="F22" s="49" t="n">
        <v>39</v>
      </c>
      <c r="G22" s="49" t="n">
        <v>26</v>
      </c>
      <c r="H22" s="49" t="n">
        <v>13</v>
      </c>
      <c r="I22" s="87" t="n">
        <v>-2.59</v>
      </c>
      <c r="J22" s="49" t="inlineStr">
        <is>
          <t>按页面“39场可投”完整写入；当前26场完场并按即时亚盘结算，13场保留未结算。同步刷新周中/周末盘口统计，并新增指定联赛正反买的周中/周末检验。</t>
        </is>
      </c>
    </row>
    <row r="23" ht="76" customHeight="1" s="78">
      <c r="A23" s="49" t="n">
        <v>20</v>
      </c>
      <c r="B23" s="49" t="inlineStr">
        <is>
          <t>2026-09-10 11:42</t>
        </is>
      </c>
      <c r="C23" s="49" t="inlineStr">
        <is>
          <t>2026-09-09补赛果</t>
        </is>
      </c>
      <c r="D23" s="49" t="inlineStr">
        <is>
          <t>2026-09-10 11:42（北京时间）</t>
        </is>
      </c>
      <c r="E23" s="49" t="inlineStr">
        <is>
          <t>赛事官网、CONMEBOL、LA NACION、AP/Canadian Press、Field Level Media、即时比分源</t>
        </is>
      </c>
      <c r="F23" s="49" t="n">
        <v>11</v>
      </c>
      <c r="G23" s="49" t="n">
        <v>11</v>
      </c>
      <c r="H23" s="49" t="n">
        <v>0</v>
      </c>
      <c r="I23" s="87" t="n">
        <v>-2.78</v>
      </c>
      <c r="J23" s="49" t="inlineStr">
        <is>
          <t>新增确认11场完场并按90分钟比分结算；9/9累计37场已结算、2场仍进行中。杯赛点球大战仅作晋级信息，不计入亚盘比分。同步刷新盈亏、盘口及联赛时段统计。</t>
        </is>
      </c>
    </row>
    <row r="24" ht="84" customHeight="1" s="78">
      <c r="A24" s="49" t="n">
        <v>21</v>
      </c>
      <c r="B24" s="49" t="inlineStr">
        <is>
          <t>2026-09-14 10:15</t>
        </is>
      </c>
      <c r="C24" s="49" t="inlineStr">
        <is>
          <t>2026-09-10至2026-09-13</t>
        </is>
      </c>
      <c r="D24" s="49" t="inlineStr">
        <is>
          <t>2026-09-14 10:15（北京时间）</t>
        </is>
      </c>
      <c r="E24" s="49" t="inlineStr">
        <is>
          <t>https://simondongxiao.github.io/odds/v3-legacy/?v=ae799be；比分逐场核对 Titan007</t>
        </is>
      </c>
      <c r="F24" s="49" t="n">
        <v>130</v>
      </c>
      <c r="G24" s="49" t="n">
        <v>129</v>
      </c>
      <c r="H24" s="49" t="n">
        <v>1</v>
      </c>
      <c r="I24" s="87" t="n">
        <v>14.005</v>
      </c>
      <c r="J24" s="49" t="inlineStr">
        <is>
          <t>新增9/10 21场、9/11 17场、9/12 54场、9/13截图38场。129场按球探终场比分结算，维勒斯 vs 库德里夫卡为推迟未结算；同时补齐9/9两场。网页8场比分与球探不一致，均采用球探终场比分。</t>
        </is>
      </c>
    </row>
    <row r="25" ht="66" customHeight="1" s="78">
      <c r="A25" s="49" t="n">
        <v>22</v>
      </c>
      <c r="B25" s="49" t="inlineStr">
        <is>
          <t>2026-09-15 10:55</t>
        </is>
      </c>
      <c r="C25" s="49" t="inlineStr">
        <is>
          <t>2026-09-14</t>
        </is>
      </c>
      <c r="D25" s="49" t="inlineStr">
        <is>
          <t>2026-09-15 10:55（北京时间）</t>
        </is>
      </c>
      <c r="E25" s="49" t="inlineStr">
        <is>
          <t>https://simondongxiao.github.io/odds/v3-legacy/?v=ae799be；比分逐场核对 Titan007</t>
        </is>
      </c>
      <c r="F25" s="49" t="n">
        <v>5</v>
      </c>
      <c r="G25" s="49" t="n">
        <v>5</v>
      </c>
      <c r="H25" s="49" t="n">
        <v>0</v>
      </c>
      <c r="I25" s="87" t="n">
        <v>2.275</v>
      </c>
      <c r="J25" s="49" t="inlineStr">
        <is>
          <t>V3新增9/14可投5场；5场均按Titan007终场比分结算。结算分布：红3、半红1、黑1；单日盈亏+2.275u，ROI +45.5%。</t>
        </is>
      </c>
    </row>
    <row r="26" ht="66" customHeight="1" s="78">
      <c r="A26" s="49" t="n">
        <v>23</v>
      </c>
      <c r="B26" s="49" t="inlineStr">
        <is>
          <t>2026-09-15 11:29</t>
        </is>
      </c>
      <c r="C26" s="49" t="inlineStr">
        <is>
          <t>2026-09-14</t>
        </is>
      </c>
      <c r="D26" s="49" t="inlineStr">
        <is>
          <t>2026-09-15 11:29（北京时间）</t>
        </is>
      </c>
      <c r="E26" s="49" t="inlineStr">
        <is>
          <t>https://simondongxiao.github.io/odds/v3-legacy/；终场比分使用官方/赛事结果页交叉核对</t>
        </is>
      </c>
      <c r="F26" s="49" t="n">
        <v>7</v>
      </c>
      <c r="G26" s="49" t="n">
        <v>7</v>
      </c>
      <c r="H26" s="49" t="n">
        <v>0</v>
      </c>
      <c r="I26" s="87" t="n">
        <v>0.51</v>
      </c>
      <c r="J26" s="49" t="inlineStr">
        <is>
          <t>更正：V3按GitHub 9/14最新版冻结选择重建为7场，并以终场比分复核；结算分布：红3、半红1、走0、半黑1、黑2；单日盈亏+0.510u，ROI +7.29%。索契2-1韦莱斯（账本主客顺序韦莱斯1-2索契），最新版选择韦莱斯+0.25，结算全黑。</t>
        </is>
      </c>
    </row>
    <row r="27" ht="66" customHeight="1" s="78">
      <c r="A27" s="49" t="n">
        <v>24</v>
      </c>
      <c r="B27" s="49" t="inlineStr">
        <is>
          <t>2026-09-16 13:51</t>
        </is>
      </c>
      <c r="C27" s="49" t="inlineStr">
        <is>
          <t>2026-09-15</t>
        </is>
      </c>
      <c r="D27" s="49" t="inlineStr">
        <is>
          <t>2026-09-16 13:51（北京时间）</t>
        </is>
      </c>
      <c r="E27" s="49" t="inlineStr">
        <is>
          <t>https://simondongxiao.github.io/odds/v3-legacy/</t>
        </is>
      </c>
      <c r="F27" s="49" t="n">
        <v>14</v>
      </c>
      <c r="G27" s="49" t="n">
        <v>14</v>
      </c>
      <c r="H27" s="49" t="n">
        <v>0</v>
      </c>
      <c r="I27" s="87" t="n">
        <v>1.86</v>
      </c>
      <c r="J27" s="49" t="inlineStr">
        <is>
          <t>新增9/15最新冻结可投14场，时间窗9/15 12:00至9/16 12:00；独立终场来源见赛事明细T列。红7、半红0、走2、半黑1、黑4；均注1u盈利1.860u，ROI13.29%，有效胜率60.87%。历史记录保留。</t>
        </is>
      </c>
    </row>
    <row r="28" ht="66" customHeight="1" s="78">
      <c r="A28" s="49" t="n">
        <v>25</v>
      </c>
      <c r="B28" s="49" t="inlineStr">
        <is>
          <t>2026-09-17 11:51</t>
        </is>
      </c>
      <c r="C28" s="49" t="inlineStr">
        <is>
          <t>2026-09-16</t>
        </is>
      </c>
      <c r="D28" s="49" t="inlineStr">
        <is>
          <t>2026-09-17 11:51（北京时间）</t>
        </is>
      </c>
      <c r="E28" s="49" t="inlineStr">
        <is>
          <t>https://simondongxiao.github.io/odds/v3-legacy/</t>
        </is>
      </c>
      <c r="F28" s="49" t="n">
        <v>19</v>
      </c>
      <c r="G28" s="49" t="n">
        <v>19</v>
      </c>
      <c r="H28" s="49" t="n">
        <v>0</v>
      </c>
      <c r="I28" s="87" t="n">
        <v>-0.885</v>
      </c>
      <c r="J28" s="49" t="inlineStr">
        <is>
          <t>新增9/16最新冻结可投19场，时间窗9/16 12:00至9/17 12:00；比分来源见赛事明细T列。按即时亚盘和真实投注水位重算，红黑分布、均注1u盈亏和ROI见本行与赛事明细。历史记录保留。</t>
        </is>
      </c>
    </row>
    <row r="29" ht="66" customHeight="1" s="78">
      <c r="A29" s="49" t="n">
        <v>26</v>
      </c>
      <c r="B29" s="49" t="inlineStr">
        <is>
          <t>2026-09-17 11:52</t>
        </is>
      </c>
      <c r="C29" s="49" t="inlineStr">
        <is>
          <t>2026-09-16</t>
        </is>
      </c>
      <c r="D29" s="49" t="inlineStr">
        <is>
          <t>2026-09-17 11:52（北京时间）</t>
        </is>
      </c>
      <c r="E29" s="49" t="inlineStr">
        <is>
          <t>https://simondongxiao.github.io/odds/v3-legacy/</t>
        </is>
      </c>
      <c r="F29" s="49" t="n">
        <v>19</v>
      </c>
      <c r="G29" s="49" t="n">
        <v>19</v>
      </c>
      <c r="H29" s="49" t="n">
        <v>0</v>
      </c>
      <c r="I29" s="87" t="n">
        <v>-0.885</v>
      </c>
      <c r="J29" s="49" t="inlineStr">
        <is>
          <t>新增9/16最新冻结可投19场，时间窗9/16 12:00至9/17 12:00；比分来源见赛事明细T列。按即时亚盘和真实投注水位重算，红黑分布、均注1u盈亏和ROI见本行与赛事明细。历史记录保留。</t>
        </is>
      </c>
    </row>
    <row r="30" ht="66" customHeight="1" s="78">
      <c r="A30" s="49" t="n">
        <v>27</v>
      </c>
      <c r="B30" s="49" t="inlineStr">
        <is>
          <t>2026-09-18 12:13</t>
        </is>
      </c>
      <c r="C30" s="49" t="inlineStr">
        <is>
          <t>2026-09-17</t>
        </is>
      </c>
      <c r="D30" s="49" t="inlineStr">
        <is>
          <t>2026-09-18 12:13（北京时间）</t>
        </is>
      </c>
      <c r="E30" s="49" t="inlineStr">
        <is>
          <t>https://simondongxiao.github.io/odds/v3-legacy/</t>
        </is>
      </c>
      <c r="F30" s="49" t="n">
        <v>16</v>
      </c>
      <c r="G30" s="49" t="n">
        <v>15</v>
      </c>
      <c r="H30" s="49" t="n">
        <v>1</v>
      </c>
      <c r="I30" s="87" t="n">
        <v>4.85</v>
      </c>
      <c r="J30" s="49" t="inlineStr">
        <is>
          <t>新增9/17最新冻结可投16场，时间窗9/17 12:00至9/18 12:00；比分来源见赛事明细T列。15场已核对终场比分并结算，1场比分仍待确认；按即时亚盘和真实投注水位重算，红黑分布、均注1u盈亏和ROI见本行与赛事明细。历史记录保留。</t>
        </is>
      </c>
    </row>
    <row r="31" ht="60" customHeight="1" s="78">
      <c r="A31" s="49" t="n">
        <v>28</v>
      </c>
      <c r="B31" s="49" t="inlineStr">
        <is>
          <t>2026-09-21 11:36</t>
        </is>
      </c>
      <c r="C31" s="49" t="inlineStr">
        <is>
          <t>2026-09-18</t>
        </is>
      </c>
      <c r="D31" s="49" t="inlineStr">
        <is>
          <t>2026-09-21 11:36（北京时间）</t>
        </is>
      </c>
      <c r="E31" s="49" t="inlineStr">
        <is>
          <t>https://simondongxiao.github.io/odds/v3-legacy/</t>
        </is>
      </c>
      <c r="F31" s="49" t="n">
        <v>18</v>
      </c>
      <c r="G31" s="49" t="n">
        <v>18</v>
      </c>
      <c r="H31" s="49" t="n">
        <v>0</v>
      </c>
      <c r="I31" s="87" t="n">
        <v>-1.99</v>
      </c>
      <c r="J31" s="49" t="inlineStr">
        <is>
          <t>按冻结可投赛事统计，记账窗口2026-09-18 12:00至次日12:00；共18场，确认结算18场，待核/未赛0场。按即时亚盘和真实水位结算；比分来源见明细T列；待核比分不计入盈亏。</t>
        </is>
      </c>
    </row>
    <row r="32" ht="60" customHeight="1" s="78">
      <c r="A32" s="49" t="n">
        <v>29</v>
      </c>
      <c r="B32" s="49" t="inlineStr">
        <is>
          <t>2026-09-21 11:36</t>
        </is>
      </c>
      <c r="C32" s="49" t="inlineStr">
        <is>
          <t>2026-09-19</t>
        </is>
      </c>
      <c r="D32" s="49" t="inlineStr">
        <is>
          <t>2026-09-21 11:36（北京时间）</t>
        </is>
      </c>
      <c r="E32" s="49" t="inlineStr">
        <is>
          <t>https://simondongxiao.github.io/odds/v3-legacy/</t>
        </is>
      </c>
      <c r="F32" s="49" t="n">
        <v>60</v>
      </c>
      <c r="G32" s="49" t="n">
        <v>60</v>
      </c>
      <c r="H32" s="49" t="n">
        <v>0</v>
      </c>
      <c r="I32" s="87" t="n">
        <v>0.0350000000000001</v>
      </c>
      <c r="J32" s="49" t="inlineStr">
        <is>
          <t>按冻结可投赛事统计，记账窗口2026-09-19 12:00至次日12:00；共60场，确认结算60场，待核/未赛0场。按即时亚盘和真实水位结算；比分来源见明细T列；待核比分不计入盈亏。</t>
        </is>
      </c>
    </row>
    <row r="33" ht="60" customHeight="1" s="78">
      <c r="A33" s="49" t="n">
        <v>30</v>
      </c>
      <c r="B33" s="49" t="inlineStr">
        <is>
          <t>2026-09-21 11:36</t>
        </is>
      </c>
      <c r="C33" s="49" t="inlineStr">
        <is>
          <t>2026-09-20</t>
        </is>
      </c>
      <c r="D33" s="49" t="inlineStr">
        <is>
          <t>2026-09-21 11:36（北京时间）</t>
        </is>
      </c>
      <c r="E33" s="49" t="inlineStr">
        <is>
          <t>https://simondongxiao.github.io/odds/v3-legacy/</t>
        </is>
      </c>
      <c r="F33" s="49" t="n">
        <v>39</v>
      </c>
      <c r="G33" s="49" t="n">
        <v>39</v>
      </c>
      <c r="H33" s="49" t="n">
        <v>0</v>
      </c>
      <c r="I33" s="87" t="n">
        <v>-8.824999999999999</v>
      </c>
      <c r="J33" s="49" t="inlineStr">
        <is>
          <t>按冻结可投赛事统计，记账窗口2026-09-20 12:00至次日12:00；共39场，确认结算39场，待核/未赛0场。按即时亚盘和真实水位结算；比分来源见明细T列；待核比分不计入盈亏。</t>
        </is>
      </c>
    </row>
    <row r="34" ht="60" customHeight="1" s="78">
      <c r="A34" s="49" t="n">
        <v>31</v>
      </c>
      <c r="B34" s="49" t="inlineStr">
        <is>
          <t>2026-09-21 11:36</t>
        </is>
      </c>
      <c r="C34" s="49" t="inlineStr">
        <is>
          <t>2026-09-21</t>
        </is>
      </c>
      <c r="D34" s="49" t="inlineStr">
        <is>
          <t>2026-09-21 11:36（北京时间）</t>
        </is>
      </c>
      <c r="E34" s="49" t="inlineStr">
        <is>
          <t>https://simondongxiao.github.io/odds/v3-legacy/</t>
        </is>
      </c>
      <c r="F34" s="49" t="n">
        <v>2</v>
      </c>
      <c r="G34" s="49" t="n">
        <v>0</v>
      </c>
      <c r="H34" s="49" t="n">
        <v>2</v>
      </c>
      <c r="I34" s="87" t="n">
        <v>0</v>
      </c>
      <c r="J34" s="49" t="inlineStr">
        <is>
          <t>按冻结可投赛事统计，记账窗口2026-09-21 12:00至次日12:00；共2场，确认结算0场，待核/未赛2场。按即时亚盘和真实水位结算；比分来源见明细T列；待核比分不计入盈亏。</t>
        </is>
      </c>
    </row>
    <row r="35" ht="60" customHeight="1" s="78">
      <c r="A35" s="49" t="n">
        <v>32</v>
      </c>
      <c r="B35" s="49" t="inlineStr">
        <is>
          <t>2026-09-22 10:42</t>
        </is>
      </c>
      <c r="C35" s="49" t="inlineStr">
        <is>
          <t>2026-09-21</t>
        </is>
      </c>
      <c r="D35" s="49" t="inlineStr">
        <is>
          <t>2026-09-22 10:42（北京时间）</t>
        </is>
      </c>
      <c r="E35" s="49" t="inlineStr">
        <is>
          <t>https://simondongxiao.github.io/odds/v3-legacy/</t>
        </is>
      </c>
      <c r="F35" s="49" t="n">
        <v>2</v>
      </c>
      <c r="G35" s="49" t="n">
        <v>2</v>
      </c>
      <c r="H35" s="49" t="n">
        <v>0</v>
      </c>
      <c r="I35" s="49" t="n">
        <v>-0.22</v>
      </c>
      <c r="J35" s="49" t="inlineStr">
        <is>
          <t>补齐2026-09-21已完场候选2场；比分来源写入赛事明细T列；按签名亚盘、真实投注水位和固定规则重算红黑及盈亏。</t>
        </is>
      </c>
    </row>
    <row r="36" ht="60" customHeight="1" s="78">
      <c r="A36" s="49" t="n">
        <v>33</v>
      </c>
      <c r="B36" s="49" t="inlineStr">
        <is>
          <t>2026-09-22 10:43</t>
        </is>
      </c>
      <c r="C36" s="49" t="inlineStr">
        <is>
          <t>2026-09-21</t>
        </is>
      </c>
      <c r="D36" s="49" t="inlineStr">
        <is>
          <t>2026-09-22 10:43（北京时间）</t>
        </is>
      </c>
      <c r="E36" s="49" t="inlineStr">
        <is>
          <t>https://simondongxiao.github.io/odds/v3-legacy/</t>
        </is>
      </c>
      <c r="F36" s="49" t="n">
        <v>2</v>
      </c>
      <c r="G36" s="49" t="n">
        <v>2</v>
      </c>
      <c r="H36" s="49" t="n">
        <v>0</v>
      </c>
      <c r="I36" s="49" t="n">
        <v>-0.22</v>
      </c>
      <c r="J36" s="49" t="inlineStr">
        <is>
          <t>补齐2026-09-21已完场候选2场；比分来源写入赛事明细T列；按签名亚盘、真实投注水位和固定规则重算红黑及盈亏。</t>
        </is>
      </c>
    </row>
    <row r="37">
      <c r="A37" s="0" t="n">
        <v>34</v>
      </c>
      <c r="B37" s="0" t="inlineStr">
        <is>
          <t>2026-09-23 11:10</t>
        </is>
      </c>
      <c r="C37" s="0" t="inlineStr">
        <is>
          <t>2026-09-22</t>
        </is>
      </c>
      <c r="D37" s="0" t="inlineStr">
        <is>
          <t>2026-09-23 11:10（北京时间）</t>
        </is>
      </c>
      <c r="E37" s="0" t="inlineStr">
        <is>
          <t>https://simondongxiao.github.io/odds/v3-legacy/</t>
        </is>
      </c>
      <c r="F37" s="0" t="n">
        <v>4</v>
      </c>
      <c r="G37" s="0" t="n">
        <v>4</v>
      </c>
      <c r="H37" s="0" t="n">
        <v>0</v>
      </c>
      <c r="I37" s="0" t="n">
        <v>0.14</v>
      </c>
      <c r="J37" s="0" t="inlineStr">
        <is>
          <t>新增2026-09-22最新候选4场；已结算4场；待结算0场；按签名亚盘和真实水位计算。</t>
        </is>
      </c>
    </row>
    <row r="38">
      <c r="A38" s="0" t="n">
        <v>35</v>
      </c>
      <c r="B38" s="0" t="inlineStr">
        <is>
          <t>2026-09-23 11:10</t>
        </is>
      </c>
      <c r="C38" s="0" t="inlineStr">
        <is>
          <t>2026-09-23</t>
        </is>
      </c>
      <c r="D38" s="0" t="inlineStr">
        <is>
          <t>2026-09-23 11:10（北京时间）</t>
        </is>
      </c>
      <c r="E38" s="0" t="inlineStr">
        <is>
          <t>https://simondongxiao.github.io/odds/v3-legacy/</t>
        </is>
      </c>
      <c r="F38" s="0" t="n">
        <v>17</v>
      </c>
      <c r="G38" s="0" t="n">
        <v>17</v>
      </c>
      <c r="H38" s="0" t="n">
        <v>0</v>
      </c>
      <c r="I38" s="0" t="n">
        <v>-5.95</v>
      </c>
      <c r="J38" s="0" t="inlineStr">
        <is>
          <t>按北京时间12:00–次日12:00记账；本次复核2026-09-23页面候选，已结算17场，待结算0场；按实际投注水位计算盈亏。</t>
        </is>
      </c>
    </row>
    <row r="39">
      <c r="A39" s="0" t="n">
        <v>36</v>
      </c>
      <c r="B39" s="0" t="inlineStr">
        <is>
          <t>2026-09-28 09:49</t>
        </is>
      </c>
      <c r="C39" s="0" t="inlineStr">
        <is>
          <t>2026-09-24</t>
        </is>
      </c>
      <c r="D39" s="0" t="inlineStr">
        <is>
          <t>v3-legacy-latest-freeze</t>
        </is>
      </c>
      <c r="E39" s="0" t="inlineStr">
        <is>
          <t>https://simondongxiao.github.io/odds/v3-legacy/</t>
        </is>
      </c>
      <c r="F39" s="0" t="n">
        <v>7</v>
      </c>
      <c r="G39" s="0" t="n">
        <v>7</v>
      </c>
      <c r="H39" s="0" t="n">
        <v>0</v>
      </c>
      <c r="I39" s="0" t="n">
        <v>-4.75</v>
      </c>
      <c r="J39" s="0" t="inlineStr">
        <is>
          <t>按北京时间12:00–次日12:00记账；本次复核2026-09-24页面候选，已结算7场，待结算0场；按实际投注水位计算盈亏。</t>
        </is>
      </c>
    </row>
    <row r="40">
      <c r="A40" s="0" t="n">
        <v>37</v>
      </c>
      <c r="B40" s="0" t="inlineStr">
        <is>
          <t>2026-09-28 09:49</t>
        </is>
      </c>
      <c r="C40" s="0" t="inlineStr">
        <is>
          <t>2026-09-25</t>
        </is>
      </c>
      <c r="D40" s="0" t="inlineStr">
        <is>
          <t>v3-legacy-latest-freeze</t>
        </is>
      </c>
      <c r="E40" s="0" t="inlineStr">
        <is>
          <t>https://simondongxiao.github.io/odds/v3-legacy/</t>
        </is>
      </c>
      <c r="F40" s="0" t="n">
        <v>17</v>
      </c>
      <c r="G40" s="0" t="n">
        <v>17</v>
      </c>
      <c r="H40" s="0" t="n">
        <v>0</v>
      </c>
      <c r="I40" s="0" t="n">
        <v>-1.83</v>
      </c>
      <c r="J40" s="0" t="inlineStr">
        <is>
          <t>按北京时间12:00–次日12:00记账；本次复核2026-09-25页面候选，已结算17场，待结算0场；按实际投注水位计算盈亏。</t>
        </is>
      </c>
    </row>
    <row r="41">
      <c r="A41" s="0" t="n">
        <v>38</v>
      </c>
      <c r="B41" s="0" t="inlineStr">
        <is>
          <t>2026-09-28 09:49</t>
        </is>
      </c>
      <c r="C41" s="0" t="inlineStr">
        <is>
          <t>2026-09-26</t>
        </is>
      </c>
      <c r="D41" s="0" t="inlineStr">
        <is>
          <t>v3-legacy-latest-freeze</t>
        </is>
      </c>
      <c r="E41" s="0" t="inlineStr">
        <is>
          <t>https://simondongxiao.github.io/odds/v3-legacy/</t>
        </is>
      </c>
      <c r="F41" s="0" t="n">
        <v>23</v>
      </c>
      <c r="G41" s="0" t="n">
        <v>23</v>
      </c>
      <c r="H41" s="0" t="n">
        <v>0</v>
      </c>
      <c r="I41" s="0" t="n">
        <v>-3.215</v>
      </c>
      <c r="J41" s="0" t="inlineStr">
        <is>
          <t>按北京时间12:00–次日12:00记账；本次复核2026-09-26页面候选，已结算23场，待结算0场；按实际投注水位计算盈亏。</t>
        </is>
      </c>
    </row>
    <row r="42">
      <c r="A42" s="0" t="n">
        <v>42</v>
      </c>
      <c r="B42" s="0" t="inlineStr">
        <is>
          <t>2026-09-29 14:00（北京时间）</t>
        </is>
      </c>
      <c r="C42" s="0" t="inlineStr">
        <is>
          <t>2026-09-17</t>
        </is>
      </c>
      <c r="D42" s="0" t="inlineStr">
        <is>
          <t>比分补录复核</t>
        </is>
      </c>
      <c r="E42" s="0" t="inlineStr">
        <is>
          <t>https://www.sportschau.de/live-und-ergebnisse/fussball/fifa-freundschaft/ma12572896/papua-neuguinea_vanuatu/info</t>
        </is>
      </c>
      <c r="F42" s="0" t="n">
        <v>1</v>
      </c>
      <c r="G42" s="0" t="n">
        <v>1</v>
      </c>
      <c r="H42" s="0" t="n">
        <v>0</v>
      </c>
      <c r="I42" s="0" t="n">
        <v>0.8100000000000001</v>
      </c>
      <c r="J42" s="0" t="inlineStr">
        <is>
          <t>补录巴布亚新几内亚 2-1 瓦努阿图；按 signed AH +0.25、真实水位0.81结算为红，V3待结算清零。</t>
        </is>
      </c>
    </row>
    <row r="43">
      <c r="A43" s="0" t="n">
        <v>43</v>
      </c>
      <c r="B43" s="0" t="inlineStr">
        <is>
          <t>2026-09-30 10:00（北京时间）</t>
        </is>
      </c>
      <c r="C43" s="0" t="inlineStr">
        <is>
          <t>2026-09-29</t>
        </is>
      </c>
      <c r="D43" s="0" t="inlineStr">
        <is>
          <t>2026-09-30复核（北京时间）</t>
        </is>
      </c>
      <c r="E43" s="0" t="inlineStr">
        <is>
          <t>https://simondongxiao.github.io/odds/v3-legacy/</t>
        </is>
      </c>
      <c r="F43" s="0" t="n">
        <v>0</v>
      </c>
      <c r="G43" s="0" t="n">
        <v>0</v>
      </c>
      <c r="H43" s="0" t="n">
        <v>0</v>
      </c>
      <c r="I43" s="0" t="n">
        <v>0</v>
      </c>
      <c r="J43" s="0" t="inlineStr">
        <is>
          <t>按skill复核9/29页面：63场原始赛程，0场冻结可投候选；不新增赛事明细，原总账保持不变。</t>
        </is>
      </c>
    </row>
    <row r="44">
      <c r="A44" s="0" t="n">
        <v>41</v>
      </c>
      <c r="B44" s="0" t="inlineStr">
        <is>
          <t>2026-09-29 13:17</t>
        </is>
      </c>
      <c r="C44" s="0" t="inlineStr">
        <is>
          <t>2026-09-29</t>
        </is>
      </c>
      <c r="D44" s="0" t="inlineStr">
        <is>
          <t>2026-09-29 13:17（北京时间）</t>
        </is>
      </c>
      <c r="E44" s="0" t="inlineStr">
        <is>
          <t>https://simondongxiao.github.io/odds/v3-legacy/</t>
        </is>
      </c>
      <c r="F44" s="0" t="n">
        <v>0</v>
      </c>
      <c r="G44" s="0" t="n">
        <v>0</v>
      </c>
      <c r="H44" s="0" t="n">
        <v>0</v>
      </c>
      <c r="I44" s="0" t="n">
        <v>0</v>
      </c>
      <c r="J44" s="0" t="inlineStr">
        <is>
          <t>按skill读取V3 2026-09-29页面：63场赛程均缺少完整亚盘/欧赔，0场冻结可投候选；本次不补造盘口，不新增明细，待页面补齐赔率后再更新。</t>
        </is>
      </c>
    </row>
    <row r="45" ht="60" customHeight="1" s="78">
      <c r="A45" s="49" t="n">
        <v>44</v>
      </c>
      <c r="B45" s="49" t="inlineStr">
        <is>
          <t>2026-09-30 11:15</t>
        </is>
      </c>
      <c r="C45" s="49" t="inlineStr">
        <is>
          <t>2026-09-29</t>
        </is>
      </c>
      <c r="D45" s="49" t="inlineStr">
        <is>
          <t>2026-09-30 11:15（北京时间）</t>
        </is>
      </c>
      <c r="E45" s="49" t="inlineStr">
        <is>
          <t>https://simondongxiao.github.io/odds/v3-legacy/?v=ae799be</t>
        </is>
      </c>
      <c r="F45" s="49" t="n">
        <v>10</v>
      </c>
      <c r="G45" s="49" t="n">
        <v>10</v>
      </c>
      <c r="H45" s="49" t="n">
        <v>0</v>
      </c>
      <c r="I45" s="87" t="n">
        <v>-1.49</v>
      </c>
      <c r="J45" s="49" t="inlineStr">
        <is>
          <t>纠正旧快照读取错误：重新读取当前GitHub V3页面并补录9/29；去重后10场，行高统一22。比分/结算按当前页面字段写入，真实水位保留。</t>
        </is>
      </c>
    </row>
    <row r="46" ht="60" customHeight="1" s="78">
      <c r="A46" s="49" t="n">
        <v>45</v>
      </c>
      <c r="B46" s="49" t="inlineStr">
        <is>
          <t>2026-10-04 12:30</t>
        </is>
      </c>
      <c r="C46" s="49" t="inlineStr">
        <is>
          <t>2026-09-30至2026-10-04</t>
        </is>
      </c>
      <c r="D46" s="49" t="inlineStr">
        <is>
          <t>2026-10-04 12:30（北京时间）</t>
        </is>
      </c>
      <c r="E46" s="49" t="inlineStr">
        <is>
          <t>Titan007冻结JSON + 结果回填</t>
        </is>
      </c>
      <c r="F46" s="49" t="n">
        <v>65</v>
      </c>
      <c r="G46" s="49" t="n">
        <v>39</v>
      </c>
      <c r="H46" s="49" t="n">
        <v>26</v>
      </c>
      <c r="I46" s="87">
        <f>SUMIFS(赛事明细!$S$4:$S$2000,赛事明细!$P$4:$P$2000,"已结算")</f>
        <v/>
      </c>
      <c r="J46" s="49" t="inlineStr">
        <is>
          <t>9/30至10/4增量；已有比赛只回填比分、状态、结算、PnL和来源；缺失字段留空</t>
        </is>
      </c>
    </row>
    <row r="47" ht="60" customHeight="1" s="78">
      <c r="A47" s="49" t="n">
        <v>46</v>
      </c>
      <c r="B47" s="49" t="inlineStr">
        <is>
          <t>2026-10-04 12:30</t>
        </is>
      </c>
      <c r="C47" s="49" t="inlineStr">
        <is>
          <t>2026-09-30至2026-10-04</t>
        </is>
      </c>
      <c r="D47" s="49" t="inlineStr">
        <is>
          <t>2026-10-04 12:30（北京时间）</t>
        </is>
      </c>
      <c r="E47" s="49" t="inlineStr">
        <is>
          <t>Titan007冻结JSON + 结果回填</t>
        </is>
      </c>
      <c r="F47" s="49" t="n">
        <v>65</v>
      </c>
      <c r="G47" s="49" t="n">
        <v>39</v>
      </c>
      <c r="H47" s="49" t="n">
        <v>26</v>
      </c>
      <c r="I47" s="87">
        <f>SUMIFS(赛事明细!$S$4:$S$2000,赛事明细!$P$4:$P$2000,"已结算")</f>
        <v/>
      </c>
      <c r="J47" s="49" t="inlineStr">
        <is>
          <t>9/30至10/4增量；已有比赛只回填比分、状态、结算、PnL和来源；缺失字段留空</t>
        </is>
      </c>
    </row>
    <row r="48" ht="60" customHeight="1" s="78">
      <c r="A48" s="49" t="n">
        <v>47</v>
      </c>
      <c r="B48" s="49" t="inlineStr">
        <is>
          <t>2026-10-04 12:30</t>
        </is>
      </c>
      <c r="C48" s="49" t="inlineStr">
        <is>
          <t>2026-09-30至2026-10-04</t>
        </is>
      </c>
      <c r="D48" s="49" t="inlineStr">
        <is>
          <t>2026-10-04 12:30（北京时间）</t>
        </is>
      </c>
      <c r="E48" s="49" t="inlineStr">
        <is>
          <t>Titan007冻结JSON + 结果回填</t>
        </is>
      </c>
      <c r="F48" s="49" t="n">
        <v>65</v>
      </c>
      <c r="G48" s="49" t="n">
        <v>39</v>
      </c>
      <c r="H48" s="49" t="n">
        <v>26</v>
      </c>
      <c r="I48" s="87">
        <f>SUMIFS(赛事明细!$S$4:$S$2000,赛事明细!$P$4:$P$2000,"已结算")</f>
        <v/>
      </c>
      <c r="J48" s="49" t="inlineStr">
        <is>
          <t>9/30至10/4增量；已有比赛只回填比分、状态、结算、PnL和来源；缺失字段留空</t>
        </is>
      </c>
    </row>
  </sheetData>
  <mergeCells count="1">
    <mergeCell ref="A1:J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3"/>
  <sheetViews>
    <sheetView showGridLines="0" workbookViewId="0">
      <pane ySplit="5" topLeftCell="A6" activePane="bottomLeft" state="frozen"/>
      <selection activeCell="A1" sqref="A1"/>
      <selection pane="bottomLeft" activeCell="A1" sqref="A1:K1"/>
    </sheetView>
  </sheetViews>
  <sheetFormatPr baseColWidth="8" defaultColWidth="9" defaultRowHeight="13.8"/>
  <cols>
    <col width="32" customWidth="1" style="78" min="1" max="1"/>
    <col width="15" customWidth="1" style="78" min="2" max="2"/>
    <col width="9" customWidth="1" style="78" min="3" max="7"/>
    <col width="15" customWidth="1" style="78" min="8" max="9"/>
    <col width="13" customWidth="1" style="78" min="10" max="10"/>
    <col width="23" customWidth="1" style="78" min="11" max="11"/>
  </cols>
  <sheetData>
    <row r="1" ht="27" customHeight="1" s="78">
      <c r="A1" s="38" t="inlineStr">
        <is>
          <t>足球亚盘分类统计（截至09/29)</t>
        </is>
      </c>
    </row>
    <row r="2" ht="36" customHeight="1" s="78">
      <c r="A2" s="39" t="inlineStr">
        <is>
          <t>只统计已结算；按原记录保留地区和意图。有效胜率按半赢半输折算，走盘不入分母。ROI=盈亏÷已结算场次。</t>
        </is>
      </c>
    </row>
    <row r="4" ht="27" customHeight="1" s="78">
      <c r="A4" s="38" t="inlineStr">
        <is>
          <t>按赛事类型</t>
        </is>
      </c>
    </row>
    <row r="5" ht="26" customHeight="1" s="78">
      <c r="A5" s="40" t="inlineStr">
        <is>
          <t>分类</t>
        </is>
      </c>
      <c r="B5" s="40" t="inlineStr">
        <is>
          <t>已结算场次</t>
        </is>
      </c>
      <c r="C5" s="40" t="inlineStr">
        <is>
          <t>红</t>
        </is>
      </c>
      <c r="D5" s="40" t="inlineStr">
        <is>
          <t>半红</t>
        </is>
      </c>
      <c r="E5" s="40" t="inlineStr">
        <is>
          <t>走</t>
        </is>
      </c>
      <c r="F5" s="40" t="inlineStr">
        <is>
          <t>半黑</t>
        </is>
      </c>
      <c r="G5" s="40" t="inlineStr">
        <is>
          <t>黑</t>
        </is>
      </c>
      <c r="H5" s="40" t="inlineStr">
        <is>
          <t>有效胜率</t>
        </is>
      </c>
      <c r="I5" s="40" t="inlineStr">
        <is>
          <t>总盈亏(u)</t>
        </is>
      </c>
      <c r="J5" s="40" t="inlineStr">
        <is>
          <t>ROI</t>
        </is>
      </c>
      <c r="K5" s="40" t="inlineStr">
        <is>
          <t>备注</t>
        </is>
      </c>
    </row>
    <row r="6" ht="24" customHeight="1" s="78">
      <c r="A6" s="41" t="inlineStr">
        <is>
          <t>杯赛</t>
        </is>
      </c>
      <c r="B6" s="41">
        <f>COUNTIFS(赛事明细!$P$4:$P$2000,"已结算",赛事明细!$D$4:$D$2000,$A6)</f>
        <v/>
      </c>
      <c r="C6" s="41">
        <f>COUNTIFS(赛事明细!$P$4:$P$2000,"已结算",赛事明细!$D$4:$D$2000,$A6,赛事明细!$Q$4:$Q$2000,"红")</f>
        <v/>
      </c>
      <c r="D6" s="41">
        <f>COUNTIFS(赛事明细!$P$4:$P$2000,"已结算",赛事明细!$D$4:$D$2000,$A6,赛事明细!$Q$4:$Q$2000,"半红")</f>
        <v/>
      </c>
      <c r="E6" s="41">
        <f>COUNTIFS(赛事明细!$P$4:$P$2000,"已结算",赛事明细!$D$4:$D$2000,$A6,赛事明细!$Q$4:$Q$2000,"走")</f>
        <v/>
      </c>
      <c r="F6" s="41">
        <f>COUNTIFS(赛事明细!$P$4:$P$2000,"已结算",赛事明细!$D$4:$D$2000,$A6,赛事明细!$Q$4:$Q$2000,"半黑")</f>
        <v/>
      </c>
      <c r="G6" s="41">
        <f>COUNTIFS(赛事明细!$P$4:$P$2000,"已结算",赛事明细!$D$4:$D$2000,$A6,赛事明细!$Q$4:$Q$2000,"黑")</f>
        <v/>
      </c>
      <c r="H6" s="89">
        <f>IFERROR((C6+0.5*D6)/(C6+0.5*D6+G6+0.5*F6),0)</f>
        <v/>
      </c>
      <c r="I6" s="81">
        <f>SUMIFS(赛事明细!$S$4:$S$2000,赛事明细!$P$4:$P$2000,"已结算",赛事明细!$D$4:$D$2000,$A6)</f>
        <v/>
      </c>
      <c r="J6" s="89">
        <f>IFERROR(I6/B6,0)</f>
        <v/>
      </c>
      <c r="K6" s="41">
        <f>IF(B6&lt;5,"样本&lt;5，谨慎解读","")</f>
        <v/>
      </c>
    </row>
    <row r="7" ht="24" customHeight="1" s="78">
      <c r="A7" s="41" t="inlineStr">
        <is>
          <t>联赛</t>
        </is>
      </c>
      <c r="B7" s="41">
        <f>COUNTIFS(赛事明细!$P$4:$P$2000,"已结算",赛事明细!$D$4:$D$2000,$A7)</f>
        <v/>
      </c>
      <c r="C7" s="41">
        <f>COUNTIFS(赛事明细!$P$4:$P$2000,"已结算",赛事明细!$D$4:$D$2000,$A7,赛事明细!$Q$4:$Q$2000,"红")</f>
        <v/>
      </c>
      <c r="D7" s="41">
        <f>COUNTIFS(赛事明细!$P$4:$P$2000,"已结算",赛事明细!$D$4:$D$2000,$A7,赛事明细!$Q$4:$Q$2000,"半红")</f>
        <v/>
      </c>
      <c r="E7" s="41">
        <f>COUNTIFS(赛事明细!$P$4:$P$2000,"已结算",赛事明细!$D$4:$D$2000,$A7,赛事明细!$Q$4:$Q$2000,"走")</f>
        <v/>
      </c>
      <c r="F7" s="41">
        <f>COUNTIFS(赛事明细!$P$4:$P$2000,"已结算",赛事明细!$D$4:$D$2000,$A7,赛事明细!$Q$4:$Q$2000,"半黑")</f>
        <v/>
      </c>
      <c r="G7" s="41">
        <f>COUNTIFS(赛事明细!$P$4:$P$2000,"已结算",赛事明细!$D$4:$D$2000,$A7,赛事明细!$Q$4:$Q$2000,"黑")</f>
        <v/>
      </c>
      <c r="H7" s="89">
        <f>IFERROR((C7+0.5*D7)/(C7+0.5*D7+G7+0.5*F7),0)</f>
        <v/>
      </c>
      <c r="I7" s="81">
        <f>SUMIFS(赛事明细!$S$4:$S$2000,赛事明细!$P$4:$P$2000,"已结算",赛事明细!$D$4:$D$2000,$A7)</f>
        <v/>
      </c>
      <c r="J7" s="89">
        <f>IFERROR(I7/B7,0)</f>
        <v/>
      </c>
      <c r="K7" s="41">
        <f>IF(B7&lt;5,"样本&lt;5，谨慎解读","")</f>
        <v/>
      </c>
    </row>
    <row r="8" ht="24" customHeight="1" s="78">
      <c r="A8" s="44" t="inlineStr">
        <is>
          <t>合计</t>
        </is>
      </c>
      <c r="B8" s="44">
        <f>SUM(B6:B7)</f>
        <v/>
      </c>
      <c r="C8" s="44">
        <f>SUM(C6:C7)</f>
        <v/>
      </c>
      <c r="D8" s="44">
        <f>SUM(D6:D7)</f>
        <v/>
      </c>
      <c r="E8" s="44">
        <f>SUM(E6:E7)</f>
        <v/>
      </c>
      <c r="F8" s="44">
        <f>SUM(F6:F7)</f>
        <v/>
      </c>
      <c r="G8" s="44">
        <f>SUM(G6:G7)</f>
        <v/>
      </c>
      <c r="H8" s="90">
        <f>IFERROR((C8+0.5*D8)/(C8+0.5*D8+G8+0.5*F8),0)</f>
        <v/>
      </c>
      <c r="I8" s="91">
        <f>SUM(I6:I7)</f>
        <v/>
      </c>
      <c r="J8" s="90">
        <f>IFERROR(I8/B8,0)</f>
        <v/>
      </c>
      <c r="K8" s="44" t="n"/>
    </row>
    <row r="9" ht="22" customHeight="1" s="78"/>
    <row r="10" ht="22" customHeight="1" s="78"/>
    <row r="11" ht="27" customHeight="1" s="78">
      <c r="A11" s="38" t="inlineStr">
        <is>
          <t>按联赛 / 杯赛</t>
        </is>
      </c>
    </row>
    <row r="12" ht="26" customHeight="1" s="78">
      <c r="A12" s="40" t="inlineStr">
        <is>
          <t>分类</t>
        </is>
      </c>
      <c r="B12" s="40" t="inlineStr">
        <is>
          <t>已结算场次</t>
        </is>
      </c>
      <c r="C12" s="40" t="inlineStr">
        <is>
          <t>红</t>
        </is>
      </c>
      <c r="D12" s="40" t="inlineStr">
        <is>
          <t>半红</t>
        </is>
      </c>
      <c r="E12" s="40" t="inlineStr">
        <is>
          <t>走</t>
        </is>
      </c>
      <c r="F12" s="40" t="inlineStr">
        <is>
          <t>半黑</t>
        </is>
      </c>
      <c r="G12" s="40" t="inlineStr">
        <is>
          <t>黑</t>
        </is>
      </c>
      <c r="H12" s="40" t="inlineStr">
        <is>
          <t>有效胜率</t>
        </is>
      </c>
      <c r="I12" s="40" t="inlineStr">
        <is>
          <t>总盈亏(u)</t>
        </is>
      </c>
      <c r="J12" s="40" t="inlineStr">
        <is>
          <t>ROI</t>
        </is>
      </c>
      <c r="K12" s="40" t="inlineStr">
        <is>
          <t>备注</t>
        </is>
      </c>
    </row>
    <row r="13" ht="24" customHeight="1" s="78">
      <c r="A13" s="41" t="inlineStr">
        <is>
          <t>罗杯</t>
        </is>
      </c>
      <c r="B13" s="41">
        <f>COUNTIFS(赛事明细!$P$4:$P$2000,"已结算",赛事明细!$E$4:$E$2000,$A13)</f>
        <v/>
      </c>
      <c r="C13" s="41">
        <f>COUNTIFS(赛事明细!$P$4:$P$2000,"已结算",赛事明细!$E$4:$E$2000,$A13,赛事明细!$Q$4:$Q$2000,"红")</f>
        <v/>
      </c>
      <c r="D13" s="41">
        <f>COUNTIFS(赛事明细!$P$4:$P$2000,"已结算",赛事明细!$E$4:$E$2000,$A13,赛事明细!$Q$4:$Q$2000,"半红")</f>
        <v/>
      </c>
      <c r="E13" s="41">
        <f>COUNTIFS(赛事明细!$P$4:$P$2000,"已结算",赛事明细!$E$4:$E$2000,$A13,赛事明细!$Q$4:$Q$2000,"走")</f>
        <v/>
      </c>
      <c r="F13" s="41">
        <f>COUNTIFS(赛事明细!$P$4:$P$2000,"已结算",赛事明细!$E$4:$E$2000,$A13,赛事明细!$Q$4:$Q$2000,"半黑")</f>
        <v/>
      </c>
      <c r="G13" s="41">
        <f>COUNTIFS(赛事明细!$P$4:$P$2000,"已结算",赛事明细!$E$4:$E$2000,$A13,赛事明细!$Q$4:$Q$2000,"黑")</f>
        <v/>
      </c>
      <c r="H13" s="89">
        <f>IFERROR((C13+0.5*D13)/(C13+0.5*D13+G13+0.5*F13),0)</f>
        <v/>
      </c>
      <c r="I13" s="81">
        <f>SUMIFS(赛事明细!$S$4:$S$2000,赛事明细!$P$4:$P$2000,"已结算",赛事明细!$E$4:$E$2000,$A13)</f>
        <v/>
      </c>
      <c r="J13" s="89">
        <f>IFERROR(I13/B13,0)</f>
        <v/>
      </c>
      <c r="K13" s="41">
        <f>IF(B13&lt;5,"样本&lt;5，谨慎解读","")</f>
        <v/>
      </c>
    </row>
    <row r="14" ht="24" customHeight="1" s="78">
      <c r="A14" s="41" t="inlineStr">
        <is>
          <t>欧女杯</t>
        </is>
      </c>
      <c r="B14" s="41">
        <f>COUNTIFS(赛事明细!$P$4:$P$2000,"已结算",赛事明细!$E$4:$E$2000,$A14)</f>
        <v/>
      </c>
      <c r="C14" s="41">
        <f>COUNTIFS(赛事明细!$P$4:$P$2000,"已结算",赛事明细!$E$4:$E$2000,$A14,赛事明细!$Q$4:$Q$2000,"红")</f>
        <v/>
      </c>
      <c r="D14" s="41">
        <f>COUNTIFS(赛事明细!$P$4:$P$2000,"已结算",赛事明细!$E$4:$E$2000,$A14,赛事明细!$Q$4:$Q$2000,"半红")</f>
        <v/>
      </c>
      <c r="E14" s="41">
        <f>COUNTIFS(赛事明细!$P$4:$P$2000,"已结算",赛事明细!$E$4:$E$2000,$A14,赛事明细!$Q$4:$Q$2000,"走")</f>
        <v/>
      </c>
      <c r="F14" s="41">
        <f>COUNTIFS(赛事明细!$P$4:$P$2000,"已结算",赛事明细!$E$4:$E$2000,$A14,赛事明细!$Q$4:$Q$2000,"半黑")</f>
        <v/>
      </c>
      <c r="G14" s="41">
        <f>COUNTIFS(赛事明细!$P$4:$P$2000,"已结算",赛事明细!$E$4:$E$2000,$A14,赛事明细!$Q$4:$Q$2000,"黑")</f>
        <v/>
      </c>
      <c r="H14" s="89">
        <f>IFERROR((C14+0.5*D14)/(C14+0.5*D14+G14+0.5*F14),0)</f>
        <v/>
      </c>
      <c r="I14" s="81">
        <f>SUMIFS(赛事明细!$S$4:$S$2000,赛事明细!$P$4:$P$2000,"已结算",赛事明细!$E$4:$E$2000,$A14)</f>
        <v/>
      </c>
      <c r="J14" s="89">
        <f>IFERROR(I14/B14,0)</f>
        <v/>
      </c>
      <c r="K14" s="41">
        <f>IF(B14&lt;5,"样本&lt;5，谨慎解读","")</f>
        <v/>
      </c>
    </row>
    <row r="15" ht="24" customHeight="1" s="78">
      <c r="A15" s="41" t="inlineStr">
        <is>
          <t>意杯</t>
        </is>
      </c>
      <c r="B15" s="41">
        <f>COUNTIFS(赛事明细!$P$4:$P$2000,"已结算",赛事明细!$E$4:$E$2000,$A15)</f>
        <v/>
      </c>
      <c r="C15" s="41">
        <f>COUNTIFS(赛事明细!$P$4:$P$2000,"已结算",赛事明细!$E$4:$E$2000,$A15,赛事明细!$Q$4:$Q$2000,"红")</f>
        <v/>
      </c>
      <c r="D15" s="41">
        <f>COUNTIFS(赛事明细!$P$4:$P$2000,"已结算",赛事明细!$E$4:$E$2000,$A15,赛事明细!$Q$4:$Q$2000,"半红")</f>
        <v/>
      </c>
      <c r="E15" s="41">
        <f>COUNTIFS(赛事明细!$P$4:$P$2000,"已结算",赛事明细!$E$4:$E$2000,$A15,赛事明细!$Q$4:$Q$2000,"走")</f>
        <v/>
      </c>
      <c r="F15" s="41">
        <f>COUNTIFS(赛事明细!$P$4:$P$2000,"已结算",赛事明细!$E$4:$E$2000,$A15,赛事明细!$Q$4:$Q$2000,"半黑")</f>
        <v/>
      </c>
      <c r="G15" s="41">
        <f>COUNTIFS(赛事明细!$P$4:$P$2000,"已结算",赛事明细!$E$4:$E$2000,$A15,赛事明细!$Q$4:$Q$2000,"黑")</f>
        <v/>
      </c>
      <c r="H15" s="89">
        <f>IFERROR((C15+0.5*D15)/(C15+0.5*D15+G15+0.5*F15),0)</f>
        <v/>
      </c>
      <c r="I15" s="81">
        <f>SUMIFS(赛事明细!$S$4:$S$2000,赛事明细!$P$4:$P$2000,"已结算",赛事明细!$E$4:$E$2000,$A15)</f>
        <v/>
      </c>
      <c r="J15" s="89">
        <f>IFERROR(I15/B15,0)</f>
        <v/>
      </c>
      <c r="K15" s="41">
        <f>IF(B15&lt;5,"样本&lt;5，谨慎解读","")</f>
        <v/>
      </c>
    </row>
    <row r="16" ht="24" customHeight="1" s="78">
      <c r="A16" s="41" t="inlineStr">
        <is>
          <t>土甲</t>
        </is>
      </c>
      <c r="B16" s="41">
        <f>COUNTIFS(赛事明细!$P$4:$P$2000,"已结算",赛事明细!$E$4:$E$2000,$A16)</f>
        <v/>
      </c>
      <c r="C16" s="41">
        <f>COUNTIFS(赛事明细!$P$4:$P$2000,"已结算",赛事明细!$E$4:$E$2000,$A16,赛事明细!$Q$4:$Q$2000,"红")</f>
        <v/>
      </c>
      <c r="D16" s="41">
        <f>COUNTIFS(赛事明细!$P$4:$P$2000,"已结算",赛事明细!$E$4:$E$2000,$A16,赛事明细!$Q$4:$Q$2000,"半红")</f>
        <v/>
      </c>
      <c r="E16" s="41">
        <f>COUNTIFS(赛事明细!$P$4:$P$2000,"已结算",赛事明细!$E$4:$E$2000,$A16,赛事明细!$Q$4:$Q$2000,"走")</f>
        <v/>
      </c>
      <c r="F16" s="41">
        <f>COUNTIFS(赛事明细!$P$4:$P$2000,"已结算",赛事明细!$E$4:$E$2000,$A16,赛事明细!$Q$4:$Q$2000,"半黑")</f>
        <v/>
      </c>
      <c r="G16" s="41">
        <f>COUNTIFS(赛事明细!$P$4:$P$2000,"已结算",赛事明细!$E$4:$E$2000,$A16,赛事明细!$Q$4:$Q$2000,"黑")</f>
        <v/>
      </c>
      <c r="H16" s="89">
        <f>IFERROR((C16+0.5*D16)/(C16+0.5*D16+G16+0.5*F16),0)</f>
        <v/>
      </c>
      <c r="I16" s="81">
        <f>SUMIFS(赛事明细!$S$4:$S$2000,赛事明细!$P$4:$P$2000,"已结算",赛事明细!$E$4:$E$2000,$A16)</f>
        <v/>
      </c>
      <c r="J16" s="89">
        <f>IFERROR(I16/B16,0)</f>
        <v/>
      </c>
      <c r="K16" s="41">
        <f>IF(B16&lt;5,"样本&lt;5，谨慎解读","")</f>
        <v/>
      </c>
    </row>
    <row r="17" ht="24" customHeight="1" s="78">
      <c r="A17" s="41" t="inlineStr">
        <is>
          <t>冰岛超</t>
        </is>
      </c>
      <c r="B17" s="41">
        <f>COUNTIFS(赛事明细!$P$4:$P$2000,"已结算",赛事明细!$E$4:$E$2000,$A17)</f>
        <v/>
      </c>
      <c r="C17" s="41">
        <f>COUNTIFS(赛事明细!$P$4:$P$2000,"已结算",赛事明细!$E$4:$E$2000,$A17,赛事明细!$Q$4:$Q$2000,"红")</f>
        <v/>
      </c>
      <c r="D17" s="41">
        <f>COUNTIFS(赛事明细!$P$4:$P$2000,"已结算",赛事明细!$E$4:$E$2000,$A17,赛事明细!$Q$4:$Q$2000,"半红")</f>
        <v/>
      </c>
      <c r="E17" s="41">
        <f>COUNTIFS(赛事明细!$P$4:$P$2000,"已结算",赛事明细!$E$4:$E$2000,$A17,赛事明细!$Q$4:$Q$2000,"走")</f>
        <v/>
      </c>
      <c r="F17" s="41">
        <f>COUNTIFS(赛事明细!$P$4:$P$2000,"已结算",赛事明细!$E$4:$E$2000,$A17,赛事明细!$Q$4:$Q$2000,"半黑")</f>
        <v/>
      </c>
      <c r="G17" s="41">
        <f>COUNTIFS(赛事明细!$P$4:$P$2000,"已结算",赛事明细!$E$4:$E$2000,$A17,赛事明细!$Q$4:$Q$2000,"黑")</f>
        <v/>
      </c>
      <c r="H17" s="89">
        <f>IFERROR((C17+0.5*D17)/(C17+0.5*D17+G17+0.5*F17),0)</f>
        <v/>
      </c>
      <c r="I17" s="81">
        <f>SUMIFS(赛事明细!$S$4:$S$2000,赛事明细!$P$4:$P$2000,"已结算",赛事明细!$E$4:$E$2000,$A17)</f>
        <v/>
      </c>
      <c r="J17" s="89">
        <f>IFERROR(I17/B17,0)</f>
        <v/>
      </c>
      <c r="K17" s="41">
        <f>IF(B17&lt;5,"样本&lt;5，谨慎解读","")</f>
        <v/>
      </c>
    </row>
    <row r="18" ht="24" customHeight="1" s="78">
      <c r="A18" s="41" t="inlineStr">
        <is>
          <t>乌拉杯</t>
        </is>
      </c>
      <c r="B18" s="41">
        <f>COUNTIFS(赛事明细!$P$4:$P$2000,"已结算",赛事明细!$E$4:$E$2000,$A18)</f>
        <v/>
      </c>
      <c r="C18" s="41">
        <f>COUNTIFS(赛事明细!$P$4:$P$2000,"已结算",赛事明细!$E$4:$E$2000,$A18,赛事明细!$Q$4:$Q$2000,"红")</f>
        <v/>
      </c>
      <c r="D18" s="41">
        <f>COUNTIFS(赛事明细!$P$4:$P$2000,"已结算",赛事明细!$E$4:$E$2000,$A18,赛事明细!$Q$4:$Q$2000,"半红")</f>
        <v/>
      </c>
      <c r="E18" s="41">
        <f>COUNTIFS(赛事明细!$P$4:$P$2000,"已结算",赛事明细!$E$4:$E$2000,$A18,赛事明细!$Q$4:$Q$2000,"走")</f>
        <v/>
      </c>
      <c r="F18" s="41">
        <f>COUNTIFS(赛事明细!$P$4:$P$2000,"已结算",赛事明细!$E$4:$E$2000,$A18,赛事明细!$Q$4:$Q$2000,"半黑")</f>
        <v/>
      </c>
      <c r="G18" s="41">
        <f>COUNTIFS(赛事明细!$P$4:$P$2000,"已结算",赛事明细!$E$4:$E$2000,$A18,赛事明细!$Q$4:$Q$2000,"黑")</f>
        <v/>
      </c>
      <c r="H18" s="89">
        <f>IFERROR((C18+0.5*D18)/(C18+0.5*D18+G18+0.5*F18),0)</f>
        <v/>
      </c>
      <c r="I18" s="81">
        <f>SUMIFS(赛事明细!$S$4:$S$2000,赛事明细!$P$4:$P$2000,"已结算",赛事明细!$E$4:$E$2000,$A18)</f>
        <v/>
      </c>
      <c r="J18" s="89">
        <f>IFERROR(I18/B18,0)</f>
        <v/>
      </c>
      <c r="K18" s="41">
        <f>IF(B18&lt;5,"样本&lt;5，谨慎解读","")</f>
        <v/>
      </c>
    </row>
    <row r="19" ht="24" customHeight="1" s="78">
      <c r="A19" s="41" t="inlineStr">
        <is>
          <t>沙特联</t>
        </is>
      </c>
      <c r="B19" s="41">
        <f>COUNTIFS(赛事明细!$P$4:$P$2000,"已结算",赛事明细!$E$4:$E$2000,$A19)</f>
        <v/>
      </c>
      <c r="C19" s="41">
        <f>COUNTIFS(赛事明细!$P$4:$P$2000,"已结算",赛事明细!$E$4:$E$2000,$A19,赛事明细!$Q$4:$Q$2000,"红")</f>
        <v/>
      </c>
      <c r="D19" s="41">
        <f>COUNTIFS(赛事明细!$P$4:$P$2000,"已结算",赛事明细!$E$4:$E$2000,$A19,赛事明细!$Q$4:$Q$2000,"半红")</f>
        <v/>
      </c>
      <c r="E19" s="41">
        <f>COUNTIFS(赛事明细!$P$4:$P$2000,"已结算",赛事明细!$E$4:$E$2000,$A19,赛事明细!$Q$4:$Q$2000,"走")</f>
        <v/>
      </c>
      <c r="F19" s="41">
        <f>COUNTIFS(赛事明细!$P$4:$P$2000,"已结算",赛事明细!$E$4:$E$2000,$A19,赛事明细!$Q$4:$Q$2000,"半黑")</f>
        <v/>
      </c>
      <c r="G19" s="41">
        <f>COUNTIFS(赛事明细!$P$4:$P$2000,"已结算",赛事明细!$E$4:$E$2000,$A19,赛事明细!$Q$4:$Q$2000,"黑")</f>
        <v/>
      </c>
      <c r="H19" s="89">
        <f>IFERROR((C19+0.5*D19)/(C19+0.5*D19+G19+0.5*F19),0)</f>
        <v/>
      </c>
      <c r="I19" s="81">
        <f>SUMIFS(赛事明细!$S$4:$S$2000,赛事明细!$P$4:$P$2000,"已结算",赛事明细!$E$4:$E$2000,$A19)</f>
        <v/>
      </c>
      <c r="J19" s="89">
        <f>IFERROR(I19/B19,0)</f>
        <v/>
      </c>
      <c r="K19" s="41">
        <f>IF(B19&lt;5,"样本&lt;5，谨慎解读","")</f>
        <v/>
      </c>
    </row>
    <row r="20" ht="24" customHeight="1" s="78">
      <c r="A20" s="41" t="inlineStr">
        <is>
          <t>英甲</t>
        </is>
      </c>
      <c r="B20" s="41">
        <f>COUNTIFS(赛事明细!$P$4:$P$2000,"已结算",赛事明细!$E$4:$E$2000,$A20)</f>
        <v/>
      </c>
      <c r="C20" s="41">
        <f>COUNTIFS(赛事明细!$P$4:$P$2000,"已结算",赛事明细!$E$4:$E$2000,$A20,赛事明细!$Q$4:$Q$2000,"红")</f>
        <v/>
      </c>
      <c r="D20" s="41">
        <f>COUNTIFS(赛事明细!$P$4:$P$2000,"已结算",赛事明细!$E$4:$E$2000,$A20,赛事明细!$Q$4:$Q$2000,"半红")</f>
        <v/>
      </c>
      <c r="E20" s="41">
        <f>COUNTIFS(赛事明细!$P$4:$P$2000,"已结算",赛事明细!$E$4:$E$2000,$A20,赛事明细!$Q$4:$Q$2000,"走")</f>
        <v/>
      </c>
      <c r="F20" s="41">
        <f>COUNTIFS(赛事明细!$P$4:$P$2000,"已结算",赛事明细!$E$4:$E$2000,$A20,赛事明细!$Q$4:$Q$2000,"半黑")</f>
        <v/>
      </c>
      <c r="G20" s="41">
        <f>COUNTIFS(赛事明细!$P$4:$P$2000,"已结算",赛事明细!$E$4:$E$2000,$A20,赛事明细!$Q$4:$Q$2000,"黑")</f>
        <v/>
      </c>
      <c r="H20" s="89">
        <f>IFERROR((C20+0.5*D20)/(C20+0.5*D20+G20+0.5*F20),0)</f>
        <v/>
      </c>
      <c r="I20" s="81">
        <f>SUMIFS(赛事明细!$S$4:$S$2000,赛事明细!$P$4:$P$2000,"已结算",赛事明细!$E$4:$E$2000,$A20)</f>
        <v/>
      </c>
      <c r="J20" s="89">
        <f>IFERROR(I20/B20,0)</f>
        <v/>
      </c>
      <c r="K20" s="41">
        <f>IF(B20&lt;5,"样本&lt;5，谨慎解读","")</f>
        <v/>
      </c>
    </row>
    <row r="21" ht="24" customHeight="1" s="78">
      <c r="A21" s="41" t="inlineStr">
        <is>
          <t>苏挑杯</t>
        </is>
      </c>
      <c r="B21" s="41">
        <f>COUNTIFS(赛事明细!$P$4:$P$2000,"已结算",赛事明细!$E$4:$E$2000,$A21)</f>
        <v/>
      </c>
      <c r="C21" s="41">
        <f>COUNTIFS(赛事明细!$P$4:$P$2000,"已结算",赛事明细!$E$4:$E$2000,$A21,赛事明细!$Q$4:$Q$2000,"红")</f>
        <v/>
      </c>
      <c r="D21" s="41">
        <f>COUNTIFS(赛事明细!$P$4:$P$2000,"已结算",赛事明细!$E$4:$E$2000,$A21,赛事明细!$Q$4:$Q$2000,"半红")</f>
        <v/>
      </c>
      <c r="E21" s="41">
        <f>COUNTIFS(赛事明细!$P$4:$P$2000,"已结算",赛事明细!$E$4:$E$2000,$A21,赛事明细!$Q$4:$Q$2000,"走")</f>
        <v/>
      </c>
      <c r="F21" s="41">
        <f>COUNTIFS(赛事明细!$P$4:$P$2000,"已结算",赛事明细!$E$4:$E$2000,$A21,赛事明细!$Q$4:$Q$2000,"半黑")</f>
        <v/>
      </c>
      <c r="G21" s="41">
        <f>COUNTIFS(赛事明细!$P$4:$P$2000,"已结算",赛事明细!$E$4:$E$2000,$A21,赛事明细!$Q$4:$Q$2000,"黑")</f>
        <v/>
      </c>
      <c r="H21" s="89">
        <f>IFERROR((C21+0.5*D21)/(C21+0.5*D21+G21+0.5*F21),0)</f>
        <v/>
      </c>
      <c r="I21" s="81">
        <f>SUMIFS(赛事明细!$S$4:$S$2000,赛事明细!$P$4:$P$2000,"已结算",赛事明细!$E$4:$E$2000,$A21)</f>
        <v/>
      </c>
      <c r="J21" s="89">
        <f>IFERROR(I21/B21,0)</f>
        <v/>
      </c>
      <c r="K21" s="41">
        <f>IF(B21&lt;5,"样本&lt;5，谨慎解读","")</f>
        <v/>
      </c>
    </row>
    <row r="22" ht="24" customHeight="1" s="78">
      <c r="A22" s="41" t="inlineStr">
        <is>
          <t>英冠</t>
        </is>
      </c>
      <c r="B22" s="41">
        <f>COUNTIFS(赛事明细!$P$4:$P$2000,"已结算",赛事明细!$E$4:$E$2000,$A22)</f>
        <v/>
      </c>
      <c r="C22" s="41">
        <f>COUNTIFS(赛事明细!$P$4:$P$2000,"已结算",赛事明细!$E$4:$E$2000,$A22,赛事明细!$Q$4:$Q$2000,"红")</f>
        <v/>
      </c>
      <c r="D22" s="41">
        <f>COUNTIFS(赛事明细!$P$4:$P$2000,"已结算",赛事明细!$E$4:$E$2000,$A22,赛事明细!$Q$4:$Q$2000,"半红")</f>
        <v/>
      </c>
      <c r="E22" s="41">
        <f>COUNTIFS(赛事明细!$P$4:$P$2000,"已结算",赛事明细!$E$4:$E$2000,$A22,赛事明细!$Q$4:$Q$2000,"走")</f>
        <v/>
      </c>
      <c r="F22" s="41">
        <f>COUNTIFS(赛事明细!$P$4:$P$2000,"已结算",赛事明细!$E$4:$E$2000,$A22,赛事明细!$Q$4:$Q$2000,"半黑")</f>
        <v/>
      </c>
      <c r="G22" s="41">
        <f>COUNTIFS(赛事明细!$P$4:$P$2000,"已结算",赛事明细!$E$4:$E$2000,$A22,赛事明细!$Q$4:$Q$2000,"黑")</f>
        <v/>
      </c>
      <c r="H22" s="89">
        <f>IFERROR((C22+0.5*D22)/(C22+0.5*D22+G22+0.5*F22),0)</f>
        <v/>
      </c>
      <c r="I22" s="81">
        <f>SUMIFS(赛事明细!$S$4:$S$2000,赛事明细!$P$4:$P$2000,"已结算",赛事明细!$E$4:$E$2000,$A22)</f>
        <v/>
      </c>
      <c r="J22" s="89">
        <f>IFERROR(I22/B22,0)</f>
        <v/>
      </c>
      <c r="K22" s="41">
        <f>IF(B22&lt;5,"样本&lt;5，谨慎解读","")</f>
        <v/>
      </c>
    </row>
    <row r="23" ht="24" customHeight="1" s="78">
      <c r="A23" s="41" t="inlineStr">
        <is>
          <t>意丙杯</t>
        </is>
      </c>
      <c r="B23" s="41">
        <f>COUNTIFS(赛事明细!$P$4:$P$2000,"已结算",赛事明细!$E$4:$E$2000,$A23)</f>
        <v/>
      </c>
      <c r="C23" s="41">
        <f>COUNTIFS(赛事明细!$P$4:$P$2000,"已结算",赛事明细!$E$4:$E$2000,$A23,赛事明细!$Q$4:$Q$2000,"红")</f>
        <v/>
      </c>
      <c r="D23" s="41">
        <f>COUNTIFS(赛事明细!$P$4:$P$2000,"已结算",赛事明细!$E$4:$E$2000,$A23,赛事明细!$Q$4:$Q$2000,"半红")</f>
        <v/>
      </c>
      <c r="E23" s="41">
        <f>COUNTIFS(赛事明细!$P$4:$P$2000,"已结算",赛事明细!$E$4:$E$2000,$A23,赛事明细!$Q$4:$Q$2000,"走")</f>
        <v/>
      </c>
      <c r="F23" s="41">
        <f>COUNTIFS(赛事明细!$P$4:$P$2000,"已结算",赛事明细!$E$4:$E$2000,$A23,赛事明细!$Q$4:$Q$2000,"半黑")</f>
        <v/>
      </c>
      <c r="G23" s="41">
        <f>COUNTIFS(赛事明细!$P$4:$P$2000,"已结算",赛事明细!$E$4:$E$2000,$A23,赛事明细!$Q$4:$Q$2000,"黑")</f>
        <v/>
      </c>
      <c r="H23" s="89">
        <f>IFERROR((C23+0.5*D23)/(C23+0.5*D23+G23+0.5*F23),0)</f>
        <v/>
      </c>
      <c r="I23" s="81">
        <f>SUMIFS(赛事明细!$S$4:$S$2000,赛事明细!$P$4:$P$2000,"已结算",赛事明细!$E$4:$E$2000,$A23)</f>
        <v/>
      </c>
      <c r="J23" s="89">
        <f>IFERROR(I23/B23,0)</f>
        <v/>
      </c>
      <c r="K23" s="41">
        <f>IF(B23&lt;5,"样本&lt;5，谨慎解读","")</f>
        <v/>
      </c>
    </row>
    <row r="24" ht="24" customHeight="1" s="78">
      <c r="A24" s="41" t="inlineStr">
        <is>
          <t>巴拉甲秋</t>
        </is>
      </c>
      <c r="B24" s="41">
        <f>COUNTIFS(赛事明细!$P$4:$P$2000,"已结算",赛事明细!$E$4:$E$2000,$A24)</f>
        <v/>
      </c>
      <c r="C24" s="41">
        <f>COUNTIFS(赛事明细!$P$4:$P$2000,"已结算",赛事明细!$E$4:$E$2000,$A24,赛事明细!$Q$4:$Q$2000,"红")</f>
        <v/>
      </c>
      <c r="D24" s="41">
        <f>COUNTIFS(赛事明细!$P$4:$P$2000,"已结算",赛事明细!$E$4:$E$2000,$A24,赛事明细!$Q$4:$Q$2000,"半红")</f>
        <v/>
      </c>
      <c r="E24" s="41">
        <f>COUNTIFS(赛事明细!$P$4:$P$2000,"已结算",赛事明细!$E$4:$E$2000,$A24,赛事明细!$Q$4:$Q$2000,"走")</f>
        <v/>
      </c>
      <c r="F24" s="41">
        <f>COUNTIFS(赛事明细!$P$4:$P$2000,"已结算",赛事明细!$E$4:$E$2000,$A24,赛事明细!$Q$4:$Q$2000,"半黑")</f>
        <v/>
      </c>
      <c r="G24" s="41">
        <f>COUNTIFS(赛事明细!$P$4:$P$2000,"已结算",赛事明细!$E$4:$E$2000,$A24,赛事明细!$Q$4:$Q$2000,"黑")</f>
        <v/>
      </c>
      <c r="H24" s="89">
        <f>IFERROR((C24+0.5*D24)/(C24+0.5*D24+G24+0.5*F24),0)</f>
        <v/>
      </c>
      <c r="I24" s="81">
        <f>SUMIFS(赛事明细!$S$4:$S$2000,赛事明细!$P$4:$P$2000,"已结算",赛事明细!$E$4:$E$2000,$A24)</f>
        <v/>
      </c>
      <c r="J24" s="89">
        <f>IFERROR(I24/B24,0)</f>
        <v/>
      </c>
      <c r="K24" s="41">
        <f>IF(B24&lt;5,"样本&lt;5，谨慎解读","")</f>
        <v/>
      </c>
    </row>
    <row r="25" ht="24" customHeight="1" s="78">
      <c r="A25" s="41" t="inlineStr">
        <is>
          <t>智利丙</t>
        </is>
      </c>
      <c r="B25" s="41">
        <f>COUNTIFS(赛事明细!$P$4:$P$2000,"已结算",赛事明细!$E$4:$E$2000,$A25)</f>
        <v/>
      </c>
      <c r="C25" s="41">
        <f>COUNTIFS(赛事明细!$P$4:$P$2000,"已结算",赛事明细!$E$4:$E$2000,$A25,赛事明细!$Q$4:$Q$2000,"红")</f>
        <v/>
      </c>
      <c r="D25" s="41">
        <f>COUNTIFS(赛事明细!$P$4:$P$2000,"已结算",赛事明细!$E$4:$E$2000,$A25,赛事明细!$Q$4:$Q$2000,"半红")</f>
        <v/>
      </c>
      <c r="E25" s="41">
        <f>COUNTIFS(赛事明细!$P$4:$P$2000,"已结算",赛事明细!$E$4:$E$2000,$A25,赛事明细!$Q$4:$Q$2000,"走")</f>
        <v/>
      </c>
      <c r="F25" s="41">
        <f>COUNTIFS(赛事明细!$P$4:$P$2000,"已结算",赛事明细!$E$4:$E$2000,$A25,赛事明细!$Q$4:$Q$2000,"半黑")</f>
        <v/>
      </c>
      <c r="G25" s="41">
        <f>COUNTIFS(赛事明细!$P$4:$P$2000,"已结算",赛事明细!$E$4:$E$2000,$A25,赛事明细!$Q$4:$Q$2000,"黑")</f>
        <v/>
      </c>
      <c r="H25" s="89">
        <f>IFERROR((C25+0.5*D25)/(C25+0.5*D25+G25+0.5*F25),0)</f>
        <v/>
      </c>
      <c r="I25" s="81">
        <f>SUMIFS(赛事明细!$S$4:$S$2000,赛事明细!$P$4:$P$2000,"已结算",赛事明细!$E$4:$E$2000,$A25)</f>
        <v/>
      </c>
      <c r="J25" s="89">
        <f>IFERROR(I25/B25,0)</f>
        <v/>
      </c>
      <c r="K25" s="41">
        <f>IF(B25&lt;5,"样本&lt;5，谨慎解读","")</f>
        <v/>
      </c>
    </row>
    <row r="26" ht="24" customHeight="1" s="78">
      <c r="A26" s="41" t="inlineStr">
        <is>
          <t>巴西乙</t>
        </is>
      </c>
      <c r="B26" s="41">
        <f>COUNTIFS(赛事明细!$P$4:$P$2000,"已结算",赛事明细!$E$4:$E$2000,$A26)</f>
        <v/>
      </c>
      <c r="C26" s="41">
        <f>COUNTIFS(赛事明细!$P$4:$P$2000,"已结算",赛事明细!$E$4:$E$2000,$A26,赛事明细!$Q$4:$Q$2000,"红")</f>
        <v/>
      </c>
      <c r="D26" s="41">
        <f>COUNTIFS(赛事明细!$P$4:$P$2000,"已结算",赛事明细!$E$4:$E$2000,$A26,赛事明细!$Q$4:$Q$2000,"半红")</f>
        <v/>
      </c>
      <c r="E26" s="41">
        <f>COUNTIFS(赛事明细!$P$4:$P$2000,"已结算",赛事明细!$E$4:$E$2000,$A26,赛事明细!$Q$4:$Q$2000,"走")</f>
        <v/>
      </c>
      <c r="F26" s="41">
        <f>COUNTIFS(赛事明细!$P$4:$P$2000,"已结算",赛事明细!$E$4:$E$2000,$A26,赛事明细!$Q$4:$Q$2000,"半黑")</f>
        <v/>
      </c>
      <c r="G26" s="41">
        <f>COUNTIFS(赛事明细!$P$4:$P$2000,"已结算",赛事明细!$E$4:$E$2000,$A26,赛事明细!$Q$4:$Q$2000,"黑")</f>
        <v/>
      </c>
      <c r="H26" s="89">
        <f>IFERROR((C26+0.5*D26)/(C26+0.5*D26+G26+0.5*F26),0)</f>
        <v/>
      </c>
      <c r="I26" s="81">
        <f>SUMIFS(赛事明细!$S$4:$S$2000,赛事明细!$P$4:$P$2000,"已结算",赛事明细!$E$4:$E$2000,$A26)</f>
        <v/>
      </c>
      <c r="J26" s="89">
        <f>IFERROR(I26/B26,0)</f>
        <v/>
      </c>
      <c r="K26" s="41">
        <f>IF(B26&lt;5,"样本&lt;5，谨慎解读","")</f>
        <v/>
      </c>
    </row>
    <row r="27" ht="24" customHeight="1" s="78">
      <c r="A27" s="41" t="inlineStr">
        <is>
          <t>加勒比杯</t>
        </is>
      </c>
      <c r="B27" s="41">
        <f>COUNTIFS(赛事明细!$P$4:$P$2000,"已结算",赛事明细!$E$4:$E$2000,$A27)</f>
        <v/>
      </c>
      <c r="C27" s="41">
        <f>COUNTIFS(赛事明细!$P$4:$P$2000,"已结算",赛事明细!$E$4:$E$2000,$A27,赛事明细!$Q$4:$Q$2000,"红")</f>
        <v/>
      </c>
      <c r="D27" s="41">
        <f>COUNTIFS(赛事明细!$P$4:$P$2000,"已结算",赛事明细!$E$4:$E$2000,$A27,赛事明细!$Q$4:$Q$2000,"半红")</f>
        <v/>
      </c>
      <c r="E27" s="41">
        <f>COUNTIFS(赛事明细!$P$4:$P$2000,"已结算",赛事明细!$E$4:$E$2000,$A27,赛事明细!$Q$4:$Q$2000,"走")</f>
        <v/>
      </c>
      <c r="F27" s="41">
        <f>COUNTIFS(赛事明细!$P$4:$P$2000,"已结算",赛事明细!$E$4:$E$2000,$A27,赛事明细!$Q$4:$Q$2000,"半黑")</f>
        <v/>
      </c>
      <c r="G27" s="41">
        <f>COUNTIFS(赛事明细!$P$4:$P$2000,"已结算",赛事明细!$E$4:$E$2000,$A27,赛事明细!$Q$4:$Q$2000,"黑")</f>
        <v/>
      </c>
      <c r="H27" s="89">
        <f>IFERROR((C27+0.5*D27)/(C27+0.5*D27+G27+0.5*F27),0)</f>
        <v/>
      </c>
      <c r="I27" s="81">
        <f>SUMIFS(赛事明细!$S$4:$S$2000,赛事明细!$P$4:$P$2000,"已结算",赛事明细!$E$4:$E$2000,$A27)</f>
        <v/>
      </c>
      <c r="J27" s="89">
        <f>IFERROR(I27/B27,0)</f>
        <v/>
      </c>
      <c r="K27" s="41">
        <f>IF(B27&lt;5,"样本&lt;5，谨慎解读","")</f>
        <v/>
      </c>
    </row>
    <row r="28" ht="24" customHeight="1" s="78">
      <c r="A28" s="41" t="inlineStr">
        <is>
          <t>厄瓜甲</t>
        </is>
      </c>
      <c r="B28" s="41">
        <f>COUNTIFS(赛事明细!$P$4:$P$2000,"已结算",赛事明细!$E$4:$E$2000,$A28)</f>
        <v/>
      </c>
      <c r="C28" s="41">
        <f>COUNTIFS(赛事明细!$P$4:$P$2000,"已结算",赛事明细!$E$4:$E$2000,$A28,赛事明细!$Q$4:$Q$2000,"红")</f>
        <v/>
      </c>
      <c r="D28" s="41">
        <f>COUNTIFS(赛事明细!$P$4:$P$2000,"已结算",赛事明细!$E$4:$E$2000,$A28,赛事明细!$Q$4:$Q$2000,"半红")</f>
        <v/>
      </c>
      <c r="E28" s="41">
        <f>COUNTIFS(赛事明细!$P$4:$P$2000,"已结算",赛事明细!$E$4:$E$2000,$A28,赛事明细!$Q$4:$Q$2000,"走")</f>
        <v/>
      </c>
      <c r="F28" s="41">
        <f>COUNTIFS(赛事明细!$P$4:$P$2000,"已结算",赛事明细!$E$4:$E$2000,$A28,赛事明细!$Q$4:$Q$2000,"半黑")</f>
        <v/>
      </c>
      <c r="G28" s="41">
        <f>COUNTIFS(赛事明细!$P$4:$P$2000,"已结算",赛事明细!$E$4:$E$2000,$A28,赛事明细!$Q$4:$Q$2000,"黑")</f>
        <v/>
      </c>
      <c r="H28" s="89">
        <f>IFERROR((C28+0.5*D28)/(C28+0.5*D28+G28+0.5*F28),0)</f>
        <v/>
      </c>
      <c r="I28" s="81">
        <f>SUMIFS(赛事明细!$S$4:$S$2000,赛事明细!$P$4:$P$2000,"已结算",赛事明细!$E$4:$E$2000,$A28)</f>
        <v/>
      </c>
      <c r="J28" s="89">
        <f>IFERROR(I28/B28,0)</f>
        <v/>
      </c>
      <c r="K28" s="41">
        <f>IF(B28&lt;5,"样本&lt;5，谨慎解读","")</f>
        <v/>
      </c>
    </row>
    <row r="29" ht="24" customHeight="1" s="78">
      <c r="A29" s="41" t="inlineStr">
        <is>
          <t>巴西杯</t>
        </is>
      </c>
      <c r="B29" s="41">
        <f>COUNTIFS(赛事明细!$P$4:$P$2000,"已结算",赛事明细!$E$4:$E$2000,$A29)</f>
        <v/>
      </c>
      <c r="C29" s="41">
        <f>COUNTIFS(赛事明细!$P$4:$P$2000,"已结算",赛事明细!$E$4:$E$2000,$A29,赛事明细!$Q$4:$Q$2000,"红")</f>
        <v/>
      </c>
      <c r="D29" s="41">
        <f>COUNTIFS(赛事明细!$P$4:$P$2000,"已结算",赛事明细!$E$4:$E$2000,$A29,赛事明细!$Q$4:$Q$2000,"半红")</f>
        <v/>
      </c>
      <c r="E29" s="41">
        <f>COUNTIFS(赛事明细!$P$4:$P$2000,"已结算",赛事明细!$E$4:$E$2000,$A29,赛事明细!$Q$4:$Q$2000,"走")</f>
        <v/>
      </c>
      <c r="F29" s="41">
        <f>COUNTIFS(赛事明细!$P$4:$P$2000,"已结算",赛事明细!$E$4:$E$2000,$A29,赛事明细!$Q$4:$Q$2000,"半黑")</f>
        <v/>
      </c>
      <c r="G29" s="41">
        <f>COUNTIFS(赛事明细!$P$4:$P$2000,"已结算",赛事明细!$E$4:$E$2000,$A29,赛事明细!$Q$4:$Q$2000,"黑")</f>
        <v/>
      </c>
      <c r="H29" s="89">
        <f>IFERROR((C29+0.5*D29)/(C29+0.5*D29+G29+0.5*F29),0)</f>
        <v/>
      </c>
      <c r="I29" s="81">
        <f>SUMIFS(赛事明细!$S$4:$S$2000,赛事明细!$P$4:$P$2000,"已结算",赛事明细!$E$4:$E$2000,$A29)</f>
        <v/>
      </c>
      <c r="J29" s="89">
        <f>IFERROR(I29/B29,0)</f>
        <v/>
      </c>
      <c r="K29" s="41">
        <f>IF(B29&lt;5,"样本&lt;5，谨慎解读","")</f>
        <v/>
      </c>
    </row>
    <row r="30" ht="24" customHeight="1" s="78">
      <c r="A30" s="41" t="inlineStr">
        <is>
          <t>哥伦甲秋</t>
        </is>
      </c>
      <c r="B30" s="41">
        <f>COUNTIFS(赛事明细!$P$4:$P$2000,"已结算",赛事明细!$E$4:$E$2000,$A30)</f>
        <v/>
      </c>
      <c r="C30" s="41">
        <f>COUNTIFS(赛事明细!$P$4:$P$2000,"已结算",赛事明细!$E$4:$E$2000,$A30,赛事明细!$Q$4:$Q$2000,"红")</f>
        <v/>
      </c>
      <c r="D30" s="41">
        <f>COUNTIFS(赛事明细!$P$4:$P$2000,"已结算",赛事明细!$E$4:$E$2000,$A30,赛事明细!$Q$4:$Q$2000,"半红")</f>
        <v/>
      </c>
      <c r="E30" s="41">
        <f>COUNTIFS(赛事明细!$P$4:$P$2000,"已结算",赛事明细!$E$4:$E$2000,$A30,赛事明细!$Q$4:$Q$2000,"走")</f>
        <v/>
      </c>
      <c r="F30" s="41">
        <f>COUNTIFS(赛事明细!$P$4:$P$2000,"已结算",赛事明细!$E$4:$E$2000,$A30,赛事明细!$Q$4:$Q$2000,"半黑")</f>
        <v/>
      </c>
      <c r="G30" s="41">
        <f>COUNTIFS(赛事明细!$P$4:$P$2000,"已结算",赛事明细!$E$4:$E$2000,$A30,赛事明细!$Q$4:$Q$2000,"黑")</f>
        <v/>
      </c>
      <c r="H30" s="89">
        <f>IFERROR((C30+0.5*D30)/(C30+0.5*D30+G30+0.5*F30),0)</f>
        <v/>
      </c>
      <c r="I30" s="81">
        <f>SUMIFS(赛事明细!$S$4:$S$2000,赛事明细!$P$4:$P$2000,"已结算",赛事明细!$E$4:$E$2000,$A30)</f>
        <v/>
      </c>
      <c r="J30" s="89">
        <f>IFERROR(I30/B30,0)</f>
        <v/>
      </c>
      <c r="K30" s="41">
        <f>IF(B30&lt;5,"样本&lt;5，谨慎解读","")</f>
        <v/>
      </c>
    </row>
    <row r="31" ht="24" customHeight="1" s="78">
      <c r="A31" s="41" t="inlineStr">
        <is>
          <t>日职联</t>
        </is>
      </c>
      <c r="B31" s="41">
        <f>COUNTIFS(赛事明细!$P$4:$P$2000,"已结算",赛事明细!$E$4:$E$2000,$A31)</f>
        <v/>
      </c>
      <c r="C31" s="41">
        <f>COUNTIFS(赛事明细!$P$4:$P$2000,"已结算",赛事明细!$E$4:$E$2000,$A31,赛事明细!$Q$4:$Q$2000,"红")</f>
        <v/>
      </c>
      <c r="D31" s="41">
        <f>COUNTIFS(赛事明细!$P$4:$P$2000,"已结算",赛事明细!$E$4:$E$2000,$A31,赛事明细!$Q$4:$Q$2000,"半红")</f>
        <v/>
      </c>
      <c r="E31" s="41">
        <f>COUNTIFS(赛事明细!$P$4:$P$2000,"已结算",赛事明细!$E$4:$E$2000,$A31,赛事明细!$Q$4:$Q$2000,"走")</f>
        <v/>
      </c>
      <c r="F31" s="41">
        <f>COUNTIFS(赛事明细!$P$4:$P$2000,"已结算",赛事明细!$E$4:$E$2000,$A31,赛事明细!$Q$4:$Q$2000,"半黑")</f>
        <v/>
      </c>
      <c r="G31" s="41">
        <f>COUNTIFS(赛事明细!$P$4:$P$2000,"已结算",赛事明细!$E$4:$E$2000,$A31,赛事明细!$Q$4:$Q$2000,"黑")</f>
        <v/>
      </c>
      <c r="H31" s="89">
        <f>IFERROR((C31+0.5*D31)/(C31+0.5*D31+G31+0.5*F31),0)</f>
        <v/>
      </c>
      <c r="I31" s="81">
        <f>SUMIFS(赛事明细!$S$4:$S$2000,赛事明细!$P$4:$P$2000,"已结算",赛事明细!$E$4:$E$2000,$A31)</f>
        <v/>
      </c>
      <c r="J31" s="89">
        <f>IFERROR(I31/B31,0)</f>
        <v/>
      </c>
      <c r="K31" s="41">
        <f>IF(B31&lt;5,"样本&lt;5，谨慎解读","")</f>
        <v/>
      </c>
    </row>
    <row r="32" ht="24" customHeight="1" s="78">
      <c r="A32" s="41" t="inlineStr">
        <is>
          <t>日联杯</t>
        </is>
      </c>
      <c r="B32" s="41">
        <f>COUNTIFS(赛事明细!$P$4:$P$2000,"已结算",赛事明细!$E$4:$E$2000,$A32)</f>
        <v/>
      </c>
      <c r="C32" s="41">
        <f>COUNTIFS(赛事明细!$P$4:$P$2000,"已结算",赛事明细!$E$4:$E$2000,$A32,赛事明细!$Q$4:$Q$2000,"红")</f>
        <v/>
      </c>
      <c r="D32" s="41">
        <f>COUNTIFS(赛事明细!$P$4:$P$2000,"已结算",赛事明细!$E$4:$E$2000,$A32,赛事明细!$Q$4:$Q$2000,"半红")</f>
        <v/>
      </c>
      <c r="E32" s="41">
        <f>COUNTIFS(赛事明细!$P$4:$P$2000,"已结算",赛事明细!$E$4:$E$2000,$A32,赛事明细!$Q$4:$Q$2000,"走")</f>
        <v/>
      </c>
      <c r="F32" s="41">
        <f>COUNTIFS(赛事明细!$P$4:$P$2000,"已结算",赛事明细!$E$4:$E$2000,$A32,赛事明细!$Q$4:$Q$2000,"半黑")</f>
        <v/>
      </c>
      <c r="G32" s="41">
        <f>COUNTIFS(赛事明细!$P$4:$P$2000,"已结算",赛事明细!$E$4:$E$2000,$A32,赛事明细!$Q$4:$Q$2000,"黑")</f>
        <v/>
      </c>
      <c r="H32" s="89">
        <f>IFERROR((C32+0.5*D32)/(C32+0.5*D32+G32+0.5*F32),0)</f>
        <v/>
      </c>
      <c r="I32" s="81">
        <f>SUMIFS(赛事明细!$S$4:$S$2000,赛事明细!$P$4:$P$2000,"已结算",赛事明细!$E$4:$E$2000,$A32)</f>
        <v/>
      </c>
      <c r="J32" s="89">
        <f>IFERROR(I32/B32,0)</f>
        <v/>
      </c>
      <c r="K32" s="41">
        <f>IF(B32&lt;5,"样本&lt;5，谨慎解读","")</f>
        <v/>
      </c>
    </row>
    <row r="33" ht="24" customHeight="1" s="78">
      <c r="A33" s="41" t="inlineStr">
        <is>
          <t>俄杯</t>
        </is>
      </c>
      <c r="B33" s="41">
        <f>COUNTIFS(赛事明细!$P$4:$P$2000,"已结算",赛事明细!$E$4:$E$2000,$A33)</f>
        <v/>
      </c>
      <c r="C33" s="41">
        <f>COUNTIFS(赛事明细!$P$4:$P$2000,"已结算",赛事明细!$E$4:$E$2000,$A33,赛事明细!$Q$4:$Q$2000,"红")</f>
        <v/>
      </c>
      <c r="D33" s="41">
        <f>COUNTIFS(赛事明细!$P$4:$P$2000,"已结算",赛事明细!$E$4:$E$2000,$A33,赛事明细!$Q$4:$Q$2000,"半红")</f>
        <v/>
      </c>
      <c r="E33" s="41">
        <f>COUNTIFS(赛事明细!$P$4:$P$2000,"已结算",赛事明细!$E$4:$E$2000,$A33,赛事明细!$Q$4:$Q$2000,"走")</f>
        <v/>
      </c>
      <c r="F33" s="41">
        <f>COUNTIFS(赛事明细!$P$4:$P$2000,"已结算",赛事明细!$E$4:$E$2000,$A33,赛事明细!$Q$4:$Q$2000,"半黑")</f>
        <v/>
      </c>
      <c r="G33" s="41">
        <f>COUNTIFS(赛事明细!$P$4:$P$2000,"已结算",赛事明细!$E$4:$E$2000,$A33,赛事明细!$Q$4:$Q$2000,"黑")</f>
        <v/>
      </c>
      <c r="H33" s="89">
        <f>IFERROR((C33+0.5*D33)/(C33+0.5*D33+G33+0.5*F33),0)</f>
        <v/>
      </c>
      <c r="I33" s="81">
        <f>SUMIFS(赛事明细!$S$4:$S$2000,赛事明细!$P$4:$P$2000,"已结算",赛事明细!$E$4:$E$2000,$A33)</f>
        <v/>
      </c>
      <c r="J33" s="89">
        <f>IFERROR(I33/B33,0)</f>
        <v/>
      </c>
      <c r="K33" s="41">
        <f>IF(B33&lt;5,"样本&lt;5，谨慎解读","")</f>
        <v/>
      </c>
    </row>
    <row r="34" ht="24" customHeight="1" s="78">
      <c r="A34" s="41" t="inlineStr">
        <is>
          <t>克亚乙</t>
        </is>
      </c>
      <c r="B34" s="41">
        <f>COUNTIFS(赛事明细!$P$4:$P$2000,"已结算",赛事明细!$E$4:$E$2000,$A34)</f>
        <v/>
      </c>
      <c r="C34" s="41">
        <f>COUNTIFS(赛事明细!$P$4:$P$2000,"已结算",赛事明细!$E$4:$E$2000,$A34,赛事明细!$Q$4:$Q$2000,"红")</f>
        <v/>
      </c>
      <c r="D34" s="41">
        <f>COUNTIFS(赛事明细!$P$4:$P$2000,"已结算",赛事明细!$E$4:$E$2000,$A34,赛事明细!$Q$4:$Q$2000,"半红")</f>
        <v/>
      </c>
      <c r="E34" s="41">
        <f>COUNTIFS(赛事明细!$P$4:$P$2000,"已结算",赛事明细!$E$4:$E$2000,$A34,赛事明细!$Q$4:$Q$2000,"走")</f>
        <v/>
      </c>
      <c r="F34" s="41">
        <f>COUNTIFS(赛事明细!$P$4:$P$2000,"已结算",赛事明细!$E$4:$E$2000,$A34,赛事明细!$Q$4:$Q$2000,"半黑")</f>
        <v/>
      </c>
      <c r="G34" s="41">
        <f>COUNTIFS(赛事明细!$P$4:$P$2000,"已结算",赛事明细!$E$4:$E$2000,$A34,赛事明细!$Q$4:$Q$2000,"黑")</f>
        <v/>
      </c>
      <c r="H34" s="89">
        <f>IFERROR((C34+0.5*D34)/(C34+0.5*D34+G34+0.5*F34),0)</f>
        <v/>
      </c>
      <c r="I34" s="81">
        <f>SUMIFS(赛事明细!$S$4:$S$2000,赛事明细!$P$4:$P$2000,"已结算",赛事明细!$E$4:$E$2000,$A34)</f>
        <v/>
      </c>
      <c r="J34" s="89">
        <f>IFERROR(I34/B34,0)</f>
        <v/>
      </c>
      <c r="K34" s="41">
        <f>IF(B34&lt;5,"样本&lt;5，谨慎解读","")</f>
        <v/>
      </c>
    </row>
    <row r="35" ht="24" customHeight="1" s="78">
      <c r="A35" s="41" t="inlineStr">
        <is>
          <t>希腊杯</t>
        </is>
      </c>
      <c r="B35" s="41">
        <f>COUNTIFS(赛事明细!$P$4:$P$2000,"已结算",赛事明细!$E$4:$E$2000,$A35)</f>
        <v/>
      </c>
      <c r="C35" s="41">
        <f>COUNTIFS(赛事明细!$P$4:$P$2000,"已结算",赛事明细!$E$4:$E$2000,$A35,赛事明细!$Q$4:$Q$2000,"红")</f>
        <v/>
      </c>
      <c r="D35" s="41">
        <f>COUNTIFS(赛事明细!$P$4:$P$2000,"已结算",赛事明细!$E$4:$E$2000,$A35,赛事明细!$Q$4:$Q$2000,"半红")</f>
        <v/>
      </c>
      <c r="E35" s="41">
        <f>COUNTIFS(赛事明细!$P$4:$P$2000,"已结算",赛事明细!$E$4:$E$2000,$A35,赛事明细!$Q$4:$Q$2000,"走")</f>
        <v/>
      </c>
      <c r="F35" s="41">
        <f>COUNTIFS(赛事明细!$P$4:$P$2000,"已结算",赛事明细!$E$4:$E$2000,$A35,赛事明细!$Q$4:$Q$2000,"半黑")</f>
        <v/>
      </c>
      <c r="G35" s="41">
        <f>COUNTIFS(赛事明细!$P$4:$P$2000,"已结算",赛事明细!$E$4:$E$2000,$A35,赛事明细!$Q$4:$Q$2000,"黑")</f>
        <v/>
      </c>
      <c r="H35" s="89">
        <f>IFERROR((C35+0.5*D35)/(C35+0.5*D35+G35+0.5*F35),0)</f>
        <v/>
      </c>
      <c r="I35" s="81">
        <f>SUMIFS(赛事明细!$S$4:$S$2000,赛事明细!$P$4:$P$2000,"已结算",赛事明细!$E$4:$E$2000,$A35)</f>
        <v/>
      </c>
      <c r="J35" s="89">
        <f>IFERROR(I35/B35,0)</f>
        <v/>
      </c>
      <c r="K35" s="41">
        <f>IF(B35&lt;5,"样本&lt;5，谨慎解读","")</f>
        <v/>
      </c>
    </row>
    <row r="36" ht="24" customHeight="1" s="78">
      <c r="A36" s="41" t="inlineStr">
        <is>
          <t>格鲁杯</t>
        </is>
      </c>
      <c r="B36" s="41">
        <f>COUNTIFS(赛事明细!$P$4:$P$2000,"已结算",赛事明细!$E$4:$E$2000,$A36)</f>
        <v/>
      </c>
      <c r="C36" s="41">
        <f>COUNTIFS(赛事明细!$P$4:$P$2000,"已结算",赛事明细!$E$4:$E$2000,$A36,赛事明细!$Q$4:$Q$2000,"红")</f>
        <v/>
      </c>
      <c r="D36" s="41">
        <f>COUNTIFS(赛事明细!$P$4:$P$2000,"已结算",赛事明细!$E$4:$E$2000,$A36,赛事明细!$Q$4:$Q$2000,"半红")</f>
        <v/>
      </c>
      <c r="E36" s="41">
        <f>COUNTIFS(赛事明细!$P$4:$P$2000,"已结算",赛事明细!$E$4:$E$2000,$A36,赛事明细!$Q$4:$Q$2000,"走")</f>
        <v/>
      </c>
      <c r="F36" s="41">
        <f>COUNTIFS(赛事明细!$P$4:$P$2000,"已结算",赛事明细!$E$4:$E$2000,$A36,赛事明细!$Q$4:$Q$2000,"半黑")</f>
        <v/>
      </c>
      <c r="G36" s="41">
        <f>COUNTIFS(赛事明细!$P$4:$P$2000,"已结算",赛事明细!$E$4:$E$2000,$A36,赛事明细!$Q$4:$Q$2000,"黑")</f>
        <v/>
      </c>
      <c r="H36" s="89">
        <f>IFERROR((C36+0.5*D36)/(C36+0.5*D36+G36+0.5*F36),0)</f>
        <v/>
      </c>
      <c r="I36" s="81">
        <f>SUMIFS(赛事明细!$S$4:$S$2000,赛事明细!$P$4:$P$2000,"已结算",赛事明细!$E$4:$E$2000,$A36)</f>
        <v/>
      </c>
      <c r="J36" s="89">
        <f>IFERROR(I36/B36,0)</f>
        <v/>
      </c>
      <c r="K36" s="41">
        <f>IF(B36&lt;5,"样本&lt;5，谨慎解读","")</f>
        <v/>
      </c>
    </row>
    <row r="37" ht="24" customHeight="1" s="78">
      <c r="A37" s="41" t="inlineStr">
        <is>
          <t>捷丙</t>
        </is>
      </c>
      <c r="B37" s="41">
        <f>COUNTIFS(赛事明细!$P$4:$P$2000,"已结算",赛事明细!$E$4:$E$2000,$A37)</f>
        <v/>
      </c>
      <c r="C37" s="41">
        <f>COUNTIFS(赛事明细!$P$4:$P$2000,"已结算",赛事明细!$E$4:$E$2000,$A37,赛事明细!$Q$4:$Q$2000,"红")</f>
        <v/>
      </c>
      <c r="D37" s="41">
        <f>COUNTIFS(赛事明细!$P$4:$P$2000,"已结算",赛事明细!$E$4:$E$2000,$A37,赛事明细!$Q$4:$Q$2000,"半红")</f>
        <v/>
      </c>
      <c r="E37" s="41">
        <f>COUNTIFS(赛事明细!$P$4:$P$2000,"已结算",赛事明细!$E$4:$E$2000,$A37,赛事明细!$Q$4:$Q$2000,"走")</f>
        <v/>
      </c>
      <c r="F37" s="41">
        <f>COUNTIFS(赛事明细!$P$4:$P$2000,"已结算",赛事明细!$E$4:$E$2000,$A37,赛事明细!$Q$4:$Q$2000,"半黑")</f>
        <v/>
      </c>
      <c r="G37" s="41">
        <f>COUNTIFS(赛事明细!$P$4:$P$2000,"已结算",赛事明细!$E$4:$E$2000,$A37,赛事明细!$Q$4:$Q$2000,"黑")</f>
        <v/>
      </c>
      <c r="H37" s="89">
        <f>IFERROR((C37+0.5*D37)/(C37+0.5*D37+G37+0.5*F37),0)</f>
        <v/>
      </c>
      <c r="I37" s="81">
        <f>SUMIFS(赛事明细!$S$4:$S$2000,赛事明细!$P$4:$P$2000,"已结算",赛事明细!$E$4:$E$2000,$A37)</f>
        <v/>
      </c>
      <c r="J37" s="89">
        <f>IFERROR(I37/B37,0)</f>
        <v/>
      </c>
      <c r="K37" s="41">
        <f>IF(B37&lt;5,"样本&lt;5，谨慎解读","")</f>
        <v/>
      </c>
    </row>
    <row r="38" ht="24" customHeight="1" s="78">
      <c r="A38" s="41" t="inlineStr">
        <is>
          <t>女欧罗巴杯</t>
        </is>
      </c>
      <c r="B38" s="41">
        <f>COUNTIFS(赛事明细!$P$4:$P$2000,"已结算",赛事明细!$E$4:$E$2000,$A38)</f>
        <v/>
      </c>
      <c r="C38" s="41">
        <f>COUNTIFS(赛事明细!$P$4:$P$2000,"已结算",赛事明细!$E$4:$E$2000,$A38,赛事明细!$Q$4:$Q$2000,"红")</f>
        <v/>
      </c>
      <c r="D38" s="41">
        <f>COUNTIFS(赛事明细!$P$4:$P$2000,"已结算",赛事明细!$E$4:$E$2000,$A38,赛事明细!$Q$4:$Q$2000,"半红")</f>
        <v/>
      </c>
      <c r="E38" s="41">
        <f>COUNTIFS(赛事明细!$P$4:$P$2000,"已结算",赛事明细!$E$4:$E$2000,$A38,赛事明细!$Q$4:$Q$2000,"走")</f>
        <v/>
      </c>
      <c r="F38" s="41">
        <f>COUNTIFS(赛事明细!$P$4:$P$2000,"已结算",赛事明细!$E$4:$E$2000,$A38,赛事明细!$Q$4:$Q$2000,"半黑")</f>
        <v/>
      </c>
      <c r="G38" s="41">
        <f>COUNTIFS(赛事明细!$P$4:$P$2000,"已结算",赛事明细!$E$4:$E$2000,$A38,赛事明细!$Q$4:$Q$2000,"黑")</f>
        <v/>
      </c>
      <c r="H38" s="89">
        <f>IFERROR((C38+0.5*D38)/(C38+0.5*D38+G38+0.5*F38),0)</f>
        <v/>
      </c>
      <c r="I38" s="81">
        <f>SUMIFS(赛事明细!$S$4:$S$2000,赛事明细!$P$4:$P$2000,"已结算",赛事明细!$E$4:$E$2000,$A38)</f>
        <v/>
      </c>
      <c r="J38" s="89">
        <f>IFERROR(I38/B38,0)</f>
        <v/>
      </c>
      <c r="K38" s="41">
        <f>IF(B38&lt;5,"样本&lt;5，谨慎解读","")</f>
        <v/>
      </c>
    </row>
    <row r="39" ht="24" customHeight="1" s="78">
      <c r="A39" s="41" t="inlineStr">
        <is>
          <t>捷甲</t>
        </is>
      </c>
      <c r="B39" s="41">
        <f>COUNTIFS(赛事明细!$P$4:$P$2000,"已结算",赛事明细!$E$4:$E$2000,$A39)</f>
        <v/>
      </c>
      <c r="C39" s="41">
        <f>COUNTIFS(赛事明细!$P$4:$P$2000,"已结算",赛事明细!$E$4:$E$2000,$A39,赛事明细!$Q$4:$Q$2000,"红")</f>
        <v/>
      </c>
      <c r="D39" s="41">
        <f>COUNTIFS(赛事明细!$P$4:$P$2000,"已结算",赛事明细!$E$4:$E$2000,$A39,赛事明细!$Q$4:$Q$2000,"半红")</f>
        <v/>
      </c>
      <c r="E39" s="41">
        <f>COUNTIFS(赛事明细!$P$4:$P$2000,"已结算",赛事明细!$E$4:$E$2000,$A39,赛事明细!$Q$4:$Q$2000,"走")</f>
        <v/>
      </c>
      <c r="F39" s="41">
        <f>COUNTIFS(赛事明细!$P$4:$P$2000,"已结算",赛事明细!$E$4:$E$2000,$A39,赛事明细!$Q$4:$Q$2000,"半黑")</f>
        <v/>
      </c>
      <c r="G39" s="41">
        <f>COUNTIFS(赛事明细!$P$4:$P$2000,"已结算",赛事明细!$E$4:$E$2000,$A39,赛事明细!$Q$4:$Q$2000,"黑")</f>
        <v/>
      </c>
      <c r="H39" s="89">
        <f>IFERROR((C39+0.5*D39)/(C39+0.5*D39+G39+0.5*F39),0)</f>
        <v/>
      </c>
      <c r="I39" s="81">
        <f>SUMIFS(赛事明细!$S$4:$S$2000,赛事明细!$P$4:$P$2000,"已结算",赛事明细!$E$4:$E$2000,$A39)</f>
        <v/>
      </c>
      <c r="J39" s="89">
        <f>IFERROR(I39/B39,0)</f>
        <v/>
      </c>
      <c r="K39" s="41">
        <f>IF(B39&lt;5,"样本&lt;5，谨慎解读","")</f>
        <v/>
      </c>
    </row>
    <row r="40" ht="24" customHeight="1" s="78">
      <c r="A40" s="41" t="inlineStr">
        <is>
          <t>瑞典杯</t>
        </is>
      </c>
      <c r="B40" s="41">
        <f>COUNTIFS(赛事明细!$P$4:$P$2000,"已结算",赛事明细!$E$4:$E$2000,$A40)</f>
        <v/>
      </c>
      <c r="C40" s="41">
        <f>COUNTIFS(赛事明细!$P$4:$P$2000,"已结算",赛事明细!$E$4:$E$2000,$A40,赛事明细!$Q$4:$Q$2000,"红")</f>
        <v/>
      </c>
      <c r="D40" s="41">
        <f>COUNTIFS(赛事明细!$P$4:$P$2000,"已结算",赛事明细!$E$4:$E$2000,$A40,赛事明细!$Q$4:$Q$2000,"半红")</f>
        <v/>
      </c>
      <c r="E40" s="41">
        <f>COUNTIFS(赛事明细!$P$4:$P$2000,"已结算",赛事明细!$E$4:$E$2000,$A40,赛事明细!$Q$4:$Q$2000,"走")</f>
        <v/>
      </c>
      <c r="F40" s="41">
        <f>COUNTIFS(赛事明细!$P$4:$P$2000,"已结算",赛事明细!$E$4:$E$2000,$A40,赛事明细!$Q$4:$Q$2000,"半黑")</f>
        <v/>
      </c>
      <c r="G40" s="41">
        <f>COUNTIFS(赛事明细!$P$4:$P$2000,"已结算",赛事明细!$E$4:$E$2000,$A40,赛事明细!$Q$4:$Q$2000,"黑")</f>
        <v/>
      </c>
      <c r="H40" s="89">
        <f>IFERROR((C40+0.5*D40)/(C40+0.5*D40+G40+0.5*F40),0)</f>
        <v/>
      </c>
      <c r="I40" s="81">
        <f>SUMIFS(赛事明细!$S$4:$S$2000,赛事明细!$P$4:$P$2000,"已结算",赛事明细!$E$4:$E$2000,$A40)</f>
        <v/>
      </c>
      <c r="J40" s="89">
        <f>IFERROR(I40/B40,0)</f>
        <v/>
      </c>
      <c r="K40" s="41">
        <f>IF(B40&lt;5,"样本&lt;5，谨慎解读","")</f>
        <v/>
      </c>
    </row>
    <row r="41" ht="24" customHeight="1" s="78">
      <c r="A41" s="41" t="inlineStr">
        <is>
          <t>比业余</t>
        </is>
      </c>
      <c r="B41" s="41">
        <f>COUNTIFS(赛事明细!$P$4:$P$2000,"已结算",赛事明细!$E$4:$E$2000,$A41)</f>
        <v/>
      </c>
      <c r="C41" s="41">
        <f>COUNTIFS(赛事明细!$P$4:$P$2000,"已结算",赛事明细!$E$4:$E$2000,$A41,赛事明细!$Q$4:$Q$2000,"红")</f>
        <v/>
      </c>
      <c r="D41" s="41">
        <f>COUNTIFS(赛事明细!$P$4:$P$2000,"已结算",赛事明细!$E$4:$E$2000,$A41,赛事明细!$Q$4:$Q$2000,"半红")</f>
        <v/>
      </c>
      <c r="E41" s="41">
        <f>COUNTIFS(赛事明细!$P$4:$P$2000,"已结算",赛事明细!$E$4:$E$2000,$A41,赛事明细!$Q$4:$Q$2000,"走")</f>
        <v/>
      </c>
      <c r="F41" s="41">
        <f>COUNTIFS(赛事明细!$P$4:$P$2000,"已结算",赛事明细!$E$4:$E$2000,$A41,赛事明细!$Q$4:$Q$2000,"半黑")</f>
        <v/>
      </c>
      <c r="G41" s="41">
        <f>COUNTIFS(赛事明细!$P$4:$P$2000,"已结算",赛事明细!$E$4:$E$2000,$A41,赛事明细!$Q$4:$Q$2000,"黑")</f>
        <v/>
      </c>
      <c r="H41" s="89">
        <f>IFERROR((C41+0.5*D41)/(C41+0.5*D41+G41+0.5*F41),0)</f>
        <v/>
      </c>
      <c r="I41" s="81">
        <f>SUMIFS(赛事明细!$S$4:$S$2000,赛事明细!$P$4:$P$2000,"已结算",赛事明细!$E$4:$E$2000,$A41)</f>
        <v/>
      </c>
      <c r="J41" s="89">
        <f>IFERROR(I41/B41,0)</f>
        <v/>
      </c>
      <c r="K41" s="41">
        <f>IF(B41&lt;5,"样本&lt;5，谨慎解读","")</f>
        <v/>
      </c>
    </row>
    <row r="42" ht="24" customHeight="1" s="78">
      <c r="A42" s="41" t="inlineStr">
        <is>
          <t>瑞士超</t>
        </is>
      </c>
      <c r="B42" s="41">
        <f>COUNTIFS(赛事明细!$P$4:$P$2000,"已结算",赛事明细!$E$4:$E$2000,$A42)</f>
        <v/>
      </c>
      <c r="C42" s="41">
        <f>COUNTIFS(赛事明细!$P$4:$P$2000,"已结算",赛事明细!$E$4:$E$2000,$A42,赛事明细!$Q$4:$Q$2000,"红")</f>
        <v/>
      </c>
      <c r="D42" s="41">
        <f>COUNTIFS(赛事明细!$P$4:$P$2000,"已结算",赛事明细!$E$4:$E$2000,$A42,赛事明细!$Q$4:$Q$2000,"半红")</f>
        <v/>
      </c>
      <c r="E42" s="41">
        <f>COUNTIFS(赛事明细!$P$4:$P$2000,"已结算",赛事明细!$E$4:$E$2000,$A42,赛事明细!$Q$4:$Q$2000,"走")</f>
        <v/>
      </c>
      <c r="F42" s="41">
        <f>COUNTIFS(赛事明细!$P$4:$P$2000,"已结算",赛事明细!$E$4:$E$2000,$A42,赛事明细!$Q$4:$Q$2000,"半黑")</f>
        <v/>
      </c>
      <c r="G42" s="41">
        <f>COUNTIFS(赛事明细!$P$4:$P$2000,"已结算",赛事明细!$E$4:$E$2000,$A42,赛事明细!$Q$4:$Q$2000,"黑")</f>
        <v/>
      </c>
      <c r="H42" s="89">
        <f>IFERROR((C42+0.5*D42)/(C42+0.5*D42+G42+0.5*F42),0)</f>
        <v/>
      </c>
      <c r="I42" s="81">
        <f>SUMIFS(赛事明细!$S$4:$S$2000,赛事明细!$P$4:$P$2000,"已结算",赛事明细!$E$4:$E$2000,$A42)</f>
        <v/>
      </c>
      <c r="J42" s="89">
        <f>IFERROR(I42/B42,0)</f>
        <v/>
      </c>
      <c r="K42" s="41">
        <f>IF(B42&lt;5,"样本&lt;5，谨慎解读","")</f>
        <v/>
      </c>
    </row>
    <row r="43" ht="24" customHeight="1" s="78">
      <c r="A43" s="41" t="inlineStr">
        <is>
          <t>德国杯</t>
        </is>
      </c>
      <c r="B43" s="41">
        <f>COUNTIFS(赛事明细!$P$4:$P$2000,"已结算",赛事明细!$E$4:$E$2000,$A43)</f>
        <v/>
      </c>
      <c r="C43" s="41">
        <f>COUNTIFS(赛事明细!$P$4:$P$2000,"已结算",赛事明细!$E$4:$E$2000,$A43,赛事明细!$Q$4:$Q$2000,"红")</f>
        <v/>
      </c>
      <c r="D43" s="41">
        <f>COUNTIFS(赛事明细!$P$4:$P$2000,"已结算",赛事明细!$E$4:$E$2000,$A43,赛事明细!$Q$4:$Q$2000,"半红")</f>
        <v/>
      </c>
      <c r="E43" s="41">
        <f>COUNTIFS(赛事明细!$P$4:$P$2000,"已结算",赛事明细!$E$4:$E$2000,$A43,赛事明细!$Q$4:$Q$2000,"走")</f>
        <v/>
      </c>
      <c r="F43" s="41">
        <f>COUNTIFS(赛事明细!$P$4:$P$2000,"已结算",赛事明细!$E$4:$E$2000,$A43,赛事明细!$Q$4:$Q$2000,"半黑")</f>
        <v/>
      </c>
      <c r="G43" s="41">
        <f>COUNTIFS(赛事明细!$P$4:$P$2000,"已结算",赛事明细!$E$4:$E$2000,$A43,赛事明细!$Q$4:$Q$2000,"黑")</f>
        <v/>
      </c>
      <c r="H43" s="89">
        <f>IFERROR((C43+0.5*D43)/(C43+0.5*D43+G43+0.5*F43),0)</f>
        <v/>
      </c>
      <c r="I43" s="81">
        <f>SUMIFS(赛事明细!$S$4:$S$2000,赛事明细!$P$4:$P$2000,"已结算",赛事明细!$E$4:$E$2000,$A43)</f>
        <v/>
      </c>
      <c r="J43" s="89">
        <f>IFERROR(I43/B43,0)</f>
        <v/>
      </c>
      <c r="K43" s="41">
        <f>IF(B43&lt;5,"样本&lt;5，谨慎解读","")</f>
        <v/>
      </c>
    </row>
    <row r="44" ht="24" customHeight="1" s="78">
      <c r="A44" s="41" t="inlineStr">
        <is>
          <t>智利甲</t>
        </is>
      </c>
      <c r="B44" s="41">
        <f>COUNTIFS(赛事明细!$P$4:$P$2000,"已结算",赛事明细!$E$4:$E$2000,$A44)</f>
        <v/>
      </c>
      <c r="C44" s="41">
        <f>COUNTIFS(赛事明细!$P$4:$P$2000,"已结算",赛事明细!$E$4:$E$2000,$A44,赛事明细!$Q$4:$Q$2000,"红")</f>
        <v/>
      </c>
      <c r="D44" s="41">
        <f>COUNTIFS(赛事明细!$P$4:$P$2000,"已结算",赛事明细!$E$4:$E$2000,$A44,赛事明细!$Q$4:$Q$2000,"半红")</f>
        <v/>
      </c>
      <c r="E44" s="41">
        <f>COUNTIFS(赛事明细!$P$4:$P$2000,"已结算",赛事明细!$E$4:$E$2000,$A44,赛事明细!$Q$4:$Q$2000,"走")</f>
        <v/>
      </c>
      <c r="F44" s="41">
        <f>COUNTIFS(赛事明细!$P$4:$P$2000,"已结算",赛事明细!$E$4:$E$2000,$A44,赛事明细!$Q$4:$Q$2000,"半黑")</f>
        <v/>
      </c>
      <c r="G44" s="41">
        <f>COUNTIFS(赛事明细!$P$4:$P$2000,"已结算",赛事明细!$E$4:$E$2000,$A44,赛事明细!$Q$4:$Q$2000,"黑")</f>
        <v/>
      </c>
      <c r="H44" s="89">
        <f>IFERROR((C44+0.5*D44)/(C44+0.5*D44+G44+0.5*F44),0)</f>
        <v/>
      </c>
      <c r="I44" s="81">
        <f>SUMIFS(赛事明细!$S$4:$S$2000,赛事明细!$P$4:$P$2000,"已结算",赛事明细!$E$4:$E$2000,$A44)</f>
        <v/>
      </c>
      <c r="J44" s="89">
        <f>IFERROR(I44/B44,0)</f>
        <v/>
      </c>
      <c r="K44" s="41">
        <f>IF(B44&lt;5,"样本&lt;5，谨慎解读","")</f>
        <v/>
      </c>
    </row>
    <row r="45" ht="24" customHeight="1" s="78">
      <c r="A45" s="41" t="inlineStr">
        <is>
          <t>巴西甲</t>
        </is>
      </c>
      <c r="B45" s="41">
        <f>COUNTIFS(赛事明细!$P$4:$P$2000,"已结算",赛事明细!$E$4:$E$2000,$A45)</f>
        <v/>
      </c>
      <c r="C45" s="41">
        <f>COUNTIFS(赛事明细!$P$4:$P$2000,"已结算",赛事明细!$E$4:$E$2000,$A45,赛事明细!$Q$4:$Q$2000,"红")</f>
        <v/>
      </c>
      <c r="D45" s="41">
        <f>COUNTIFS(赛事明细!$P$4:$P$2000,"已结算",赛事明细!$E$4:$E$2000,$A45,赛事明细!$Q$4:$Q$2000,"半红")</f>
        <v/>
      </c>
      <c r="E45" s="41">
        <f>COUNTIFS(赛事明细!$P$4:$P$2000,"已结算",赛事明细!$E$4:$E$2000,$A45,赛事明细!$Q$4:$Q$2000,"走")</f>
        <v/>
      </c>
      <c r="F45" s="41">
        <f>COUNTIFS(赛事明细!$P$4:$P$2000,"已结算",赛事明细!$E$4:$E$2000,$A45,赛事明细!$Q$4:$Q$2000,"半黑")</f>
        <v/>
      </c>
      <c r="G45" s="41">
        <f>COUNTIFS(赛事明细!$P$4:$P$2000,"已结算",赛事明细!$E$4:$E$2000,$A45,赛事明细!$Q$4:$Q$2000,"黑")</f>
        <v/>
      </c>
      <c r="H45" s="89">
        <f>IFERROR((C45+0.5*D45)/(C45+0.5*D45+G45+0.5*F45),0)</f>
        <v/>
      </c>
      <c r="I45" s="81">
        <f>SUMIFS(赛事明细!$S$4:$S$2000,赛事明细!$P$4:$P$2000,"已结算",赛事明细!$E$4:$E$2000,$A45)</f>
        <v/>
      </c>
      <c r="J45" s="89">
        <f>IFERROR(I45/B45,0)</f>
        <v/>
      </c>
      <c r="K45" s="41">
        <f>IF(B45&lt;5,"样本&lt;5，谨慎解读","")</f>
        <v/>
      </c>
    </row>
    <row r="46" ht="24" customHeight="1" s="78">
      <c r="A46" s="41" t="inlineStr">
        <is>
          <t>美冠联</t>
        </is>
      </c>
      <c r="B46" s="41">
        <f>COUNTIFS(赛事明细!$P$4:$P$2000,"已结算",赛事明细!$E$4:$E$2000,$A46)</f>
        <v/>
      </c>
      <c r="C46" s="41">
        <f>COUNTIFS(赛事明细!$P$4:$P$2000,"已结算",赛事明细!$E$4:$E$2000,$A46,赛事明细!$Q$4:$Q$2000,"红")</f>
        <v/>
      </c>
      <c r="D46" s="41">
        <f>COUNTIFS(赛事明细!$P$4:$P$2000,"已结算",赛事明细!$E$4:$E$2000,$A46,赛事明细!$Q$4:$Q$2000,"半红")</f>
        <v/>
      </c>
      <c r="E46" s="41">
        <f>COUNTIFS(赛事明细!$P$4:$P$2000,"已结算",赛事明细!$E$4:$E$2000,$A46,赛事明细!$Q$4:$Q$2000,"走")</f>
        <v/>
      </c>
      <c r="F46" s="41">
        <f>COUNTIFS(赛事明细!$P$4:$P$2000,"已结算",赛事明细!$E$4:$E$2000,$A46,赛事明细!$Q$4:$Q$2000,"半黑")</f>
        <v/>
      </c>
      <c r="G46" s="41">
        <f>COUNTIFS(赛事明细!$P$4:$P$2000,"已结算",赛事明细!$E$4:$E$2000,$A46,赛事明细!$Q$4:$Q$2000,"黑")</f>
        <v/>
      </c>
      <c r="H46" s="89">
        <f>IFERROR((C46+0.5*D46)/(C46+0.5*D46+G46+0.5*F46),0)</f>
        <v/>
      </c>
      <c r="I46" s="81">
        <f>SUMIFS(赛事明细!$S$4:$S$2000,赛事明细!$P$4:$P$2000,"已结算",赛事明细!$E$4:$E$2000,$A46)</f>
        <v/>
      </c>
      <c r="J46" s="89">
        <f>IFERROR(I46/B46,0)</f>
        <v/>
      </c>
      <c r="K46" s="41">
        <f>IF(B46&lt;5,"样本&lt;5，谨慎解读","")</f>
        <v/>
      </c>
    </row>
    <row r="47" ht="24" customHeight="1" s="78">
      <c r="A47" s="41" t="inlineStr">
        <is>
          <t>美甲</t>
        </is>
      </c>
      <c r="B47" s="41">
        <f>COUNTIFS(赛事明细!$P$4:$P$2000,"已结算",赛事明细!$E$4:$E$2000,$A47)</f>
        <v/>
      </c>
      <c r="C47" s="41">
        <f>COUNTIFS(赛事明细!$P$4:$P$2000,"已结算",赛事明细!$E$4:$E$2000,$A47,赛事明细!$Q$4:$Q$2000,"红")</f>
        <v/>
      </c>
      <c r="D47" s="41">
        <f>COUNTIFS(赛事明细!$P$4:$P$2000,"已结算",赛事明细!$E$4:$E$2000,$A47,赛事明细!$Q$4:$Q$2000,"半红")</f>
        <v/>
      </c>
      <c r="E47" s="41">
        <f>COUNTIFS(赛事明细!$P$4:$P$2000,"已结算",赛事明细!$E$4:$E$2000,$A47,赛事明细!$Q$4:$Q$2000,"走")</f>
        <v/>
      </c>
      <c r="F47" s="41">
        <f>COUNTIFS(赛事明细!$P$4:$P$2000,"已结算",赛事明细!$E$4:$E$2000,$A47,赛事明细!$Q$4:$Q$2000,"半黑")</f>
        <v/>
      </c>
      <c r="G47" s="41">
        <f>COUNTIFS(赛事明细!$P$4:$P$2000,"已结算",赛事明细!$E$4:$E$2000,$A47,赛事明细!$Q$4:$Q$2000,"黑")</f>
        <v/>
      </c>
      <c r="H47" s="89">
        <f>IFERROR((C47+0.5*D47)/(C47+0.5*D47+G47+0.5*F47),0)</f>
        <v/>
      </c>
      <c r="I47" s="81">
        <f>SUMIFS(赛事明细!$S$4:$S$2000,赛事明细!$P$4:$P$2000,"已结算",赛事明细!$E$4:$E$2000,$A47)</f>
        <v/>
      </c>
      <c r="J47" s="89">
        <f>IFERROR(I47/B47,0)</f>
        <v/>
      </c>
      <c r="K47" s="41">
        <f>IF(B47&lt;5,"样本&lt;5，谨慎解读","")</f>
        <v/>
      </c>
    </row>
    <row r="48" ht="24" customHeight="1" s="78">
      <c r="A48" s="41" t="inlineStr">
        <is>
          <t>波兰杯</t>
        </is>
      </c>
      <c r="B48" s="41">
        <f>COUNTIFS(赛事明细!$P$4:$P$2000,"已结算",赛事明细!$E$4:$E$2000,$A48)</f>
        <v/>
      </c>
      <c r="C48" s="41">
        <f>COUNTIFS(赛事明细!$P$4:$P$2000,"已结算",赛事明细!$E$4:$E$2000,$A48,赛事明细!$Q$4:$Q$2000,"红")</f>
        <v/>
      </c>
      <c r="D48" s="41">
        <f>COUNTIFS(赛事明细!$P$4:$P$2000,"已结算",赛事明细!$E$4:$E$2000,$A48,赛事明细!$Q$4:$Q$2000,"半红")</f>
        <v/>
      </c>
      <c r="E48" s="41">
        <f>COUNTIFS(赛事明细!$P$4:$P$2000,"已结算",赛事明细!$E$4:$E$2000,$A48,赛事明细!$Q$4:$Q$2000,"走")</f>
        <v/>
      </c>
      <c r="F48" s="41">
        <f>COUNTIFS(赛事明细!$P$4:$P$2000,"已结算",赛事明细!$E$4:$E$2000,$A48,赛事明细!$Q$4:$Q$2000,"半黑")</f>
        <v/>
      </c>
      <c r="G48" s="41">
        <f>COUNTIFS(赛事明细!$P$4:$P$2000,"已结算",赛事明细!$E$4:$E$2000,$A48,赛事明细!$Q$4:$Q$2000,"黑")</f>
        <v/>
      </c>
      <c r="H48" s="89">
        <f>IFERROR((C48+0.5*D48)/(C48+0.5*D48+G48+0.5*F48),0)</f>
        <v/>
      </c>
      <c r="I48" s="81">
        <f>SUMIFS(赛事明细!$S$4:$S$2000,赛事明细!$P$4:$P$2000,"已结算",赛事明细!$E$4:$E$2000,$A48)</f>
        <v/>
      </c>
      <c r="J48" s="89">
        <f>IFERROR(I48/B48,0)</f>
        <v/>
      </c>
      <c r="K48" s="41">
        <f>IF(B48&lt;5,"样本&lt;5，谨慎解读","")</f>
        <v/>
      </c>
    </row>
    <row r="49" ht="24" customHeight="1" s="78">
      <c r="A49" s="41" t="inlineStr">
        <is>
          <t>哈萨克甲</t>
        </is>
      </c>
      <c r="B49" s="41">
        <f>COUNTIFS(赛事明细!$P$4:$P$2000,"已结算",赛事明细!$E$4:$E$2000,$A49)</f>
        <v/>
      </c>
      <c r="C49" s="41">
        <f>COUNTIFS(赛事明细!$P$4:$P$2000,"已结算",赛事明细!$E$4:$E$2000,$A49,赛事明细!$Q$4:$Q$2000,"红")</f>
        <v/>
      </c>
      <c r="D49" s="41">
        <f>COUNTIFS(赛事明细!$P$4:$P$2000,"已结算",赛事明细!$E$4:$E$2000,$A49,赛事明细!$Q$4:$Q$2000,"半红")</f>
        <v/>
      </c>
      <c r="E49" s="41">
        <f>COUNTIFS(赛事明细!$P$4:$P$2000,"已结算",赛事明细!$E$4:$E$2000,$A49,赛事明细!$Q$4:$Q$2000,"走")</f>
        <v/>
      </c>
      <c r="F49" s="41">
        <f>COUNTIFS(赛事明细!$P$4:$P$2000,"已结算",赛事明细!$E$4:$E$2000,$A49,赛事明细!$Q$4:$Q$2000,"半黑")</f>
        <v/>
      </c>
      <c r="G49" s="41">
        <f>COUNTIFS(赛事明细!$P$4:$P$2000,"已结算",赛事明细!$E$4:$E$2000,$A49,赛事明细!$Q$4:$Q$2000,"黑")</f>
        <v/>
      </c>
      <c r="H49" s="89">
        <f>IFERROR((C49+0.5*D49)/(C49+0.5*D49+G49+0.5*F49),0)</f>
        <v/>
      </c>
      <c r="I49" s="81">
        <f>SUMIFS(赛事明细!$S$4:$S$2000,赛事明细!$P$4:$P$2000,"已结算",赛事明细!$E$4:$E$2000,$A49)</f>
        <v/>
      </c>
      <c r="J49" s="89">
        <f>IFERROR(I49/B49,0)</f>
        <v/>
      </c>
      <c r="K49" s="41">
        <f>IF(B49&lt;5,"样本&lt;5，谨慎解读","")</f>
        <v/>
      </c>
    </row>
    <row r="50" ht="24" customHeight="1" s="78">
      <c r="A50" s="41" t="inlineStr">
        <is>
          <t>卡塔尔联</t>
        </is>
      </c>
      <c r="B50" s="41">
        <f>COUNTIFS(赛事明细!$P$4:$P$2000,"已结算",赛事明细!$E$4:$E$2000,$A50)</f>
        <v/>
      </c>
      <c r="C50" s="41">
        <f>COUNTIFS(赛事明细!$P$4:$P$2000,"已结算",赛事明细!$E$4:$E$2000,$A50,赛事明细!$Q$4:$Q$2000,"红")</f>
        <v/>
      </c>
      <c r="D50" s="41">
        <f>COUNTIFS(赛事明细!$P$4:$P$2000,"已结算",赛事明细!$E$4:$E$2000,$A50,赛事明细!$Q$4:$Q$2000,"半红")</f>
        <v/>
      </c>
      <c r="E50" s="41">
        <f>COUNTIFS(赛事明细!$P$4:$P$2000,"已结算",赛事明细!$E$4:$E$2000,$A50,赛事明细!$Q$4:$Q$2000,"走")</f>
        <v/>
      </c>
      <c r="F50" s="41">
        <f>COUNTIFS(赛事明细!$P$4:$P$2000,"已结算",赛事明细!$E$4:$E$2000,$A50,赛事明细!$Q$4:$Q$2000,"半黑")</f>
        <v/>
      </c>
      <c r="G50" s="41">
        <f>COUNTIFS(赛事明细!$P$4:$P$2000,"已结算",赛事明细!$E$4:$E$2000,$A50,赛事明细!$Q$4:$Q$2000,"黑")</f>
        <v/>
      </c>
      <c r="H50" s="89">
        <f>IFERROR((C50+0.5*D50)/(C50+0.5*D50+G50+0.5*F50),0)</f>
        <v/>
      </c>
      <c r="I50" s="81">
        <f>SUMIFS(赛事明细!$S$4:$S$2000,赛事明细!$P$4:$P$2000,"已结算",赛事明细!$E$4:$E$2000,$A50)</f>
        <v/>
      </c>
      <c r="J50" s="89">
        <f>IFERROR(I50/B50,0)</f>
        <v/>
      </c>
      <c r="K50" s="41">
        <f>IF(B50&lt;5,"样本&lt;5，谨慎解读","")</f>
        <v/>
      </c>
    </row>
    <row r="51" ht="24" customHeight="1" s="78">
      <c r="A51" s="41" t="inlineStr">
        <is>
          <t>保乙</t>
        </is>
      </c>
      <c r="B51" s="41">
        <f>COUNTIFS(赛事明细!$P$4:$P$2000,"已结算",赛事明细!$E$4:$E$2000,$A51)</f>
        <v/>
      </c>
      <c r="C51" s="41">
        <f>COUNTIFS(赛事明细!$P$4:$P$2000,"已结算",赛事明细!$E$4:$E$2000,$A51,赛事明细!$Q$4:$Q$2000,"红")</f>
        <v/>
      </c>
      <c r="D51" s="41">
        <f>COUNTIFS(赛事明细!$P$4:$P$2000,"已结算",赛事明细!$E$4:$E$2000,$A51,赛事明细!$Q$4:$Q$2000,"半红")</f>
        <v/>
      </c>
      <c r="E51" s="41">
        <f>COUNTIFS(赛事明细!$P$4:$P$2000,"已结算",赛事明细!$E$4:$E$2000,$A51,赛事明细!$Q$4:$Q$2000,"走")</f>
        <v/>
      </c>
      <c r="F51" s="41">
        <f>COUNTIFS(赛事明细!$P$4:$P$2000,"已结算",赛事明细!$E$4:$E$2000,$A51,赛事明细!$Q$4:$Q$2000,"半黑")</f>
        <v/>
      </c>
      <c r="G51" s="41">
        <f>COUNTIFS(赛事明细!$P$4:$P$2000,"已结算",赛事明细!$E$4:$E$2000,$A51,赛事明细!$Q$4:$Q$2000,"黑")</f>
        <v/>
      </c>
      <c r="H51" s="89">
        <f>IFERROR((C51+0.5*D51)/(C51+0.5*D51+G51+0.5*F51),0)</f>
        <v/>
      </c>
      <c r="I51" s="81">
        <f>SUMIFS(赛事明细!$S$4:$S$2000,赛事明细!$P$4:$P$2000,"已结算",赛事明细!$E$4:$E$2000,$A51)</f>
        <v/>
      </c>
      <c r="J51" s="89">
        <f>IFERROR(I51/B51,0)</f>
        <v/>
      </c>
      <c r="K51" s="41">
        <f>IF(B51&lt;5,"样本&lt;5，谨慎解读","")</f>
        <v/>
      </c>
    </row>
    <row r="52" ht="24" customHeight="1" s="78">
      <c r="A52" s="41" t="inlineStr">
        <is>
          <t>瑞典超</t>
        </is>
      </c>
      <c r="B52" s="41">
        <f>COUNTIFS(赛事明细!$P$4:$P$2000,"已结算",赛事明细!$E$4:$E$2000,$A52)</f>
        <v/>
      </c>
      <c r="C52" s="41">
        <f>COUNTIFS(赛事明细!$P$4:$P$2000,"已结算",赛事明细!$E$4:$E$2000,$A52,赛事明细!$Q$4:$Q$2000,"红")</f>
        <v/>
      </c>
      <c r="D52" s="41">
        <f>COUNTIFS(赛事明细!$P$4:$P$2000,"已结算",赛事明细!$E$4:$E$2000,$A52,赛事明细!$Q$4:$Q$2000,"半红")</f>
        <v/>
      </c>
      <c r="E52" s="41">
        <f>COUNTIFS(赛事明细!$P$4:$P$2000,"已结算",赛事明细!$E$4:$E$2000,$A52,赛事明细!$Q$4:$Q$2000,"走")</f>
        <v/>
      </c>
      <c r="F52" s="41">
        <f>COUNTIFS(赛事明细!$P$4:$P$2000,"已结算",赛事明细!$E$4:$E$2000,$A52,赛事明细!$Q$4:$Q$2000,"半黑")</f>
        <v/>
      </c>
      <c r="G52" s="41">
        <f>COUNTIFS(赛事明细!$P$4:$P$2000,"已结算",赛事明细!$E$4:$E$2000,$A52,赛事明细!$Q$4:$Q$2000,"黑")</f>
        <v/>
      </c>
      <c r="H52" s="89">
        <f>IFERROR((C52+0.5*D52)/(C52+0.5*D52+G52+0.5*F52),0)</f>
        <v/>
      </c>
      <c r="I52" s="81">
        <f>SUMIFS(赛事明细!$S$4:$S$2000,赛事明细!$P$4:$P$2000,"已结算",赛事明细!$E$4:$E$2000,$A52)</f>
        <v/>
      </c>
      <c r="J52" s="89">
        <f>IFERROR(I52/B52,0)</f>
        <v/>
      </c>
      <c r="K52" s="41">
        <f>IF(B52&lt;5,"样本&lt;5，谨慎解读","")</f>
        <v/>
      </c>
    </row>
    <row r="53" ht="24" customHeight="1" s="78">
      <c r="A53" s="41" t="inlineStr">
        <is>
          <t>比甲</t>
        </is>
      </c>
      <c r="B53" s="41">
        <f>COUNTIFS(赛事明细!$P$4:$P$2000,"已结算",赛事明细!$E$4:$E$2000,$A53)</f>
        <v/>
      </c>
      <c r="C53" s="41">
        <f>COUNTIFS(赛事明细!$P$4:$P$2000,"已结算",赛事明细!$E$4:$E$2000,$A53,赛事明细!$Q$4:$Q$2000,"红")</f>
        <v/>
      </c>
      <c r="D53" s="41">
        <f>COUNTIFS(赛事明细!$P$4:$P$2000,"已结算",赛事明细!$E$4:$E$2000,$A53,赛事明细!$Q$4:$Q$2000,"半红")</f>
        <v/>
      </c>
      <c r="E53" s="41">
        <f>COUNTIFS(赛事明细!$P$4:$P$2000,"已结算",赛事明细!$E$4:$E$2000,$A53,赛事明细!$Q$4:$Q$2000,"走")</f>
        <v/>
      </c>
      <c r="F53" s="41">
        <f>COUNTIFS(赛事明细!$P$4:$P$2000,"已结算",赛事明细!$E$4:$E$2000,$A53,赛事明细!$Q$4:$Q$2000,"半黑")</f>
        <v/>
      </c>
      <c r="G53" s="41">
        <f>COUNTIFS(赛事明细!$P$4:$P$2000,"已结算",赛事明细!$E$4:$E$2000,$A53,赛事明细!$Q$4:$Q$2000,"黑")</f>
        <v/>
      </c>
      <c r="H53" s="89">
        <f>IFERROR((C53+0.5*D53)/(C53+0.5*D53+G53+0.5*F53),0)</f>
        <v/>
      </c>
      <c r="I53" s="81">
        <f>SUMIFS(赛事明细!$S$4:$S$2000,赛事明细!$P$4:$P$2000,"已结算",赛事明细!$E$4:$E$2000,$A53)</f>
        <v/>
      </c>
      <c r="J53" s="89">
        <f>IFERROR(I53/B53,0)</f>
        <v/>
      </c>
      <c r="K53" s="41">
        <f>IF(B53&lt;5,"样本&lt;5，谨慎解读","")</f>
        <v/>
      </c>
    </row>
    <row r="54" ht="24" customHeight="1" s="78">
      <c r="A54" s="41" t="inlineStr">
        <is>
          <t>法甲</t>
        </is>
      </c>
      <c r="B54" s="41">
        <f>COUNTIFS(赛事明细!$P$4:$P$2000,"已结算",赛事明细!$E$4:$E$2000,$A54)</f>
        <v/>
      </c>
      <c r="C54" s="41">
        <f>COUNTIFS(赛事明细!$P$4:$P$2000,"已结算",赛事明细!$E$4:$E$2000,$A54,赛事明细!$Q$4:$Q$2000,"红")</f>
        <v/>
      </c>
      <c r="D54" s="41">
        <f>COUNTIFS(赛事明细!$P$4:$P$2000,"已结算",赛事明细!$E$4:$E$2000,$A54,赛事明细!$Q$4:$Q$2000,"半红")</f>
        <v/>
      </c>
      <c r="E54" s="41">
        <f>COUNTIFS(赛事明细!$P$4:$P$2000,"已结算",赛事明细!$E$4:$E$2000,$A54,赛事明细!$Q$4:$Q$2000,"走")</f>
        <v/>
      </c>
      <c r="F54" s="41">
        <f>COUNTIFS(赛事明细!$P$4:$P$2000,"已结算",赛事明细!$E$4:$E$2000,$A54,赛事明细!$Q$4:$Q$2000,"半黑")</f>
        <v/>
      </c>
      <c r="G54" s="41">
        <f>COUNTIFS(赛事明细!$P$4:$P$2000,"已结算",赛事明细!$E$4:$E$2000,$A54,赛事明细!$Q$4:$Q$2000,"黑")</f>
        <v/>
      </c>
      <c r="H54" s="89">
        <f>IFERROR((C54+0.5*D54)/(C54+0.5*D54+G54+0.5*F54),0)</f>
        <v/>
      </c>
      <c r="I54" s="81">
        <f>SUMIFS(赛事明细!$S$4:$S$2000,赛事明细!$P$4:$P$2000,"已结算",赛事明细!$E$4:$E$2000,$A54)</f>
        <v/>
      </c>
      <c r="J54" s="89">
        <f>IFERROR(I54/B54,0)</f>
        <v/>
      </c>
      <c r="K54" s="41">
        <f>IF(B54&lt;5,"样本&lt;5，谨慎解读","")</f>
        <v/>
      </c>
    </row>
    <row r="55" ht="24" customHeight="1" s="78">
      <c r="A55" s="41" t="inlineStr">
        <is>
          <t>非联杯</t>
        </is>
      </c>
      <c r="B55" s="41">
        <f>COUNTIFS(赛事明细!$P$4:$P$2000,"已结算",赛事明细!$E$4:$E$2000,$A55)</f>
        <v/>
      </c>
      <c r="C55" s="41">
        <f>COUNTIFS(赛事明细!$P$4:$P$2000,"已结算",赛事明细!$E$4:$E$2000,$A55,赛事明细!$Q$4:$Q$2000,"红")</f>
        <v/>
      </c>
      <c r="D55" s="41">
        <f>COUNTIFS(赛事明细!$P$4:$P$2000,"已结算",赛事明细!$E$4:$E$2000,$A55,赛事明细!$Q$4:$Q$2000,"半红")</f>
        <v/>
      </c>
      <c r="E55" s="41">
        <f>COUNTIFS(赛事明细!$P$4:$P$2000,"已结算",赛事明细!$E$4:$E$2000,$A55,赛事明细!$Q$4:$Q$2000,"走")</f>
        <v/>
      </c>
      <c r="F55" s="41">
        <f>COUNTIFS(赛事明细!$P$4:$P$2000,"已结算",赛事明细!$E$4:$E$2000,$A55,赛事明细!$Q$4:$Q$2000,"半黑")</f>
        <v/>
      </c>
      <c r="G55" s="41">
        <f>COUNTIFS(赛事明细!$P$4:$P$2000,"已结算",赛事明细!$E$4:$E$2000,$A55,赛事明细!$Q$4:$Q$2000,"黑")</f>
        <v/>
      </c>
      <c r="H55" s="89">
        <f>IFERROR((C55+0.5*D55)/(C55+0.5*D55+G55+0.5*F55),0)</f>
        <v/>
      </c>
      <c r="I55" s="81">
        <f>SUMIFS(赛事明细!$S$4:$S$2000,赛事明细!$P$4:$P$2000,"已结算",赛事明细!$E$4:$E$2000,$A55)</f>
        <v/>
      </c>
      <c r="J55" s="89">
        <f>IFERROR(I55/B55,0)</f>
        <v/>
      </c>
      <c r="K55" s="41">
        <f>IF(B55&lt;5,"样本&lt;5，谨慎解读","")</f>
        <v/>
      </c>
    </row>
    <row r="56" ht="24" customHeight="1" s="78">
      <c r="A56" s="41" t="inlineStr">
        <is>
          <t>丹麦甲</t>
        </is>
      </c>
      <c r="B56" s="41">
        <f>COUNTIFS(赛事明细!$P$4:$P$2000,"已结算",赛事明细!$E$4:$E$2000,$A56)</f>
        <v/>
      </c>
      <c r="C56" s="41">
        <f>COUNTIFS(赛事明细!$P$4:$P$2000,"已结算",赛事明细!$E$4:$E$2000,$A56,赛事明细!$Q$4:$Q$2000,"红")</f>
        <v/>
      </c>
      <c r="D56" s="41">
        <f>COUNTIFS(赛事明细!$P$4:$P$2000,"已结算",赛事明细!$E$4:$E$2000,$A56,赛事明细!$Q$4:$Q$2000,"半红")</f>
        <v/>
      </c>
      <c r="E56" s="41">
        <f>COUNTIFS(赛事明细!$P$4:$P$2000,"已结算",赛事明细!$E$4:$E$2000,$A56,赛事明细!$Q$4:$Q$2000,"走")</f>
        <v/>
      </c>
      <c r="F56" s="41">
        <f>COUNTIFS(赛事明细!$P$4:$P$2000,"已结算",赛事明细!$E$4:$E$2000,$A56,赛事明细!$Q$4:$Q$2000,"半黑")</f>
        <v/>
      </c>
      <c r="G56" s="41">
        <f>COUNTIFS(赛事明细!$P$4:$P$2000,"已结算",赛事明细!$E$4:$E$2000,$A56,赛事明细!$Q$4:$Q$2000,"黑")</f>
        <v/>
      </c>
      <c r="H56" s="89">
        <f>IFERROR((C56+0.5*D56)/(C56+0.5*D56+G56+0.5*F56),0)</f>
        <v/>
      </c>
      <c r="I56" s="81">
        <f>SUMIFS(赛事明细!$S$4:$S$2000,赛事明细!$P$4:$P$2000,"已结算",赛事明细!$E$4:$E$2000,$A56)</f>
        <v/>
      </c>
      <c r="J56" s="89">
        <f>IFERROR(I56/B56,0)</f>
        <v/>
      </c>
      <c r="K56" s="41">
        <f>IF(B56&lt;5,"样本&lt;5，谨慎解读","")</f>
        <v/>
      </c>
    </row>
    <row r="57" ht="24" customHeight="1" s="78">
      <c r="A57" s="41" t="inlineStr">
        <is>
          <t>阿联酋超</t>
        </is>
      </c>
      <c r="B57" s="41">
        <f>COUNTIFS(赛事明细!$P$4:$P$2000,"已结算",赛事明细!$E$4:$E$2000,$A57)</f>
        <v/>
      </c>
      <c r="C57" s="41">
        <f>COUNTIFS(赛事明细!$P$4:$P$2000,"已结算",赛事明细!$E$4:$E$2000,$A57,赛事明细!$Q$4:$Q$2000,"红")</f>
        <v/>
      </c>
      <c r="D57" s="41">
        <f>COUNTIFS(赛事明细!$P$4:$P$2000,"已结算",赛事明细!$E$4:$E$2000,$A57,赛事明细!$Q$4:$Q$2000,"半红")</f>
        <v/>
      </c>
      <c r="E57" s="41">
        <f>COUNTIFS(赛事明细!$P$4:$P$2000,"已结算",赛事明细!$E$4:$E$2000,$A57,赛事明细!$Q$4:$Q$2000,"走")</f>
        <v/>
      </c>
      <c r="F57" s="41">
        <f>COUNTIFS(赛事明细!$P$4:$P$2000,"已结算",赛事明细!$E$4:$E$2000,$A57,赛事明细!$Q$4:$Q$2000,"半黑")</f>
        <v/>
      </c>
      <c r="G57" s="41">
        <f>COUNTIFS(赛事明细!$P$4:$P$2000,"已结算",赛事明细!$E$4:$E$2000,$A57,赛事明细!$Q$4:$Q$2000,"黑")</f>
        <v/>
      </c>
      <c r="H57" s="89">
        <f>IFERROR((C57+0.5*D57)/(C57+0.5*D57+G57+0.5*F57),0)</f>
        <v/>
      </c>
      <c r="I57" s="81">
        <f>SUMIFS(赛事明细!$S$4:$S$2000,赛事明细!$P$4:$P$2000,"已结算",赛事明细!$E$4:$E$2000,$A57)</f>
        <v/>
      </c>
      <c r="J57" s="89">
        <f>IFERROR(I57/B57,0)</f>
        <v/>
      </c>
      <c r="K57" s="41">
        <f>IF(B57&lt;5,"样本&lt;5，谨慎解读","")</f>
        <v/>
      </c>
    </row>
    <row r="58" ht="24" customHeight="1" s="78">
      <c r="A58" s="41" t="inlineStr">
        <is>
          <t>德乙</t>
        </is>
      </c>
      <c r="B58" s="41">
        <f>COUNTIFS(赛事明细!$P$4:$P$2000,"已结算",赛事明细!$E$4:$E$2000,$A58)</f>
        <v/>
      </c>
      <c r="C58" s="41">
        <f>COUNTIFS(赛事明细!$P$4:$P$2000,"已结算",赛事明细!$E$4:$E$2000,$A58,赛事明细!$Q$4:$Q$2000,"红")</f>
        <v/>
      </c>
      <c r="D58" s="41">
        <f>COUNTIFS(赛事明细!$P$4:$P$2000,"已结算",赛事明细!$E$4:$E$2000,$A58,赛事明细!$Q$4:$Q$2000,"半红")</f>
        <v/>
      </c>
      <c r="E58" s="41">
        <f>COUNTIFS(赛事明细!$P$4:$P$2000,"已结算",赛事明细!$E$4:$E$2000,$A58,赛事明细!$Q$4:$Q$2000,"走")</f>
        <v/>
      </c>
      <c r="F58" s="41">
        <f>COUNTIFS(赛事明细!$P$4:$P$2000,"已结算",赛事明细!$E$4:$E$2000,$A58,赛事明细!$Q$4:$Q$2000,"半黑")</f>
        <v/>
      </c>
      <c r="G58" s="41">
        <f>COUNTIFS(赛事明细!$P$4:$P$2000,"已结算",赛事明细!$E$4:$E$2000,$A58,赛事明细!$Q$4:$Q$2000,"黑")</f>
        <v/>
      </c>
      <c r="H58" s="89">
        <f>IFERROR((C58+0.5*D58)/(C58+0.5*D58+G58+0.5*F58),0)</f>
        <v/>
      </c>
      <c r="I58" s="81">
        <f>SUMIFS(赛事明细!$S$4:$S$2000,赛事明细!$P$4:$P$2000,"已结算",赛事明细!$E$4:$E$2000,$A58)</f>
        <v/>
      </c>
      <c r="J58" s="89">
        <f>IFERROR(I58/B58,0)</f>
        <v/>
      </c>
      <c r="K58" s="41">
        <f>IF(B58&lt;5,"样本&lt;5，谨慎解读","")</f>
        <v/>
      </c>
    </row>
    <row r="59" ht="24" customHeight="1" s="78">
      <c r="A59" s="41" t="inlineStr">
        <is>
          <t>丹麦乙</t>
        </is>
      </c>
      <c r="B59" s="41">
        <f>COUNTIFS(赛事明细!$P$4:$P$2000,"已结算",赛事明细!$E$4:$E$2000,$A59)</f>
        <v/>
      </c>
      <c r="C59" s="41">
        <f>COUNTIFS(赛事明细!$P$4:$P$2000,"已结算",赛事明细!$E$4:$E$2000,$A59,赛事明细!$Q$4:$Q$2000,"红")</f>
        <v/>
      </c>
      <c r="D59" s="41">
        <f>COUNTIFS(赛事明细!$P$4:$P$2000,"已结算",赛事明细!$E$4:$E$2000,$A59,赛事明细!$Q$4:$Q$2000,"半红")</f>
        <v/>
      </c>
      <c r="E59" s="41">
        <f>COUNTIFS(赛事明细!$P$4:$P$2000,"已结算",赛事明细!$E$4:$E$2000,$A59,赛事明细!$Q$4:$Q$2000,"走")</f>
        <v/>
      </c>
      <c r="F59" s="41">
        <f>COUNTIFS(赛事明细!$P$4:$P$2000,"已结算",赛事明细!$E$4:$E$2000,$A59,赛事明细!$Q$4:$Q$2000,"半黑")</f>
        <v/>
      </c>
      <c r="G59" s="41">
        <f>COUNTIFS(赛事明细!$P$4:$P$2000,"已结算",赛事明细!$E$4:$E$2000,$A59,赛事明细!$Q$4:$Q$2000,"黑")</f>
        <v/>
      </c>
      <c r="H59" s="89">
        <f>IFERROR((C59+0.5*D59)/(C59+0.5*D59+G59+0.5*F59),0)</f>
        <v/>
      </c>
      <c r="I59" s="81">
        <f>SUMIFS(赛事明细!$S$4:$S$2000,赛事明细!$P$4:$P$2000,"已结算",赛事明细!$E$4:$E$2000,$A59)</f>
        <v/>
      </c>
      <c r="J59" s="89">
        <f>IFERROR(I59/B59,0)</f>
        <v/>
      </c>
      <c r="K59" s="41">
        <f>IF(B59&lt;5,"样本&lt;5，谨慎解读","")</f>
        <v/>
      </c>
    </row>
    <row r="60" ht="24" customHeight="1" s="78">
      <c r="A60" s="41" t="inlineStr">
        <is>
          <t>挪超</t>
        </is>
      </c>
      <c r="B60" s="41">
        <f>COUNTIFS(赛事明细!$P$4:$P$2000,"已结算",赛事明细!$E$4:$E$2000,$A60)</f>
        <v/>
      </c>
      <c r="C60" s="41">
        <f>COUNTIFS(赛事明细!$P$4:$P$2000,"已结算",赛事明细!$E$4:$E$2000,$A60,赛事明细!$Q$4:$Q$2000,"红")</f>
        <v/>
      </c>
      <c r="D60" s="41">
        <f>COUNTIFS(赛事明细!$P$4:$P$2000,"已结算",赛事明细!$E$4:$E$2000,$A60,赛事明细!$Q$4:$Q$2000,"半红")</f>
        <v/>
      </c>
      <c r="E60" s="41">
        <f>COUNTIFS(赛事明细!$P$4:$P$2000,"已结算",赛事明细!$E$4:$E$2000,$A60,赛事明细!$Q$4:$Q$2000,"走")</f>
        <v/>
      </c>
      <c r="F60" s="41">
        <f>COUNTIFS(赛事明细!$P$4:$P$2000,"已结算",赛事明细!$E$4:$E$2000,$A60,赛事明细!$Q$4:$Q$2000,"半黑")</f>
        <v/>
      </c>
      <c r="G60" s="41">
        <f>COUNTIFS(赛事明细!$P$4:$P$2000,"已结算",赛事明细!$E$4:$E$2000,$A60,赛事明细!$Q$4:$Q$2000,"黑")</f>
        <v/>
      </c>
      <c r="H60" s="89">
        <f>IFERROR((C60+0.5*D60)/(C60+0.5*D60+G60+0.5*F60),0)</f>
        <v/>
      </c>
      <c r="I60" s="81">
        <f>SUMIFS(赛事明细!$S$4:$S$2000,赛事明细!$P$4:$P$2000,"已结算",赛事明细!$E$4:$E$2000,$A60)</f>
        <v/>
      </c>
      <c r="J60" s="89">
        <f>IFERROR(I60/B60,0)</f>
        <v/>
      </c>
      <c r="K60" s="41">
        <f>IF(B60&lt;5,"样本&lt;5，谨慎解读","")</f>
        <v/>
      </c>
    </row>
    <row r="61" ht="24" customHeight="1" s="78">
      <c r="A61" s="41" t="inlineStr">
        <is>
          <t>瑞典甲</t>
        </is>
      </c>
      <c r="B61" s="41">
        <f>COUNTIFS(赛事明细!$P$4:$P$2000,"已结算",赛事明细!$E$4:$E$2000,$A61)</f>
        <v/>
      </c>
      <c r="C61" s="41">
        <f>COUNTIFS(赛事明细!$P$4:$P$2000,"已结算",赛事明细!$E$4:$E$2000,$A61,赛事明细!$Q$4:$Q$2000,"红")</f>
        <v/>
      </c>
      <c r="D61" s="41">
        <f>COUNTIFS(赛事明细!$P$4:$P$2000,"已结算",赛事明细!$E$4:$E$2000,$A61,赛事明细!$Q$4:$Q$2000,"半红")</f>
        <v/>
      </c>
      <c r="E61" s="41">
        <f>COUNTIFS(赛事明细!$P$4:$P$2000,"已结算",赛事明细!$E$4:$E$2000,$A61,赛事明细!$Q$4:$Q$2000,"走")</f>
        <v/>
      </c>
      <c r="F61" s="41">
        <f>COUNTIFS(赛事明细!$P$4:$P$2000,"已结算",赛事明细!$E$4:$E$2000,$A61,赛事明细!$Q$4:$Q$2000,"半黑")</f>
        <v/>
      </c>
      <c r="G61" s="41">
        <f>COUNTIFS(赛事明细!$P$4:$P$2000,"已结算",赛事明细!$E$4:$E$2000,$A61,赛事明细!$Q$4:$Q$2000,"黑")</f>
        <v/>
      </c>
      <c r="H61" s="89">
        <f>IFERROR((C61+0.5*D61)/(C61+0.5*D61+G61+0.5*F61),0)</f>
        <v/>
      </c>
      <c r="I61" s="81">
        <f>SUMIFS(赛事明细!$S$4:$S$2000,赛事明细!$P$4:$P$2000,"已结算",赛事明细!$E$4:$E$2000,$A61)</f>
        <v/>
      </c>
      <c r="J61" s="89">
        <f>IFERROR(I61/B61,0)</f>
        <v/>
      </c>
      <c r="K61" s="41">
        <f>IF(B61&lt;5,"样本&lt;5，谨慎解读","")</f>
        <v/>
      </c>
    </row>
    <row r="62" ht="24" customHeight="1" s="78">
      <c r="A62" s="41" t="inlineStr">
        <is>
          <t>比乙</t>
        </is>
      </c>
      <c r="B62" s="41">
        <f>COUNTIFS(赛事明细!$P$4:$P$2000,"已结算",赛事明细!$E$4:$E$2000,$A62)</f>
        <v/>
      </c>
      <c r="C62" s="41">
        <f>COUNTIFS(赛事明细!$P$4:$P$2000,"已结算",赛事明细!$E$4:$E$2000,$A62,赛事明细!$Q$4:$Q$2000,"红")</f>
        <v/>
      </c>
      <c r="D62" s="41">
        <f>COUNTIFS(赛事明细!$P$4:$P$2000,"已结算",赛事明细!$E$4:$E$2000,$A62,赛事明细!$Q$4:$Q$2000,"半红")</f>
        <v/>
      </c>
      <c r="E62" s="41">
        <f>COUNTIFS(赛事明细!$P$4:$P$2000,"已结算",赛事明细!$E$4:$E$2000,$A62,赛事明细!$Q$4:$Q$2000,"走")</f>
        <v/>
      </c>
      <c r="F62" s="41">
        <f>COUNTIFS(赛事明细!$P$4:$P$2000,"已结算",赛事明细!$E$4:$E$2000,$A62,赛事明细!$Q$4:$Q$2000,"半黑")</f>
        <v/>
      </c>
      <c r="G62" s="41">
        <f>COUNTIFS(赛事明细!$P$4:$P$2000,"已结算",赛事明细!$E$4:$E$2000,$A62,赛事明细!$Q$4:$Q$2000,"黑")</f>
        <v/>
      </c>
      <c r="H62" s="89">
        <f>IFERROR((C62+0.5*D62)/(C62+0.5*D62+G62+0.5*F62),0)</f>
        <v/>
      </c>
      <c r="I62" s="81">
        <f>SUMIFS(赛事明细!$S$4:$S$2000,赛事明细!$P$4:$P$2000,"已结算",赛事明细!$E$4:$E$2000,$A62)</f>
        <v/>
      </c>
      <c r="J62" s="89">
        <f>IFERROR(I62/B62,0)</f>
        <v/>
      </c>
      <c r="K62" s="41">
        <f>IF(B62&lt;5,"样本&lt;5，谨慎解读","")</f>
        <v/>
      </c>
    </row>
    <row r="63" ht="24" customHeight="1" s="78">
      <c r="A63" s="41" t="inlineStr">
        <is>
          <t>德甲</t>
        </is>
      </c>
      <c r="B63" s="41">
        <f>COUNTIFS(赛事明细!$P$4:$P$2000,"已结算",赛事明细!$E$4:$E$2000,$A63)</f>
        <v/>
      </c>
      <c r="C63" s="41">
        <f>COUNTIFS(赛事明细!$P$4:$P$2000,"已结算",赛事明细!$E$4:$E$2000,$A63,赛事明细!$Q$4:$Q$2000,"红")</f>
        <v/>
      </c>
      <c r="D63" s="41">
        <f>COUNTIFS(赛事明细!$P$4:$P$2000,"已结算",赛事明细!$E$4:$E$2000,$A63,赛事明细!$Q$4:$Q$2000,"半红")</f>
        <v/>
      </c>
      <c r="E63" s="41">
        <f>COUNTIFS(赛事明细!$P$4:$P$2000,"已结算",赛事明细!$E$4:$E$2000,$A63,赛事明细!$Q$4:$Q$2000,"走")</f>
        <v/>
      </c>
      <c r="F63" s="41">
        <f>COUNTIFS(赛事明细!$P$4:$P$2000,"已结算",赛事明细!$E$4:$E$2000,$A63,赛事明细!$Q$4:$Q$2000,"半黑")</f>
        <v/>
      </c>
      <c r="G63" s="41">
        <f>COUNTIFS(赛事明细!$P$4:$P$2000,"已结算",赛事明细!$E$4:$E$2000,$A63,赛事明细!$Q$4:$Q$2000,"黑")</f>
        <v/>
      </c>
      <c r="H63" s="89">
        <f>IFERROR((C63+0.5*D63)/(C63+0.5*D63+G63+0.5*F63),0)</f>
        <v/>
      </c>
      <c r="I63" s="81">
        <f>SUMIFS(赛事明细!$S$4:$S$2000,赛事明细!$P$4:$P$2000,"已结算",赛事明细!$E$4:$E$2000,$A63)</f>
        <v/>
      </c>
      <c r="J63" s="89">
        <f>IFERROR(I63/B63,0)</f>
        <v/>
      </c>
      <c r="K63" s="41">
        <f>IF(B63&lt;5,"样本&lt;5，谨慎解读","")</f>
        <v/>
      </c>
    </row>
    <row r="64" ht="24" customHeight="1" s="78">
      <c r="A64" s="41" t="inlineStr">
        <is>
          <t>意甲</t>
        </is>
      </c>
      <c r="B64" s="41">
        <f>COUNTIFS(赛事明细!$P$4:$P$2000,"已结算",赛事明细!$E$4:$E$2000,$A64)</f>
        <v/>
      </c>
      <c r="C64" s="41">
        <f>COUNTIFS(赛事明细!$P$4:$P$2000,"已结算",赛事明细!$E$4:$E$2000,$A64,赛事明细!$Q$4:$Q$2000,"红")</f>
        <v/>
      </c>
      <c r="D64" s="41">
        <f>COUNTIFS(赛事明细!$P$4:$P$2000,"已结算",赛事明细!$E$4:$E$2000,$A64,赛事明细!$Q$4:$Q$2000,"半红")</f>
        <v/>
      </c>
      <c r="E64" s="41">
        <f>COUNTIFS(赛事明细!$P$4:$P$2000,"已结算",赛事明细!$E$4:$E$2000,$A64,赛事明细!$Q$4:$Q$2000,"走")</f>
        <v/>
      </c>
      <c r="F64" s="41">
        <f>COUNTIFS(赛事明细!$P$4:$P$2000,"已结算",赛事明细!$E$4:$E$2000,$A64,赛事明细!$Q$4:$Q$2000,"半黑")</f>
        <v/>
      </c>
      <c r="G64" s="41">
        <f>COUNTIFS(赛事明细!$P$4:$P$2000,"已结算",赛事明细!$E$4:$E$2000,$A64,赛事明细!$Q$4:$Q$2000,"黑")</f>
        <v/>
      </c>
      <c r="H64" s="89">
        <f>IFERROR((C64+0.5*D64)/(C64+0.5*D64+G64+0.5*F64),0)</f>
        <v/>
      </c>
      <c r="I64" s="81">
        <f>SUMIFS(赛事明细!$S$4:$S$2000,赛事明细!$P$4:$P$2000,"已结算",赛事明细!$E$4:$E$2000,$A64)</f>
        <v/>
      </c>
      <c r="J64" s="89">
        <f>IFERROR(I64/B64,0)</f>
        <v/>
      </c>
      <c r="K64" s="41">
        <f>IF(B64&lt;5,"样本&lt;5，谨慎解读","")</f>
        <v/>
      </c>
    </row>
    <row r="65" ht="24" customHeight="1" s="78">
      <c r="A65" s="41" t="inlineStr">
        <is>
          <t>英超</t>
        </is>
      </c>
      <c r="B65" s="41">
        <f>COUNTIFS(赛事明细!$P$4:$P$2000,"已结算",赛事明细!$E$4:$E$2000,$A65)</f>
        <v/>
      </c>
      <c r="C65" s="41">
        <f>COUNTIFS(赛事明细!$P$4:$P$2000,"已结算",赛事明细!$E$4:$E$2000,$A65,赛事明细!$Q$4:$Q$2000,"红")</f>
        <v/>
      </c>
      <c r="D65" s="41">
        <f>COUNTIFS(赛事明细!$P$4:$P$2000,"已结算",赛事明细!$E$4:$E$2000,$A65,赛事明细!$Q$4:$Q$2000,"半红")</f>
        <v/>
      </c>
      <c r="E65" s="41">
        <f>COUNTIFS(赛事明细!$P$4:$P$2000,"已结算",赛事明细!$E$4:$E$2000,$A65,赛事明细!$Q$4:$Q$2000,"走")</f>
        <v/>
      </c>
      <c r="F65" s="41">
        <f>COUNTIFS(赛事明细!$P$4:$P$2000,"已结算",赛事明细!$E$4:$E$2000,$A65,赛事明细!$Q$4:$Q$2000,"半黑")</f>
        <v/>
      </c>
      <c r="G65" s="41">
        <f>COUNTIFS(赛事明细!$P$4:$P$2000,"已结算",赛事明细!$E$4:$E$2000,$A65,赛事明细!$Q$4:$Q$2000,"黑")</f>
        <v/>
      </c>
      <c r="H65" s="89">
        <f>IFERROR((C65+0.5*D65)/(C65+0.5*D65+G65+0.5*F65),0)</f>
        <v/>
      </c>
      <c r="I65" s="81">
        <f>SUMIFS(赛事明细!$S$4:$S$2000,赛事明细!$P$4:$P$2000,"已结算",赛事明细!$E$4:$E$2000,$A65)</f>
        <v/>
      </c>
      <c r="J65" s="89">
        <f>IFERROR(I65/B65,0)</f>
        <v/>
      </c>
      <c r="K65" s="41">
        <f>IF(B65&lt;5,"样本&lt;5，谨慎解读","")</f>
        <v/>
      </c>
    </row>
    <row r="66" ht="24" customHeight="1" s="78">
      <c r="A66" s="41" t="inlineStr">
        <is>
          <t>西甲</t>
        </is>
      </c>
      <c r="B66" s="41">
        <f>COUNTIFS(赛事明细!$P$4:$P$2000,"已结算",赛事明细!$E$4:$E$2000,$A66)</f>
        <v/>
      </c>
      <c r="C66" s="41">
        <f>COUNTIFS(赛事明细!$P$4:$P$2000,"已结算",赛事明细!$E$4:$E$2000,$A66,赛事明细!$Q$4:$Q$2000,"红")</f>
        <v/>
      </c>
      <c r="D66" s="41">
        <f>COUNTIFS(赛事明细!$P$4:$P$2000,"已结算",赛事明细!$E$4:$E$2000,$A66,赛事明细!$Q$4:$Q$2000,"半红")</f>
        <v/>
      </c>
      <c r="E66" s="41">
        <f>COUNTIFS(赛事明细!$P$4:$P$2000,"已结算",赛事明细!$E$4:$E$2000,$A66,赛事明细!$Q$4:$Q$2000,"走")</f>
        <v/>
      </c>
      <c r="F66" s="41">
        <f>COUNTIFS(赛事明细!$P$4:$P$2000,"已结算",赛事明细!$E$4:$E$2000,$A66,赛事明细!$Q$4:$Q$2000,"半黑")</f>
        <v/>
      </c>
      <c r="G66" s="41">
        <f>COUNTIFS(赛事明细!$P$4:$P$2000,"已结算",赛事明细!$E$4:$E$2000,$A66,赛事明细!$Q$4:$Q$2000,"黑")</f>
        <v/>
      </c>
      <c r="H66" s="89">
        <f>IFERROR((C66+0.5*D66)/(C66+0.5*D66+G66+0.5*F66),0)</f>
        <v/>
      </c>
      <c r="I66" s="81">
        <f>SUMIFS(赛事明细!$S$4:$S$2000,赛事明细!$P$4:$P$2000,"已结算",赛事明细!$E$4:$E$2000,$A66)</f>
        <v/>
      </c>
      <c r="J66" s="89">
        <f>IFERROR(I66/B66,0)</f>
        <v/>
      </c>
      <c r="K66" s="41">
        <f>IF(B66&lt;5,"样本&lt;5，谨慎解读","")</f>
        <v/>
      </c>
    </row>
    <row r="67" ht="24" customHeight="1" s="78">
      <c r="A67" s="41" t="inlineStr">
        <is>
          <t>葡超</t>
        </is>
      </c>
      <c r="B67" s="41">
        <f>COUNTIFS(赛事明细!$P$4:$P$2000,"已结算",赛事明细!$E$4:$E$2000,$A67)</f>
        <v/>
      </c>
      <c r="C67" s="41">
        <f>COUNTIFS(赛事明细!$P$4:$P$2000,"已结算",赛事明细!$E$4:$E$2000,$A67,赛事明细!$Q$4:$Q$2000,"红")</f>
        <v/>
      </c>
      <c r="D67" s="41">
        <f>COUNTIFS(赛事明细!$P$4:$P$2000,"已结算",赛事明细!$E$4:$E$2000,$A67,赛事明细!$Q$4:$Q$2000,"半红")</f>
        <v/>
      </c>
      <c r="E67" s="41">
        <f>COUNTIFS(赛事明细!$P$4:$P$2000,"已结算",赛事明细!$E$4:$E$2000,$A67,赛事明细!$Q$4:$Q$2000,"走")</f>
        <v/>
      </c>
      <c r="F67" s="41">
        <f>COUNTIFS(赛事明细!$P$4:$P$2000,"已结算",赛事明细!$E$4:$E$2000,$A67,赛事明细!$Q$4:$Q$2000,"半黑")</f>
        <v/>
      </c>
      <c r="G67" s="41">
        <f>COUNTIFS(赛事明细!$P$4:$P$2000,"已结算",赛事明细!$E$4:$E$2000,$A67,赛事明细!$Q$4:$Q$2000,"黑")</f>
        <v/>
      </c>
      <c r="H67" s="89">
        <f>IFERROR((C67+0.5*D67)/(C67+0.5*D67+G67+0.5*F67),0)</f>
        <v/>
      </c>
      <c r="I67" s="81">
        <f>SUMIFS(赛事明细!$S$4:$S$2000,赛事明细!$P$4:$P$2000,"已结算",赛事明细!$E$4:$E$2000,$A67)</f>
        <v/>
      </c>
      <c r="J67" s="89">
        <f>IFERROR(I67/B67,0)</f>
        <v/>
      </c>
      <c r="K67" s="41">
        <f>IF(B67&lt;5,"样本&lt;5，谨慎解读","")</f>
        <v/>
      </c>
    </row>
    <row r="68" ht="24" customHeight="1" s="78">
      <c r="A68" s="41" t="inlineStr">
        <is>
          <t>澳维超</t>
        </is>
      </c>
      <c r="B68" s="41">
        <f>COUNTIFS(赛事明细!$P$4:$P$2000,"已结算",赛事明细!$E$4:$E$2000,$A68)</f>
        <v/>
      </c>
      <c r="C68" s="41">
        <f>COUNTIFS(赛事明细!$P$4:$P$2000,"已结算",赛事明细!$E$4:$E$2000,$A68,赛事明细!$Q$4:$Q$2000,"红")</f>
        <v/>
      </c>
      <c r="D68" s="41">
        <f>COUNTIFS(赛事明细!$P$4:$P$2000,"已结算",赛事明细!$E$4:$E$2000,$A68,赛事明细!$Q$4:$Q$2000,"半红")</f>
        <v/>
      </c>
      <c r="E68" s="41">
        <f>COUNTIFS(赛事明细!$P$4:$P$2000,"已结算",赛事明细!$E$4:$E$2000,$A68,赛事明细!$Q$4:$Q$2000,"走")</f>
        <v/>
      </c>
      <c r="F68" s="41">
        <f>COUNTIFS(赛事明细!$P$4:$P$2000,"已结算",赛事明细!$E$4:$E$2000,$A68,赛事明细!$Q$4:$Q$2000,"半黑")</f>
        <v/>
      </c>
      <c r="G68" s="41">
        <f>COUNTIFS(赛事明细!$P$4:$P$2000,"已结算",赛事明细!$E$4:$E$2000,$A68,赛事明细!$Q$4:$Q$2000,"黑")</f>
        <v/>
      </c>
      <c r="H68" s="89">
        <f>IFERROR((C68+0.5*D68)/(C68+0.5*D68+G68+0.5*F68),0)</f>
        <v/>
      </c>
      <c r="I68" s="81">
        <f>SUMIFS(赛事明细!$S$4:$S$2000,赛事明细!$P$4:$P$2000,"已结算",赛事明细!$E$4:$E$2000,$A68)</f>
        <v/>
      </c>
      <c r="J68" s="89">
        <f>IFERROR(I68/B68,0)</f>
        <v/>
      </c>
      <c r="K68" s="41">
        <f>IF(B68&lt;5,"样本&lt;5，谨慎解读","")</f>
        <v/>
      </c>
    </row>
    <row r="69" ht="24" customHeight="1" s="78">
      <c r="A69" s="41" t="inlineStr">
        <is>
          <t>澳昆超</t>
        </is>
      </c>
      <c r="B69" s="41">
        <f>COUNTIFS(赛事明细!$P$4:$P$2000,"已结算",赛事明细!$E$4:$E$2000,$A69)</f>
        <v/>
      </c>
      <c r="C69" s="41">
        <f>COUNTIFS(赛事明细!$P$4:$P$2000,"已结算",赛事明细!$E$4:$E$2000,$A69,赛事明细!$Q$4:$Q$2000,"红")</f>
        <v/>
      </c>
      <c r="D69" s="41">
        <f>COUNTIFS(赛事明细!$P$4:$P$2000,"已结算",赛事明细!$E$4:$E$2000,$A69,赛事明细!$Q$4:$Q$2000,"半红")</f>
        <v/>
      </c>
      <c r="E69" s="41">
        <f>COUNTIFS(赛事明细!$P$4:$P$2000,"已结算",赛事明细!$E$4:$E$2000,$A69,赛事明细!$Q$4:$Q$2000,"走")</f>
        <v/>
      </c>
      <c r="F69" s="41">
        <f>COUNTIFS(赛事明细!$P$4:$P$2000,"已结算",赛事明细!$E$4:$E$2000,$A69,赛事明细!$Q$4:$Q$2000,"半黑")</f>
        <v/>
      </c>
      <c r="G69" s="41">
        <f>COUNTIFS(赛事明细!$P$4:$P$2000,"已结算",赛事明细!$E$4:$E$2000,$A69,赛事明细!$Q$4:$Q$2000,"黑")</f>
        <v/>
      </c>
      <c r="H69" s="89">
        <f>IFERROR((C69+0.5*D69)/(C69+0.5*D69+G69+0.5*F69),0)</f>
        <v/>
      </c>
      <c r="I69" s="81">
        <f>SUMIFS(赛事明细!$S$4:$S$2000,赛事明细!$P$4:$P$2000,"已结算",赛事明细!$E$4:$E$2000,$A69)</f>
        <v/>
      </c>
      <c r="J69" s="89">
        <f>IFERROR(I69/B69,0)</f>
        <v/>
      </c>
      <c r="K69" s="41">
        <f>IF(B69&lt;5,"样本&lt;5，谨慎解读","")</f>
        <v/>
      </c>
    </row>
    <row r="70" ht="24" customHeight="1" s="78">
      <c r="A70" s="41" t="inlineStr">
        <is>
          <t>日职丙</t>
        </is>
      </c>
      <c r="B70" s="41">
        <f>COUNTIFS(赛事明细!$P$4:$P$2000,"已结算",赛事明细!$E$4:$E$2000,$A70)</f>
        <v/>
      </c>
      <c r="C70" s="41">
        <f>COUNTIFS(赛事明细!$P$4:$P$2000,"已结算",赛事明细!$E$4:$E$2000,$A70,赛事明细!$Q$4:$Q$2000,"红")</f>
        <v/>
      </c>
      <c r="D70" s="41">
        <f>COUNTIFS(赛事明细!$P$4:$P$2000,"已结算",赛事明细!$E$4:$E$2000,$A70,赛事明细!$Q$4:$Q$2000,"半红")</f>
        <v/>
      </c>
      <c r="E70" s="41">
        <f>COUNTIFS(赛事明细!$P$4:$P$2000,"已结算",赛事明细!$E$4:$E$2000,$A70,赛事明细!$Q$4:$Q$2000,"走")</f>
        <v/>
      </c>
      <c r="F70" s="41">
        <f>COUNTIFS(赛事明细!$P$4:$P$2000,"已结算",赛事明细!$E$4:$E$2000,$A70,赛事明细!$Q$4:$Q$2000,"半黑")</f>
        <v/>
      </c>
      <c r="G70" s="41">
        <f>COUNTIFS(赛事明细!$P$4:$P$2000,"已结算",赛事明细!$E$4:$E$2000,$A70,赛事明细!$Q$4:$Q$2000,"黑")</f>
        <v/>
      </c>
      <c r="H70" s="89">
        <f>IFERROR((C70+0.5*D70)/(C70+0.5*D70+G70+0.5*F70),0)</f>
        <v/>
      </c>
      <c r="I70" s="81">
        <f>SUMIFS(赛事明细!$S$4:$S$2000,赛事明细!$P$4:$P$2000,"已结算",赛事明细!$E$4:$E$2000,$A70)</f>
        <v/>
      </c>
      <c r="J70" s="89">
        <f>IFERROR(I70/B70,0)</f>
        <v/>
      </c>
      <c r="K70" s="41">
        <f>IF(B70&lt;5,"样本&lt;5，谨慎解读","")</f>
        <v/>
      </c>
    </row>
    <row r="71" ht="24" customHeight="1" s="78">
      <c r="A71" s="41" t="inlineStr">
        <is>
          <t>日职乙</t>
        </is>
      </c>
      <c r="B71" s="41">
        <f>COUNTIFS(赛事明细!$P$4:$P$2000,"已结算",赛事明细!$E$4:$E$2000,$A71)</f>
        <v/>
      </c>
      <c r="C71" s="41">
        <f>COUNTIFS(赛事明细!$P$4:$P$2000,"已结算",赛事明细!$E$4:$E$2000,$A71,赛事明细!$Q$4:$Q$2000,"红")</f>
        <v/>
      </c>
      <c r="D71" s="41">
        <f>COUNTIFS(赛事明细!$P$4:$P$2000,"已结算",赛事明细!$E$4:$E$2000,$A71,赛事明细!$Q$4:$Q$2000,"半红")</f>
        <v/>
      </c>
      <c r="E71" s="41">
        <f>COUNTIFS(赛事明细!$P$4:$P$2000,"已结算",赛事明细!$E$4:$E$2000,$A71,赛事明细!$Q$4:$Q$2000,"走")</f>
        <v/>
      </c>
      <c r="F71" s="41">
        <f>COUNTIFS(赛事明细!$P$4:$P$2000,"已结算",赛事明细!$E$4:$E$2000,$A71,赛事明细!$Q$4:$Q$2000,"半黑")</f>
        <v/>
      </c>
      <c r="G71" s="41">
        <f>COUNTIFS(赛事明细!$P$4:$P$2000,"已结算",赛事明细!$E$4:$E$2000,$A71,赛事明细!$Q$4:$Q$2000,"黑")</f>
        <v/>
      </c>
      <c r="H71" s="89">
        <f>IFERROR((C71+0.5*D71)/(C71+0.5*D71+G71+0.5*F71),0)</f>
        <v/>
      </c>
      <c r="I71" s="81">
        <f>SUMIFS(赛事明细!$S$4:$S$2000,赛事明细!$P$4:$P$2000,"已结算",赛事明细!$E$4:$E$2000,$A71)</f>
        <v/>
      </c>
      <c r="J71" s="89">
        <f>IFERROR(I71/B71,0)</f>
        <v/>
      </c>
      <c r="K71" s="41">
        <f>IF(B71&lt;5,"样本&lt;5，谨慎解读","")</f>
        <v/>
      </c>
    </row>
    <row r="72" ht="24" customHeight="1" s="78">
      <c r="A72" s="41" t="inlineStr">
        <is>
          <t>韩K2联</t>
        </is>
      </c>
      <c r="B72" s="41">
        <f>COUNTIFS(赛事明细!$P$4:$P$2000,"已结算",赛事明细!$E$4:$E$2000,$A72)</f>
        <v/>
      </c>
      <c r="C72" s="41">
        <f>COUNTIFS(赛事明细!$P$4:$P$2000,"已结算",赛事明细!$E$4:$E$2000,$A72,赛事明细!$Q$4:$Q$2000,"红")</f>
        <v/>
      </c>
      <c r="D72" s="41">
        <f>COUNTIFS(赛事明细!$P$4:$P$2000,"已结算",赛事明细!$E$4:$E$2000,$A72,赛事明细!$Q$4:$Q$2000,"半红")</f>
        <v/>
      </c>
      <c r="E72" s="41">
        <f>COUNTIFS(赛事明细!$P$4:$P$2000,"已结算",赛事明细!$E$4:$E$2000,$A72,赛事明细!$Q$4:$Q$2000,"走")</f>
        <v/>
      </c>
      <c r="F72" s="41">
        <f>COUNTIFS(赛事明细!$P$4:$P$2000,"已结算",赛事明细!$E$4:$E$2000,$A72,赛事明细!$Q$4:$Q$2000,"半黑")</f>
        <v/>
      </c>
      <c r="G72" s="41">
        <f>COUNTIFS(赛事明细!$P$4:$P$2000,"已结算",赛事明细!$E$4:$E$2000,$A72,赛事明细!$Q$4:$Q$2000,"黑")</f>
        <v/>
      </c>
      <c r="H72" s="89">
        <f>IFERROR((C72+0.5*D72)/(C72+0.5*D72+G72+0.5*F72),0)</f>
        <v/>
      </c>
      <c r="I72" s="81">
        <f>SUMIFS(赛事明细!$S$4:$S$2000,赛事明细!$P$4:$P$2000,"已结算",赛事明细!$E$4:$E$2000,$A72)</f>
        <v/>
      </c>
      <c r="J72" s="89">
        <f>IFERROR(I72/B72,0)</f>
        <v/>
      </c>
      <c r="K72" s="41">
        <f>IF(B72&lt;5,"样本&lt;5，谨慎解读","")</f>
        <v/>
      </c>
    </row>
    <row r="73" ht="24" customHeight="1" s="78">
      <c r="A73" s="41" t="inlineStr">
        <is>
          <t>韩K联</t>
        </is>
      </c>
      <c r="B73" s="41">
        <f>COUNTIFS(赛事明细!$P$4:$P$2000,"已结算",赛事明细!$E$4:$E$2000,$A73)</f>
        <v/>
      </c>
      <c r="C73" s="41">
        <f>COUNTIFS(赛事明细!$P$4:$P$2000,"已结算",赛事明细!$E$4:$E$2000,$A73,赛事明细!$Q$4:$Q$2000,"红")</f>
        <v/>
      </c>
      <c r="D73" s="41">
        <f>COUNTIFS(赛事明细!$P$4:$P$2000,"已结算",赛事明细!$E$4:$E$2000,$A73,赛事明细!$Q$4:$Q$2000,"半红")</f>
        <v/>
      </c>
      <c r="E73" s="41">
        <f>COUNTIFS(赛事明细!$P$4:$P$2000,"已结算",赛事明细!$E$4:$E$2000,$A73,赛事明细!$Q$4:$Q$2000,"走")</f>
        <v/>
      </c>
      <c r="F73" s="41">
        <f>COUNTIFS(赛事明细!$P$4:$P$2000,"已结算",赛事明细!$E$4:$E$2000,$A73,赛事明细!$Q$4:$Q$2000,"半黑")</f>
        <v/>
      </c>
      <c r="G73" s="41">
        <f>COUNTIFS(赛事明细!$P$4:$P$2000,"已结算",赛事明细!$E$4:$E$2000,$A73,赛事明细!$Q$4:$Q$2000,"黑")</f>
        <v/>
      </c>
      <c r="H73" s="89">
        <f>IFERROR((C73+0.5*D73)/(C73+0.5*D73+G73+0.5*F73),0)</f>
        <v/>
      </c>
      <c r="I73" s="81">
        <f>SUMIFS(赛事明细!$S$4:$S$2000,赛事明细!$P$4:$P$2000,"已结算",赛事明细!$E$4:$E$2000,$A73)</f>
        <v/>
      </c>
      <c r="J73" s="89">
        <f>IFERROR(I73/B73,0)</f>
        <v/>
      </c>
      <c r="K73" s="41">
        <f>IF(B73&lt;5,"样本&lt;5，谨慎解读","")</f>
        <v/>
      </c>
    </row>
    <row r="74" ht="24" customHeight="1" s="78">
      <c r="A74" s="41" t="inlineStr">
        <is>
          <t>中甲</t>
        </is>
      </c>
      <c r="B74" s="41">
        <f>COUNTIFS(赛事明细!$P$4:$P$2000,"已结算",赛事明细!$E$4:$E$2000,$A74)</f>
        <v/>
      </c>
      <c r="C74" s="41">
        <f>COUNTIFS(赛事明细!$P$4:$P$2000,"已结算",赛事明细!$E$4:$E$2000,$A74,赛事明细!$Q$4:$Q$2000,"红")</f>
        <v/>
      </c>
      <c r="D74" s="41">
        <f>COUNTIFS(赛事明细!$P$4:$P$2000,"已结算",赛事明细!$E$4:$E$2000,$A74,赛事明细!$Q$4:$Q$2000,"半红")</f>
        <v/>
      </c>
      <c r="E74" s="41">
        <f>COUNTIFS(赛事明细!$P$4:$P$2000,"已结算",赛事明细!$E$4:$E$2000,$A74,赛事明细!$Q$4:$Q$2000,"走")</f>
        <v/>
      </c>
      <c r="F74" s="41">
        <f>COUNTIFS(赛事明细!$P$4:$P$2000,"已结算",赛事明细!$E$4:$E$2000,$A74,赛事明细!$Q$4:$Q$2000,"半黑")</f>
        <v/>
      </c>
      <c r="G74" s="41">
        <f>COUNTIFS(赛事明细!$P$4:$P$2000,"已结算",赛事明细!$E$4:$E$2000,$A74,赛事明细!$Q$4:$Q$2000,"黑")</f>
        <v/>
      </c>
      <c r="H74" s="89">
        <f>IFERROR((C74+0.5*D74)/(C74+0.5*D74+G74+0.5*F74),0)</f>
        <v/>
      </c>
      <c r="I74" s="81">
        <f>SUMIFS(赛事明细!$S$4:$S$2000,赛事明细!$P$4:$P$2000,"已结算",赛事明细!$E$4:$E$2000,$A74)</f>
        <v/>
      </c>
      <c r="J74" s="89">
        <f>IFERROR(I74/B74,0)</f>
        <v/>
      </c>
      <c r="K74" s="41">
        <f>IF(B74&lt;5,"样本&lt;5，谨慎解读","")</f>
        <v/>
      </c>
    </row>
    <row r="75" ht="24" customHeight="1" s="78">
      <c r="A75" s="41" t="inlineStr">
        <is>
          <t>中超</t>
        </is>
      </c>
      <c r="B75" s="41">
        <f>COUNTIFS(赛事明细!$P$4:$P$2000,"已结算",赛事明细!$E$4:$E$2000,$A75)</f>
        <v/>
      </c>
      <c r="C75" s="41">
        <f>COUNTIFS(赛事明细!$P$4:$P$2000,"已结算",赛事明细!$E$4:$E$2000,$A75,赛事明细!$Q$4:$Q$2000,"红")</f>
        <v/>
      </c>
      <c r="D75" s="41">
        <f>COUNTIFS(赛事明细!$P$4:$P$2000,"已结算",赛事明细!$E$4:$E$2000,$A75,赛事明细!$Q$4:$Q$2000,"半红")</f>
        <v/>
      </c>
      <c r="E75" s="41">
        <f>COUNTIFS(赛事明细!$P$4:$P$2000,"已结算",赛事明细!$E$4:$E$2000,$A75,赛事明细!$Q$4:$Q$2000,"走")</f>
        <v/>
      </c>
      <c r="F75" s="41">
        <f>COUNTIFS(赛事明细!$P$4:$P$2000,"已结算",赛事明细!$E$4:$E$2000,$A75,赛事明细!$Q$4:$Q$2000,"半黑")</f>
        <v/>
      </c>
      <c r="G75" s="41">
        <f>COUNTIFS(赛事明细!$P$4:$P$2000,"已结算",赛事明细!$E$4:$E$2000,$A75,赛事明细!$Q$4:$Q$2000,"黑")</f>
        <v/>
      </c>
      <c r="H75" s="89">
        <f>IFERROR((C75+0.5*D75)/(C75+0.5*D75+G75+0.5*F75),0)</f>
        <v/>
      </c>
      <c r="I75" s="81">
        <f>SUMIFS(赛事明细!$S$4:$S$2000,赛事明细!$P$4:$P$2000,"已结算",赛事明细!$E$4:$E$2000,$A75)</f>
        <v/>
      </c>
      <c r="J75" s="89">
        <f>IFERROR(I75/B75,0)</f>
        <v/>
      </c>
      <c r="K75" s="41">
        <f>IF(B75&lt;5,"样本&lt;5，谨慎解读","")</f>
        <v/>
      </c>
    </row>
    <row r="76" ht="24" customHeight="1" s="78">
      <c r="A76" s="41" t="inlineStr">
        <is>
          <t>挪乙</t>
        </is>
      </c>
      <c r="B76" s="41">
        <f>COUNTIFS(赛事明细!$P$4:$P$2000,"已结算",赛事明细!$E$4:$E$2000,$A76)</f>
        <v/>
      </c>
      <c r="C76" s="41">
        <f>COUNTIFS(赛事明细!$P$4:$P$2000,"已结算",赛事明细!$E$4:$E$2000,$A76,赛事明细!$Q$4:$Q$2000,"红")</f>
        <v/>
      </c>
      <c r="D76" s="41">
        <f>COUNTIFS(赛事明细!$P$4:$P$2000,"已结算",赛事明细!$E$4:$E$2000,$A76,赛事明细!$Q$4:$Q$2000,"半红")</f>
        <v/>
      </c>
      <c r="E76" s="41">
        <f>COUNTIFS(赛事明细!$P$4:$P$2000,"已结算",赛事明细!$E$4:$E$2000,$A76,赛事明细!$Q$4:$Q$2000,"走")</f>
        <v/>
      </c>
      <c r="F76" s="41">
        <f>COUNTIFS(赛事明细!$P$4:$P$2000,"已结算",赛事明细!$E$4:$E$2000,$A76,赛事明细!$Q$4:$Q$2000,"半黑")</f>
        <v/>
      </c>
      <c r="G76" s="41">
        <f>COUNTIFS(赛事明细!$P$4:$P$2000,"已结算",赛事明细!$E$4:$E$2000,$A76,赛事明细!$Q$4:$Q$2000,"黑")</f>
        <v/>
      </c>
      <c r="H76" s="89">
        <f>IFERROR((C76+0.5*D76)/(C76+0.5*D76+G76+0.5*F76),0)</f>
        <v/>
      </c>
      <c r="I76" s="81">
        <f>SUMIFS(赛事明细!$S$4:$S$2000,赛事明细!$P$4:$P$2000,"已结算",赛事明细!$E$4:$E$2000,$A76)</f>
        <v/>
      </c>
      <c r="J76" s="89">
        <f>IFERROR(I76/B76,0)</f>
        <v/>
      </c>
      <c r="K76" s="41">
        <f>IF(B76&lt;5,"样本&lt;5，谨慎解读","")</f>
        <v/>
      </c>
    </row>
    <row r="77" ht="24" customHeight="1" s="78">
      <c r="A77" s="41" t="inlineStr">
        <is>
          <t>哈萨克超</t>
        </is>
      </c>
      <c r="B77" s="41">
        <f>COUNTIFS(赛事明细!$P$4:$P$2000,"已结算",赛事明细!$E$4:$E$2000,$A77)</f>
        <v/>
      </c>
      <c r="C77" s="41">
        <f>COUNTIFS(赛事明细!$P$4:$P$2000,"已结算",赛事明细!$E$4:$E$2000,$A77,赛事明细!$Q$4:$Q$2000,"红")</f>
        <v/>
      </c>
      <c r="D77" s="41">
        <f>COUNTIFS(赛事明细!$P$4:$P$2000,"已结算",赛事明细!$E$4:$E$2000,$A77,赛事明细!$Q$4:$Q$2000,"半红")</f>
        <v/>
      </c>
      <c r="E77" s="41">
        <f>COUNTIFS(赛事明细!$P$4:$P$2000,"已结算",赛事明细!$E$4:$E$2000,$A77,赛事明细!$Q$4:$Q$2000,"走")</f>
        <v/>
      </c>
      <c r="F77" s="41">
        <f>COUNTIFS(赛事明细!$P$4:$P$2000,"已结算",赛事明细!$E$4:$E$2000,$A77,赛事明细!$Q$4:$Q$2000,"半黑")</f>
        <v/>
      </c>
      <c r="G77" s="41">
        <f>COUNTIFS(赛事明细!$P$4:$P$2000,"已结算",赛事明细!$E$4:$E$2000,$A77,赛事明细!$Q$4:$Q$2000,"黑")</f>
        <v/>
      </c>
      <c r="H77" s="89">
        <f>IFERROR((C77+0.5*D77)/(C77+0.5*D77+G77+0.5*F77),0)</f>
        <v/>
      </c>
      <c r="I77" s="81">
        <f>SUMIFS(赛事明细!$S$4:$S$2000,赛事明细!$P$4:$P$2000,"已结算",赛事明细!$E$4:$E$2000,$A77)</f>
        <v/>
      </c>
      <c r="J77" s="89">
        <f>IFERROR(I77/B77,0)</f>
        <v/>
      </c>
      <c r="K77" s="41">
        <f>IF(B77&lt;5,"样本&lt;5，谨慎解读","")</f>
        <v/>
      </c>
    </row>
    <row r="78" ht="24" customHeight="1" s="78">
      <c r="A78" s="41" t="inlineStr">
        <is>
          <t>德丙</t>
        </is>
      </c>
      <c r="B78" s="41">
        <f>COUNTIFS(赛事明细!$P$4:$P$2000,"已结算",赛事明细!$E$4:$E$2000,$A78)</f>
        <v/>
      </c>
      <c r="C78" s="41">
        <f>COUNTIFS(赛事明细!$P$4:$P$2000,"已结算",赛事明细!$E$4:$E$2000,$A78,赛事明细!$Q$4:$Q$2000,"红")</f>
        <v/>
      </c>
      <c r="D78" s="41">
        <f>COUNTIFS(赛事明细!$P$4:$P$2000,"已结算",赛事明细!$E$4:$E$2000,$A78,赛事明细!$Q$4:$Q$2000,"半红")</f>
        <v/>
      </c>
      <c r="E78" s="41">
        <f>COUNTIFS(赛事明细!$P$4:$P$2000,"已结算",赛事明细!$E$4:$E$2000,$A78,赛事明细!$Q$4:$Q$2000,"走")</f>
        <v/>
      </c>
      <c r="F78" s="41">
        <f>COUNTIFS(赛事明细!$P$4:$P$2000,"已结算",赛事明细!$E$4:$E$2000,$A78,赛事明细!$Q$4:$Q$2000,"半黑")</f>
        <v/>
      </c>
      <c r="G78" s="41">
        <f>COUNTIFS(赛事明细!$P$4:$P$2000,"已结算",赛事明细!$E$4:$E$2000,$A78,赛事明细!$Q$4:$Q$2000,"黑")</f>
        <v/>
      </c>
      <c r="H78" s="89">
        <f>IFERROR((C78+0.5*D78)/(C78+0.5*D78+G78+0.5*F78),0)</f>
        <v/>
      </c>
      <c r="I78" s="81">
        <f>SUMIFS(赛事明细!$S$4:$S$2000,赛事明细!$P$4:$P$2000,"已结算",赛事明细!$E$4:$E$2000,$A78)</f>
        <v/>
      </c>
      <c r="J78" s="89">
        <f>IFERROR(I78/B78,0)</f>
        <v/>
      </c>
      <c r="K78" s="41">
        <f>IF(B78&lt;5,"样本&lt;5，谨慎解读","")</f>
        <v/>
      </c>
    </row>
    <row r="79" ht="24" customHeight="1" s="78">
      <c r="A79" s="41" t="inlineStr">
        <is>
          <t>法乙</t>
        </is>
      </c>
      <c r="B79" s="41">
        <f>COUNTIFS(赛事明细!$P$4:$P$2000,"已结算",赛事明细!$E$4:$E$2000,$A79)</f>
        <v/>
      </c>
      <c r="C79" s="41">
        <f>COUNTIFS(赛事明细!$P$4:$P$2000,"已结算",赛事明细!$E$4:$E$2000,$A79,赛事明细!$Q$4:$Q$2000,"红")</f>
        <v/>
      </c>
      <c r="D79" s="41">
        <f>COUNTIFS(赛事明细!$P$4:$P$2000,"已结算",赛事明细!$E$4:$E$2000,$A79,赛事明细!$Q$4:$Q$2000,"半红")</f>
        <v/>
      </c>
      <c r="E79" s="41">
        <f>COUNTIFS(赛事明细!$P$4:$P$2000,"已结算",赛事明细!$E$4:$E$2000,$A79,赛事明细!$Q$4:$Q$2000,"走")</f>
        <v/>
      </c>
      <c r="F79" s="41">
        <f>COUNTIFS(赛事明细!$P$4:$P$2000,"已结算",赛事明细!$E$4:$E$2000,$A79,赛事明细!$Q$4:$Q$2000,"半黑")</f>
        <v/>
      </c>
      <c r="G79" s="41">
        <f>COUNTIFS(赛事明细!$P$4:$P$2000,"已结算",赛事明细!$E$4:$E$2000,$A79,赛事明细!$Q$4:$Q$2000,"黑")</f>
        <v/>
      </c>
      <c r="H79" s="89">
        <f>IFERROR((C79+0.5*D79)/(C79+0.5*D79+G79+0.5*F79),0)</f>
        <v/>
      </c>
      <c r="I79" s="81">
        <f>SUMIFS(赛事明细!$S$4:$S$2000,赛事明细!$P$4:$P$2000,"已结算",赛事明细!$E$4:$E$2000,$A79)</f>
        <v/>
      </c>
      <c r="J79" s="89">
        <f>IFERROR(I79/B79,0)</f>
        <v/>
      </c>
      <c r="K79" s="41">
        <f>IF(B79&lt;5,"样本&lt;5，谨慎解读","")</f>
        <v/>
      </c>
    </row>
    <row r="80" ht="24" customHeight="1" s="78">
      <c r="A80" s="41" t="inlineStr">
        <is>
          <t>乌克超</t>
        </is>
      </c>
      <c r="B80" s="41">
        <f>COUNTIFS(赛事明细!$P$4:$P$2000,"已结算",赛事明细!$E$4:$E$2000,$A80)</f>
        <v/>
      </c>
      <c r="C80" s="41">
        <f>COUNTIFS(赛事明细!$P$4:$P$2000,"已结算",赛事明细!$E$4:$E$2000,$A80,赛事明细!$Q$4:$Q$2000,"红")</f>
        <v/>
      </c>
      <c r="D80" s="41">
        <f>COUNTIFS(赛事明细!$P$4:$P$2000,"已结算",赛事明细!$E$4:$E$2000,$A80,赛事明细!$Q$4:$Q$2000,"半红")</f>
        <v/>
      </c>
      <c r="E80" s="41">
        <f>COUNTIFS(赛事明细!$P$4:$P$2000,"已结算",赛事明细!$E$4:$E$2000,$A80,赛事明细!$Q$4:$Q$2000,"走")</f>
        <v/>
      </c>
      <c r="F80" s="41">
        <f>COUNTIFS(赛事明细!$P$4:$P$2000,"已结算",赛事明细!$E$4:$E$2000,$A80,赛事明细!$Q$4:$Q$2000,"半黑")</f>
        <v/>
      </c>
      <c r="G80" s="41">
        <f>COUNTIFS(赛事明细!$P$4:$P$2000,"已结算",赛事明细!$E$4:$E$2000,$A80,赛事明细!$Q$4:$Q$2000,"黑")</f>
        <v/>
      </c>
      <c r="H80" s="89">
        <f>IFERROR((C80+0.5*D80)/(C80+0.5*D80+G80+0.5*F80),0)</f>
        <v/>
      </c>
      <c r="I80" s="81">
        <f>SUMIFS(赛事明细!$S$4:$S$2000,赛事明细!$P$4:$P$2000,"已结算",赛事明细!$E$4:$E$2000,$A80)</f>
        <v/>
      </c>
      <c r="J80" s="89">
        <f>IFERROR(I80/B80,0)</f>
        <v/>
      </c>
      <c r="K80" s="41">
        <f>IF(B80&lt;5,"样本&lt;5，谨慎解读","")</f>
        <v/>
      </c>
    </row>
    <row r="81" ht="24" customHeight="1" s="78">
      <c r="A81" s="41" t="inlineStr">
        <is>
          <t>奥地利杯</t>
        </is>
      </c>
      <c r="B81" s="41">
        <f>COUNTIFS(赛事明细!$P$4:$P$2000,"已结算",赛事明细!$E$4:$E$2000,$A81)</f>
        <v/>
      </c>
      <c r="C81" s="41">
        <f>COUNTIFS(赛事明细!$P$4:$P$2000,"已结算",赛事明细!$E$4:$E$2000,$A81,赛事明细!$Q$4:$Q$2000,"红")</f>
        <v/>
      </c>
      <c r="D81" s="41">
        <f>COUNTIFS(赛事明细!$P$4:$P$2000,"已结算",赛事明细!$E$4:$E$2000,$A81,赛事明细!$Q$4:$Q$2000,"半红")</f>
        <v/>
      </c>
      <c r="E81" s="41">
        <f>COUNTIFS(赛事明细!$P$4:$P$2000,"已结算",赛事明细!$E$4:$E$2000,$A81,赛事明细!$Q$4:$Q$2000,"走")</f>
        <v/>
      </c>
      <c r="F81" s="41">
        <f>COUNTIFS(赛事明细!$P$4:$P$2000,"已结算",赛事明细!$E$4:$E$2000,$A81,赛事明细!$Q$4:$Q$2000,"半黑")</f>
        <v/>
      </c>
      <c r="G81" s="41">
        <f>COUNTIFS(赛事明细!$P$4:$P$2000,"已结算",赛事明细!$E$4:$E$2000,$A81,赛事明细!$Q$4:$Q$2000,"黑")</f>
        <v/>
      </c>
      <c r="H81" s="89">
        <f>IFERROR((C81+0.5*D81)/(C81+0.5*D81+G81+0.5*F81),0)</f>
        <v/>
      </c>
      <c r="I81" s="81">
        <f>SUMIFS(赛事明细!$S$4:$S$2000,赛事明细!$P$4:$P$2000,"已结算",赛事明细!$E$4:$E$2000,$A81)</f>
        <v/>
      </c>
      <c r="J81" s="89">
        <f>IFERROR(I81/B81,0)</f>
        <v/>
      </c>
      <c r="K81" s="41">
        <f>IF(B81&lt;5,"样本&lt;5，谨慎解读","")</f>
        <v/>
      </c>
    </row>
    <row r="82" ht="24" customHeight="1" s="78">
      <c r="A82" s="41" t="inlineStr">
        <is>
          <t>法丙</t>
        </is>
      </c>
      <c r="B82" s="41">
        <f>COUNTIFS(赛事明细!$P$4:$P$2000,"已结算",赛事明细!$E$4:$E$2000,$A82)</f>
        <v/>
      </c>
      <c r="C82" s="41">
        <f>COUNTIFS(赛事明细!$P$4:$P$2000,"已结算",赛事明细!$E$4:$E$2000,$A82,赛事明细!$Q$4:$Q$2000,"红")</f>
        <v/>
      </c>
      <c r="D82" s="41">
        <f>COUNTIFS(赛事明细!$P$4:$P$2000,"已结算",赛事明细!$E$4:$E$2000,$A82,赛事明细!$Q$4:$Q$2000,"半红")</f>
        <v/>
      </c>
      <c r="E82" s="41">
        <f>COUNTIFS(赛事明细!$P$4:$P$2000,"已结算",赛事明细!$E$4:$E$2000,$A82,赛事明细!$Q$4:$Q$2000,"走")</f>
        <v/>
      </c>
      <c r="F82" s="41">
        <f>COUNTIFS(赛事明细!$P$4:$P$2000,"已结算",赛事明细!$E$4:$E$2000,$A82,赛事明细!$Q$4:$Q$2000,"半黑")</f>
        <v/>
      </c>
      <c r="G82" s="41">
        <f>COUNTIFS(赛事明细!$P$4:$P$2000,"已结算",赛事明细!$E$4:$E$2000,$A82,赛事明细!$Q$4:$Q$2000,"黑")</f>
        <v/>
      </c>
      <c r="H82" s="89">
        <f>IFERROR((C82+0.5*D82)/(C82+0.5*D82+G82+0.5*F82),0)</f>
        <v/>
      </c>
      <c r="I82" s="81">
        <f>SUMIFS(赛事明细!$S$4:$S$2000,赛事明细!$P$4:$P$2000,"已结算",赛事明细!$E$4:$E$2000,$A82)</f>
        <v/>
      </c>
      <c r="J82" s="89">
        <f>IFERROR(I82/B82,0)</f>
        <v/>
      </c>
      <c r="K82" s="41">
        <f>IF(B82&lt;5,"样本&lt;5，谨慎解读","")</f>
        <v/>
      </c>
    </row>
    <row r="83" ht="24" customHeight="1" s="78">
      <c r="A83" s="41" t="inlineStr">
        <is>
          <t>乌兹超</t>
        </is>
      </c>
      <c r="B83" s="41">
        <f>COUNTIFS(赛事明细!$P$4:$P$2000,"已结算",赛事明细!$E$4:$E$2000,$A83)</f>
        <v/>
      </c>
      <c r="C83" s="41">
        <f>COUNTIFS(赛事明细!$P$4:$P$2000,"已结算",赛事明细!$E$4:$E$2000,$A83,赛事明细!$Q$4:$Q$2000,"红")</f>
        <v/>
      </c>
      <c r="D83" s="41">
        <f>COUNTIFS(赛事明细!$P$4:$P$2000,"已结算",赛事明细!$E$4:$E$2000,$A83,赛事明细!$Q$4:$Q$2000,"半红")</f>
        <v/>
      </c>
      <c r="E83" s="41">
        <f>COUNTIFS(赛事明细!$P$4:$P$2000,"已结算",赛事明细!$E$4:$E$2000,$A83,赛事明细!$Q$4:$Q$2000,"走")</f>
        <v/>
      </c>
      <c r="F83" s="41">
        <f>COUNTIFS(赛事明细!$P$4:$P$2000,"已结算",赛事明细!$E$4:$E$2000,$A83,赛事明细!$Q$4:$Q$2000,"半黑")</f>
        <v/>
      </c>
      <c r="G83" s="41">
        <f>COUNTIFS(赛事明细!$P$4:$P$2000,"已结算",赛事明细!$E$4:$E$2000,$A83,赛事明细!$Q$4:$Q$2000,"黑")</f>
        <v/>
      </c>
      <c r="H83" s="89">
        <f>IFERROR((C83+0.5*D83)/(C83+0.5*D83+G83+0.5*F83),0)</f>
        <v/>
      </c>
      <c r="I83" s="81">
        <f>SUMIFS(赛事明细!$S$4:$S$2000,赛事明细!$P$4:$P$2000,"已结算",赛事明细!$E$4:$E$2000,$A83)</f>
        <v/>
      </c>
      <c r="J83" s="89">
        <f>IFERROR(I83/B83,0)</f>
        <v/>
      </c>
      <c r="K83" s="41">
        <f>IF(B83&lt;5,"样本&lt;5，谨慎解读","")</f>
        <v/>
      </c>
    </row>
    <row r="84" ht="24" customHeight="1" s="78">
      <c r="A84" s="41" t="inlineStr">
        <is>
          <t>南非超</t>
        </is>
      </c>
      <c r="B84" s="41">
        <f>COUNTIFS(赛事明细!$P$4:$P$2000,"已结算",赛事明细!$E$4:$E$2000,$A84)</f>
        <v/>
      </c>
      <c r="C84" s="41">
        <f>COUNTIFS(赛事明细!$P$4:$P$2000,"已结算",赛事明细!$E$4:$E$2000,$A84,赛事明细!$Q$4:$Q$2000,"红")</f>
        <v/>
      </c>
      <c r="D84" s="41">
        <f>COUNTIFS(赛事明细!$P$4:$P$2000,"已结算",赛事明细!$E$4:$E$2000,$A84,赛事明细!$Q$4:$Q$2000,"半红")</f>
        <v/>
      </c>
      <c r="E84" s="41">
        <f>COUNTIFS(赛事明细!$P$4:$P$2000,"已结算",赛事明细!$E$4:$E$2000,$A84,赛事明细!$Q$4:$Q$2000,"走")</f>
        <v/>
      </c>
      <c r="F84" s="41">
        <f>COUNTIFS(赛事明细!$P$4:$P$2000,"已结算",赛事明细!$E$4:$E$2000,$A84,赛事明细!$Q$4:$Q$2000,"半黑")</f>
        <v/>
      </c>
      <c r="G84" s="41">
        <f>COUNTIFS(赛事明细!$P$4:$P$2000,"已结算",赛事明细!$E$4:$E$2000,$A84,赛事明细!$Q$4:$Q$2000,"黑")</f>
        <v/>
      </c>
      <c r="H84" s="89">
        <f>IFERROR((C84+0.5*D84)/(C84+0.5*D84+G84+0.5*F84),0)</f>
        <v/>
      </c>
      <c r="I84" s="81">
        <f>SUMIFS(赛事明细!$S$4:$S$2000,赛事明细!$P$4:$P$2000,"已结算",赛事明细!$E$4:$E$2000,$A84)</f>
        <v/>
      </c>
      <c r="J84" s="89">
        <f>IFERROR(I84/B84,0)</f>
        <v/>
      </c>
      <c r="K84" s="41">
        <f>IF(B84&lt;5,"样本&lt;5，谨慎解读","")</f>
        <v/>
      </c>
    </row>
    <row r="85" ht="24" customHeight="1" s="78">
      <c r="A85" s="41" t="inlineStr">
        <is>
          <t>葡乙</t>
        </is>
      </c>
      <c r="B85" s="41">
        <f>COUNTIFS(赛事明细!$P$4:$P$2000,"已结算",赛事明细!$E$4:$E$2000,$A85)</f>
        <v/>
      </c>
      <c r="C85" s="41">
        <f>COUNTIFS(赛事明细!$P$4:$P$2000,"已结算",赛事明细!$E$4:$E$2000,$A85,赛事明细!$Q$4:$Q$2000,"红")</f>
        <v/>
      </c>
      <c r="D85" s="41">
        <f>COUNTIFS(赛事明细!$P$4:$P$2000,"已结算",赛事明细!$E$4:$E$2000,$A85,赛事明细!$Q$4:$Q$2000,"半红")</f>
        <v/>
      </c>
      <c r="E85" s="41">
        <f>COUNTIFS(赛事明细!$P$4:$P$2000,"已结算",赛事明细!$E$4:$E$2000,$A85,赛事明细!$Q$4:$Q$2000,"走")</f>
        <v/>
      </c>
      <c r="F85" s="41">
        <f>COUNTIFS(赛事明细!$P$4:$P$2000,"已结算",赛事明细!$E$4:$E$2000,$A85,赛事明细!$Q$4:$Q$2000,"半黑")</f>
        <v/>
      </c>
      <c r="G85" s="41">
        <f>COUNTIFS(赛事明细!$P$4:$P$2000,"已结算",赛事明细!$E$4:$E$2000,$A85,赛事明细!$Q$4:$Q$2000,"黑")</f>
        <v/>
      </c>
      <c r="H85" s="89">
        <f>IFERROR((C85+0.5*D85)/(C85+0.5*D85+G85+0.5*F85),0)</f>
        <v/>
      </c>
      <c r="I85" s="81">
        <f>SUMIFS(赛事明细!$S$4:$S$2000,赛事明细!$P$4:$P$2000,"已结算",赛事明细!$E$4:$E$2000,$A85)</f>
        <v/>
      </c>
      <c r="J85" s="89">
        <f>IFERROR(I85/B85,0)</f>
        <v/>
      </c>
      <c r="K85" s="41">
        <f>IF(B85&lt;5,"样本&lt;5，谨慎解读","")</f>
        <v/>
      </c>
    </row>
    <row r="86" ht="24" customHeight="1" s="78">
      <c r="A86" s="41" t="inlineStr">
        <is>
          <t>俄超</t>
        </is>
      </c>
      <c r="B86" s="41">
        <f>COUNTIFS(赛事明细!$P$4:$P$2000,"已结算",赛事明细!$E$4:$E$2000,$A86)</f>
        <v/>
      </c>
      <c r="C86" s="41">
        <f>COUNTIFS(赛事明细!$P$4:$P$2000,"已结算",赛事明细!$E$4:$E$2000,$A86,赛事明细!$Q$4:$Q$2000,"红")</f>
        <v/>
      </c>
      <c r="D86" s="41">
        <f>COUNTIFS(赛事明细!$P$4:$P$2000,"已结算",赛事明细!$E$4:$E$2000,$A86,赛事明细!$Q$4:$Q$2000,"半红")</f>
        <v/>
      </c>
      <c r="E86" s="41">
        <f>COUNTIFS(赛事明细!$P$4:$P$2000,"已结算",赛事明细!$E$4:$E$2000,$A86,赛事明细!$Q$4:$Q$2000,"走")</f>
        <v/>
      </c>
      <c r="F86" s="41">
        <f>COUNTIFS(赛事明细!$P$4:$P$2000,"已结算",赛事明细!$E$4:$E$2000,$A86,赛事明细!$Q$4:$Q$2000,"半黑")</f>
        <v/>
      </c>
      <c r="G86" s="41">
        <f>COUNTIFS(赛事明细!$P$4:$P$2000,"已结算",赛事明细!$E$4:$E$2000,$A86,赛事明细!$Q$4:$Q$2000,"黑")</f>
        <v/>
      </c>
      <c r="H86" s="89">
        <f>IFERROR((C86+0.5*D86)/(C86+0.5*D86+G86+0.5*F86),0)</f>
        <v/>
      </c>
      <c r="I86" s="81">
        <f>SUMIFS(赛事明细!$S$4:$S$2000,赛事明细!$P$4:$P$2000,"已结算",赛事明细!$E$4:$E$2000,$A86)</f>
        <v/>
      </c>
      <c r="J86" s="89">
        <f>IFERROR(I86/B86,0)</f>
        <v/>
      </c>
      <c r="K86" s="41">
        <f>IF(B86&lt;5,"样本&lt;5，谨慎解读","")</f>
        <v/>
      </c>
    </row>
    <row r="87" ht="24" customHeight="1" s="78">
      <c r="A87" s="41" t="inlineStr">
        <is>
          <t>俄甲</t>
        </is>
      </c>
      <c r="B87" s="41">
        <f>COUNTIFS(赛事明细!$P$4:$P$2000,"已结算",赛事明细!$E$4:$E$2000,$A87)</f>
        <v/>
      </c>
      <c r="C87" s="41">
        <f>COUNTIFS(赛事明细!$P$4:$P$2000,"已结算",赛事明细!$E$4:$E$2000,$A87,赛事明细!$Q$4:$Q$2000,"红")</f>
        <v/>
      </c>
      <c r="D87" s="41">
        <f>COUNTIFS(赛事明细!$P$4:$P$2000,"已结算",赛事明细!$E$4:$E$2000,$A87,赛事明细!$Q$4:$Q$2000,"半红")</f>
        <v/>
      </c>
      <c r="E87" s="41">
        <f>COUNTIFS(赛事明细!$P$4:$P$2000,"已结算",赛事明细!$E$4:$E$2000,$A87,赛事明细!$Q$4:$Q$2000,"走")</f>
        <v/>
      </c>
      <c r="F87" s="41">
        <f>COUNTIFS(赛事明细!$P$4:$P$2000,"已结算",赛事明细!$E$4:$E$2000,$A87,赛事明细!$Q$4:$Q$2000,"半黑")</f>
        <v/>
      </c>
      <c r="G87" s="41">
        <f>COUNTIFS(赛事明细!$P$4:$P$2000,"已结算",赛事明细!$E$4:$E$2000,$A87,赛事明细!$Q$4:$Q$2000,"黑")</f>
        <v/>
      </c>
      <c r="H87" s="89">
        <f>IFERROR((C87+0.5*D87)/(C87+0.5*D87+G87+0.5*F87),0)</f>
        <v/>
      </c>
      <c r="I87" s="81">
        <f>SUMIFS(赛事明细!$S$4:$S$2000,赛事明细!$P$4:$P$2000,"已结算",赛事明细!$E$4:$E$2000,$A87)</f>
        <v/>
      </c>
      <c r="J87" s="89">
        <f>IFERROR(I87/B87,0)</f>
        <v/>
      </c>
      <c r="K87" s="41">
        <f>IF(B87&lt;5,"样本&lt;5，谨慎解读","")</f>
        <v/>
      </c>
    </row>
    <row r="88" ht="24" customHeight="1" s="78">
      <c r="A88" s="41" t="inlineStr">
        <is>
          <t>冰岛甲</t>
        </is>
      </c>
      <c r="B88" s="41">
        <f>COUNTIFS(赛事明细!$P$4:$P$2000,"已结算",赛事明细!$E$4:$E$2000,$A88)</f>
        <v/>
      </c>
      <c r="C88" s="41">
        <f>COUNTIFS(赛事明细!$P$4:$P$2000,"已结算",赛事明细!$E$4:$E$2000,$A88,赛事明细!$Q$4:$Q$2000,"红")</f>
        <v/>
      </c>
      <c r="D88" s="41">
        <f>COUNTIFS(赛事明细!$P$4:$P$2000,"已结算",赛事明细!$E$4:$E$2000,$A88,赛事明细!$Q$4:$Q$2000,"半红")</f>
        <v/>
      </c>
      <c r="E88" s="41">
        <f>COUNTIFS(赛事明细!$P$4:$P$2000,"已结算",赛事明细!$E$4:$E$2000,$A88,赛事明细!$Q$4:$Q$2000,"走")</f>
        <v/>
      </c>
      <c r="F88" s="41">
        <f>COUNTIFS(赛事明细!$P$4:$P$2000,"已结算",赛事明细!$E$4:$E$2000,$A88,赛事明细!$Q$4:$Q$2000,"半黑")</f>
        <v/>
      </c>
      <c r="G88" s="41">
        <f>COUNTIFS(赛事明细!$P$4:$P$2000,"已结算",赛事明细!$E$4:$E$2000,$A88,赛事明细!$Q$4:$Q$2000,"黑")</f>
        <v/>
      </c>
      <c r="H88" s="89">
        <f>IFERROR((C88+0.5*D88)/(C88+0.5*D88+G88+0.5*F88),0)</f>
        <v/>
      </c>
      <c r="I88" s="81">
        <f>SUMIFS(赛事明细!$S$4:$S$2000,赛事明细!$P$4:$P$2000,"已结算",赛事明细!$E$4:$E$2000,$A88)</f>
        <v/>
      </c>
      <c r="J88" s="89">
        <f>IFERROR(I88/B88,0)</f>
        <v/>
      </c>
      <c r="K88" s="41">
        <f>IF(B88&lt;5,"样本&lt;5，谨慎解读","")</f>
        <v/>
      </c>
    </row>
    <row r="89" ht="24" customHeight="1" s="78">
      <c r="A89" s="41" t="inlineStr">
        <is>
          <t>挪甲</t>
        </is>
      </c>
      <c r="B89" s="41">
        <f>COUNTIFS(赛事明细!$P$4:$P$2000,"已结算",赛事明细!$E$4:$E$2000,$A89)</f>
        <v/>
      </c>
      <c r="C89" s="41">
        <f>COUNTIFS(赛事明细!$P$4:$P$2000,"已结算",赛事明细!$E$4:$E$2000,$A89,赛事明细!$Q$4:$Q$2000,"红")</f>
        <v/>
      </c>
      <c r="D89" s="41">
        <f>COUNTIFS(赛事明细!$P$4:$P$2000,"已结算",赛事明细!$E$4:$E$2000,$A89,赛事明细!$Q$4:$Q$2000,"半红")</f>
        <v/>
      </c>
      <c r="E89" s="41">
        <f>COUNTIFS(赛事明细!$P$4:$P$2000,"已结算",赛事明细!$E$4:$E$2000,$A89,赛事明细!$Q$4:$Q$2000,"走")</f>
        <v/>
      </c>
      <c r="F89" s="41">
        <f>COUNTIFS(赛事明细!$P$4:$P$2000,"已结算",赛事明细!$E$4:$E$2000,$A89,赛事明细!$Q$4:$Q$2000,"半黑")</f>
        <v/>
      </c>
      <c r="G89" s="41">
        <f>COUNTIFS(赛事明细!$P$4:$P$2000,"已结算",赛事明细!$E$4:$E$2000,$A89,赛事明细!$Q$4:$Q$2000,"黑")</f>
        <v/>
      </c>
      <c r="H89" s="89">
        <f>IFERROR((C89+0.5*D89)/(C89+0.5*D89+G89+0.5*F89),0)</f>
        <v/>
      </c>
      <c r="I89" s="81">
        <f>SUMIFS(赛事明细!$S$4:$S$2000,赛事明细!$P$4:$P$2000,"已结算",赛事明细!$E$4:$E$2000,$A89)</f>
        <v/>
      </c>
      <c r="J89" s="89">
        <f>IFERROR(I89/B89,0)</f>
        <v/>
      </c>
      <c r="K89" s="41">
        <f>IF(B89&lt;5,"样本&lt;5，谨慎解读","")</f>
        <v/>
      </c>
    </row>
    <row r="90" ht="24" customHeight="1" s="78">
      <c r="A90" s="41" t="inlineStr">
        <is>
          <t>西乙</t>
        </is>
      </c>
      <c r="B90" s="41">
        <f>COUNTIFS(赛事明细!$P$4:$P$2000,"已结算",赛事明细!$E$4:$E$2000,$A90)</f>
        <v/>
      </c>
      <c r="C90" s="41">
        <f>COUNTIFS(赛事明细!$P$4:$P$2000,"已结算",赛事明细!$E$4:$E$2000,$A90,赛事明细!$Q$4:$Q$2000,"红")</f>
        <v/>
      </c>
      <c r="D90" s="41">
        <f>COUNTIFS(赛事明细!$P$4:$P$2000,"已结算",赛事明细!$E$4:$E$2000,$A90,赛事明细!$Q$4:$Q$2000,"半红")</f>
        <v/>
      </c>
      <c r="E90" s="41">
        <f>COUNTIFS(赛事明细!$P$4:$P$2000,"已结算",赛事明细!$E$4:$E$2000,$A90,赛事明细!$Q$4:$Q$2000,"走")</f>
        <v/>
      </c>
      <c r="F90" s="41">
        <f>COUNTIFS(赛事明细!$P$4:$P$2000,"已结算",赛事明细!$E$4:$E$2000,$A90,赛事明细!$Q$4:$Q$2000,"半黑")</f>
        <v/>
      </c>
      <c r="G90" s="41">
        <f>COUNTIFS(赛事明细!$P$4:$P$2000,"已结算",赛事明细!$E$4:$E$2000,$A90,赛事明细!$Q$4:$Q$2000,"黑")</f>
        <v/>
      </c>
      <c r="H90" s="89">
        <f>IFERROR((C90+0.5*D90)/(C90+0.5*D90+G90+0.5*F90),0)</f>
        <v/>
      </c>
      <c r="I90" s="81">
        <f>SUMIFS(赛事明细!$S$4:$S$2000,赛事明细!$P$4:$P$2000,"已结算",赛事明细!$E$4:$E$2000,$A90)</f>
        <v/>
      </c>
      <c r="J90" s="89">
        <f>IFERROR(I90/B90,0)</f>
        <v/>
      </c>
      <c r="K90" s="41">
        <f>IF(B90&lt;5,"样本&lt;5，谨慎解读","")</f>
        <v/>
      </c>
    </row>
    <row r="91" ht="24" customHeight="1" s="78">
      <c r="A91" s="41" t="inlineStr">
        <is>
          <t>克亚甲</t>
        </is>
      </c>
      <c r="B91" s="41">
        <f>COUNTIFS(赛事明细!$P$4:$P$2000,"已结算",赛事明细!$E$4:$E$2000,$A91)</f>
        <v/>
      </c>
      <c r="C91" s="41">
        <f>COUNTIFS(赛事明细!$P$4:$P$2000,"已结算",赛事明细!$E$4:$E$2000,$A91,赛事明细!$Q$4:$Q$2000,"红")</f>
        <v/>
      </c>
      <c r="D91" s="41">
        <f>COUNTIFS(赛事明细!$P$4:$P$2000,"已结算",赛事明细!$E$4:$E$2000,$A91,赛事明细!$Q$4:$Q$2000,"半红")</f>
        <v/>
      </c>
      <c r="E91" s="41">
        <f>COUNTIFS(赛事明细!$P$4:$P$2000,"已结算",赛事明细!$E$4:$E$2000,$A91,赛事明细!$Q$4:$Q$2000,"走")</f>
        <v/>
      </c>
      <c r="F91" s="41">
        <f>COUNTIFS(赛事明细!$P$4:$P$2000,"已结算",赛事明细!$E$4:$E$2000,$A91,赛事明细!$Q$4:$Q$2000,"半黑")</f>
        <v/>
      </c>
      <c r="G91" s="41">
        <f>COUNTIFS(赛事明细!$P$4:$P$2000,"已结算",赛事明细!$E$4:$E$2000,$A91,赛事明细!$Q$4:$Q$2000,"黑")</f>
        <v/>
      </c>
      <c r="H91" s="89">
        <f>IFERROR((C91+0.5*D91)/(C91+0.5*D91+G91+0.5*F91),0)</f>
        <v/>
      </c>
      <c r="I91" s="81">
        <f>SUMIFS(赛事明细!$S$4:$S$2000,赛事明细!$P$4:$P$2000,"已结算",赛事明细!$E$4:$E$2000,$A91)</f>
        <v/>
      </c>
      <c r="J91" s="89">
        <f>IFERROR(I91/B91,0)</f>
        <v/>
      </c>
      <c r="K91" s="41">
        <f>IF(B91&lt;5,"样本&lt;5，谨慎解读","")</f>
        <v/>
      </c>
    </row>
    <row r="92" ht="24" customHeight="1" s="78">
      <c r="A92" s="41" t="inlineStr">
        <is>
          <t>意乙</t>
        </is>
      </c>
      <c r="B92" s="41">
        <f>COUNTIFS(赛事明细!$P$4:$P$2000,"已结算",赛事明细!$E$4:$E$2000,$A92)</f>
        <v/>
      </c>
      <c r="C92" s="41">
        <f>COUNTIFS(赛事明细!$P$4:$P$2000,"已结算",赛事明细!$E$4:$E$2000,$A92,赛事明细!$Q$4:$Q$2000,"红")</f>
        <v/>
      </c>
      <c r="D92" s="41">
        <f>COUNTIFS(赛事明细!$P$4:$P$2000,"已结算",赛事明细!$E$4:$E$2000,$A92,赛事明细!$Q$4:$Q$2000,"半红")</f>
        <v/>
      </c>
      <c r="E92" s="41">
        <f>COUNTIFS(赛事明细!$P$4:$P$2000,"已结算",赛事明细!$E$4:$E$2000,$A92,赛事明细!$Q$4:$Q$2000,"走")</f>
        <v/>
      </c>
      <c r="F92" s="41">
        <f>COUNTIFS(赛事明细!$P$4:$P$2000,"已结算",赛事明细!$E$4:$E$2000,$A92,赛事明细!$Q$4:$Q$2000,"半黑")</f>
        <v/>
      </c>
      <c r="G92" s="41">
        <f>COUNTIFS(赛事明细!$P$4:$P$2000,"已结算",赛事明细!$E$4:$E$2000,$A92,赛事明细!$Q$4:$Q$2000,"黑")</f>
        <v/>
      </c>
      <c r="H92" s="89">
        <f>IFERROR((C92+0.5*D92)/(C92+0.5*D92+G92+0.5*F92),0)</f>
        <v/>
      </c>
      <c r="I92" s="81">
        <f>SUMIFS(赛事明细!$S$4:$S$2000,赛事明细!$P$4:$P$2000,"已结算",赛事明细!$E$4:$E$2000,$A92)</f>
        <v/>
      </c>
      <c r="J92" s="89">
        <f>IFERROR(I92/B92,0)</f>
        <v/>
      </c>
      <c r="K92" s="41">
        <f>IF(B92&lt;5,"样本&lt;5，谨慎解读","")</f>
        <v/>
      </c>
    </row>
    <row r="93" ht="24" customHeight="1" s="78">
      <c r="A93" s="41" t="inlineStr">
        <is>
          <t>科威特联</t>
        </is>
      </c>
      <c r="B93" s="41">
        <f>COUNTIFS(赛事明细!$P$4:$P$2000,"已结算",赛事明细!$E$4:$E$2000,$A93)</f>
        <v/>
      </c>
      <c r="C93" s="41">
        <f>COUNTIFS(赛事明细!$P$4:$P$2000,"已结算",赛事明细!$E$4:$E$2000,$A93,赛事明细!$Q$4:$Q$2000,"红")</f>
        <v/>
      </c>
      <c r="D93" s="41">
        <f>COUNTIFS(赛事明细!$P$4:$P$2000,"已结算",赛事明细!$E$4:$E$2000,$A93,赛事明细!$Q$4:$Q$2000,"半红")</f>
        <v/>
      </c>
      <c r="E93" s="41">
        <f>COUNTIFS(赛事明细!$P$4:$P$2000,"已结算",赛事明细!$E$4:$E$2000,$A93,赛事明细!$Q$4:$Q$2000,"走")</f>
        <v/>
      </c>
      <c r="F93" s="41">
        <f>COUNTIFS(赛事明细!$P$4:$P$2000,"已结算",赛事明细!$E$4:$E$2000,$A93,赛事明细!$Q$4:$Q$2000,"半黑")</f>
        <v/>
      </c>
      <c r="G93" s="41">
        <f>COUNTIFS(赛事明细!$P$4:$P$2000,"已结算",赛事明细!$E$4:$E$2000,$A93,赛事明细!$Q$4:$Q$2000,"黑")</f>
        <v/>
      </c>
      <c r="H93" s="89">
        <f>IFERROR((C93+0.5*D93)/(C93+0.5*D93+G93+0.5*F93),0)</f>
        <v/>
      </c>
      <c r="I93" s="81">
        <f>SUMIFS(赛事明细!$S$4:$S$2000,赛事明细!$P$4:$P$2000,"已结算",赛事明细!$E$4:$E$2000,$A93)</f>
        <v/>
      </c>
      <c r="J93" s="89">
        <f>IFERROR(I93/B93,0)</f>
        <v/>
      </c>
      <c r="K93" s="41">
        <f>IF(B93&lt;5,"样本&lt;5，谨慎解读","")</f>
        <v/>
      </c>
    </row>
    <row r="94" ht="24" customHeight="1" s="78">
      <c r="A94" s="41" t="inlineStr">
        <is>
          <t>丹麦超</t>
        </is>
      </c>
      <c r="B94" s="41">
        <f>COUNTIFS(赛事明细!$P$4:$P$2000,"已结算",赛事明细!$E$4:$E$2000,$A94)</f>
        <v/>
      </c>
      <c r="C94" s="41">
        <f>COUNTIFS(赛事明细!$P$4:$P$2000,"已结算",赛事明细!$E$4:$E$2000,$A94,赛事明细!$Q$4:$Q$2000,"红")</f>
        <v/>
      </c>
      <c r="D94" s="41">
        <f>COUNTIFS(赛事明细!$P$4:$P$2000,"已结算",赛事明细!$E$4:$E$2000,$A94,赛事明细!$Q$4:$Q$2000,"半红")</f>
        <v/>
      </c>
      <c r="E94" s="41">
        <f>COUNTIFS(赛事明细!$P$4:$P$2000,"已结算",赛事明细!$E$4:$E$2000,$A94,赛事明细!$Q$4:$Q$2000,"走")</f>
        <v/>
      </c>
      <c r="F94" s="41">
        <f>COUNTIFS(赛事明细!$P$4:$P$2000,"已结算",赛事明细!$E$4:$E$2000,$A94,赛事明细!$Q$4:$Q$2000,"半黑")</f>
        <v/>
      </c>
      <c r="G94" s="41">
        <f>COUNTIFS(赛事明细!$P$4:$P$2000,"已结算",赛事明细!$E$4:$E$2000,$A94,赛事明细!$Q$4:$Q$2000,"黑")</f>
        <v/>
      </c>
      <c r="H94" s="89">
        <f>IFERROR((C94+0.5*D94)/(C94+0.5*D94+G94+0.5*F94),0)</f>
        <v/>
      </c>
      <c r="I94" s="81">
        <f>SUMIFS(赛事明细!$S$4:$S$2000,赛事明细!$P$4:$P$2000,"已结算",赛事明细!$E$4:$E$2000,$A94)</f>
        <v/>
      </c>
      <c r="J94" s="89">
        <f>IFERROR(I94/B94,0)</f>
        <v/>
      </c>
      <c r="K94" s="41">
        <f>IF(B94&lt;5,"样本&lt;5，谨慎解读","")</f>
        <v/>
      </c>
    </row>
    <row r="95" ht="24" customHeight="1" s="78">
      <c r="A95" s="41" t="inlineStr">
        <is>
          <t>意丙</t>
        </is>
      </c>
      <c r="B95" s="41">
        <f>COUNTIFS(赛事明细!$P$4:$P$2000,"已结算",赛事明细!$E$4:$E$2000,$A95)</f>
        <v/>
      </c>
      <c r="C95" s="41">
        <f>COUNTIFS(赛事明细!$P$4:$P$2000,"已结算",赛事明细!$E$4:$E$2000,$A95,赛事明细!$Q$4:$Q$2000,"红")</f>
        <v/>
      </c>
      <c r="D95" s="41">
        <f>COUNTIFS(赛事明细!$P$4:$P$2000,"已结算",赛事明细!$E$4:$E$2000,$A95,赛事明细!$Q$4:$Q$2000,"半红")</f>
        <v/>
      </c>
      <c r="E95" s="41">
        <f>COUNTIFS(赛事明细!$P$4:$P$2000,"已结算",赛事明细!$E$4:$E$2000,$A95,赛事明细!$Q$4:$Q$2000,"走")</f>
        <v/>
      </c>
      <c r="F95" s="41">
        <f>COUNTIFS(赛事明细!$P$4:$P$2000,"已结算",赛事明细!$E$4:$E$2000,$A95,赛事明细!$Q$4:$Q$2000,"半黑")</f>
        <v/>
      </c>
      <c r="G95" s="41">
        <f>COUNTIFS(赛事明细!$P$4:$P$2000,"已结算",赛事明细!$E$4:$E$2000,$A95,赛事明细!$Q$4:$Q$2000,"黑")</f>
        <v/>
      </c>
      <c r="H95" s="89">
        <f>IFERROR((C95+0.5*D95)/(C95+0.5*D95+G95+0.5*F95),0)</f>
        <v/>
      </c>
      <c r="I95" s="81">
        <f>SUMIFS(赛事明细!$S$4:$S$2000,赛事明细!$P$4:$P$2000,"已结算",赛事明细!$E$4:$E$2000,$A95)</f>
        <v/>
      </c>
      <c r="J95" s="89">
        <f>IFERROR(I95/B95,0)</f>
        <v/>
      </c>
      <c r="K95" s="41">
        <f>IF(B95&lt;5,"样本&lt;5，谨慎解读","")</f>
        <v/>
      </c>
    </row>
    <row r="96" ht="24" customHeight="1" s="78">
      <c r="A96" s="41" t="inlineStr">
        <is>
          <t>捷乙</t>
        </is>
      </c>
      <c r="B96" s="41">
        <f>COUNTIFS(赛事明细!$P$4:$P$2000,"已结算",赛事明细!$E$4:$E$2000,$A96)</f>
        <v/>
      </c>
      <c r="C96" s="41">
        <f>COUNTIFS(赛事明细!$P$4:$P$2000,"已结算",赛事明细!$E$4:$E$2000,$A96,赛事明细!$Q$4:$Q$2000,"红")</f>
        <v/>
      </c>
      <c r="D96" s="41">
        <f>COUNTIFS(赛事明细!$P$4:$P$2000,"已结算",赛事明细!$E$4:$E$2000,$A96,赛事明细!$Q$4:$Q$2000,"半红")</f>
        <v/>
      </c>
      <c r="E96" s="41">
        <f>COUNTIFS(赛事明细!$P$4:$P$2000,"已结算",赛事明细!$E$4:$E$2000,$A96,赛事明细!$Q$4:$Q$2000,"走")</f>
        <v/>
      </c>
      <c r="F96" s="41">
        <f>COUNTIFS(赛事明细!$P$4:$P$2000,"已结算",赛事明细!$E$4:$E$2000,$A96,赛事明细!$Q$4:$Q$2000,"半黑")</f>
        <v/>
      </c>
      <c r="G96" s="41">
        <f>COUNTIFS(赛事明细!$P$4:$P$2000,"已结算",赛事明细!$E$4:$E$2000,$A96,赛事明细!$Q$4:$Q$2000,"黑")</f>
        <v/>
      </c>
      <c r="H96" s="89">
        <f>IFERROR((C96+0.5*D96)/(C96+0.5*D96+G96+0.5*F96),0)</f>
        <v/>
      </c>
      <c r="I96" s="81">
        <f>SUMIFS(赛事明细!$S$4:$S$2000,赛事明细!$P$4:$P$2000,"已结算",赛事明细!$E$4:$E$2000,$A96)</f>
        <v/>
      </c>
      <c r="J96" s="89">
        <f>IFERROR(I96/B96,0)</f>
        <v/>
      </c>
      <c r="K96" s="41">
        <f>IF(B96&lt;5,"样本&lt;5，谨慎解读","")</f>
        <v/>
      </c>
    </row>
    <row r="97" ht="24" customHeight="1" s="78">
      <c r="A97" s="41" t="inlineStr">
        <is>
          <t>西协甲</t>
        </is>
      </c>
      <c r="B97" s="41">
        <f>COUNTIFS(赛事明细!$P$4:$P$2000,"已结算",赛事明细!$E$4:$E$2000,$A97)</f>
        <v/>
      </c>
      <c r="C97" s="41">
        <f>COUNTIFS(赛事明细!$P$4:$P$2000,"已结算",赛事明细!$E$4:$E$2000,$A97,赛事明细!$Q$4:$Q$2000,"红")</f>
        <v/>
      </c>
      <c r="D97" s="41">
        <f>COUNTIFS(赛事明细!$P$4:$P$2000,"已结算",赛事明细!$E$4:$E$2000,$A97,赛事明细!$Q$4:$Q$2000,"半红")</f>
        <v/>
      </c>
      <c r="E97" s="41">
        <f>COUNTIFS(赛事明细!$P$4:$P$2000,"已结算",赛事明细!$E$4:$E$2000,$A97,赛事明细!$Q$4:$Q$2000,"走")</f>
        <v/>
      </c>
      <c r="F97" s="41">
        <f>COUNTIFS(赛事明细!$P$4:$P$2000,"已结算",赛事明细!$E$4:$E$2000,$A97,赛事明细!$Q$4:$Q$2000,"半黑")</f>
        <v/>
      </c>
      <c r="G97" s="41">
        <f>COUNTIFS(赛事明细!$P$4:$P$2000,"已结算",赛事明细!$E$4:$E$2000,$A97,赛事明细!$Q$4:$Q$2000,"黑")</f>
        <v/>
      </c>
      <c r="H97" s="89">
        <f>IFERROR((C97+0.5*D97)/(C97+0.5*D97+G97+0.5*F97),0)</f>
        <v/>
      </c>
      <c r="I97" s="81">
        <f>SUMIFS(赛事明细!$S$4:$S$2000,赛事明细!$P$4:$P$2000,"已结算",赛事明细!$E$4:$E$2000,$A97)</f>
        <v/>
      </c>
      <c r="J97" s="89">
        <f>IFERROR(I97/B97,0)</f>
        <v/>
      </c>
      <c r="K97" s="41">
        <f>IF(B97&lt;5,"样本&lt;5，谨慎解读","")</f>
        <v/>
      </c>
    </row>
    <row r="98" ht="24" customHeight="1" s="78">
      <c r="A98" s="41" t="inlineStr">
        <is>
          <t>美职业</t>
        </is>
      </c>
      <c r="B98" s="41">
        <f>COUNTIFS(赛事明细!$P$4:$P$2000,"已结算",赛事明细!$E$4:$E$2000,$A98)</f>
        <v/>
      </c>
      <c r="C98" s="41">
        <f>COUNTIFS(赛事明细!$P$4:$P$2000,"已结算",赛事明细!$E$4:$E$2000,$A98,赛事明细!$Q$4:$Q$2000,"红")</f>
        <v/>
      </c>
      <c r="D98" s="41">
        <f>COUNTIFS(赛事明细!$P$4:$P$2000,"已结算",赛事明细!$E$4:$E$2000,$A98,赛事明细!$Q$4:$Q$2000,"半红")</f>
        <v/>
      </c>
      <c r="E98" s="41">
        <f>COUNTIFS(赛事明细!$P$4:$P$2000,"已结算",赛事明细!$E$4:$E$2000,$A98,赛事明细!$Q$4:$Q$2000,"走")</f>
        <v/>
      </c>
      <c r="F98" s="41">
        <f>COUNTIFS(赛事明细!$P$4:$P$2000,"已结算",赛事明细!$E$4:$E$2000,$A98,赛事明细!$Q$4:$Q$2000,"半黑")</f>
        <v/>
      </c>
      <c r="G98" s="41">
        <f>COUNTIFS(赛事明细!$P$4:$P$2000,"已结算",赛事明细!$E$4:$E$2000,$A98,赛事明细!$Q$4:$Q$2000,"黑")</f>
        <v/>
      </c>
      <c r="H98" s="89">
        <f>IFERROR((C98+0.5*D98)/(C98+0.5*D98+G98+0.5*F98),0)</f>
        <v/>
      </c>
      <c r="I98" s="81">
        <f>SUMIFS(赛事明细!$S$4:$S$2000,赛事明细!$P$4:$P$2000,"已结算",赛事明细!$E$4:$E$2000,$A98)</f>
        <v/>
      </c>
      <c r="J98" s="89">
        <f>IFERROR(I98/B98,0)</f>
        <v/>
      </c>
      <c r="K98" s="41">
        <f>IF(B98&lt;5,"样本&lt;5，谨慎解读","")</f>
        <v/>
      </c>
    </row>
    <row r="99" ht="24" customHeight="1" s="78">
      <c r="A99" s="41" t="inlineStr">
        <is>
          <t>阿乙曼特秋</t>
        </is>
      </c>
      <c r="B99" s="41">
        <f>COUNTIFS(赛事明细!$P$4:$P$2000,"已结算",赛事明细!$E$4:$E$2000,$A99)</f>
        <v/>
      </c>
      <c r="C99" s="41">
        <f>COUNTIFS(赛事明细!$P$4:$P$2000,"已结算",赛事明细!$E$4:$E$2000,$A99,赛事明细!$Q$4:$Q$2000,"红")</f>
        <v/>
      </c>
      <c r="D99" s="41">
        <f>COUNTIFS(赛事明细!$P$4:$P$2000,"已结算",赛事明细!$E$4:$E$2000,$A99,赛事明细!$Q$4:$Q$2000,"半红")</f>
        <v/>
      </c>
      <c r="E99" s="41">
        <f>COUNTIFS(赛事明细!$P$4:$P$2000,"已结算",赛事明细!$E$4:$E$2000,$A99,赛事明细!$Q$4:$Q$2000,"走")</f>
        <v/>
      </c>
      <c r="F99" s="41">
        <f>COUNTIFS(赛事明细!$P$4:$P$2000,"已结算",赛事明细!$E$4:$E$2000,$A99,赛事明细!$Q$4:$Q$2000,"半黑")</f>
        <v/>
      </c>
      <c r="G99" s="41">
        <f>COUNTIFS(赛事明细!$P$4:$P$2000,"已结算",赛事明细!$E$4:$E$2000,$A99,赛事明细!$Q$4:$Q$2000,"黑")</f>
        <v/>
      </c>
      <c r="H99" s="89">
        <f>IFERROR((C99+0.5*D99)/(C99+0.5*D99+G99+0.5*F99),0)</f>
        <v/>
      </c>
      <c r="I99" s="81">
        <f>SUMIFS(赛事明细!$S$4:$S$2000,赛事明细!$P$4:$P$2000,"已结算",赛事明细!$E$4:$E$2000,$A99)</f>
        <v/>
      </c>
      <c r="J99" s="89">
        <f>IFERROR(I99/B99,0)</f>
        <v/>
      </c>
      <c r="K99" s="41">
        <f>IF(B99&lt;5,"样本&lt;5，谨慎解读","")</f>
        <v/>
      </c>
    </row>
    <row r="100" ht="24" customHeight="1" s="78">
      <c r="A100" s="41" t="inlineStr">
        <is>
          <t>阿甲</t>
        </is>
      </c>
      <c r="B100" s="41">
        <f>COUNTIFS(赛事明细!$P$4:$P$2000,"已结算",赛事明细!$E$4:$E$2000,$A100)</f>
        <v/>
      </c>
      <c r="C100" s="41">
        <f>COUNTIFS(赛事明细!$P$4:$P$2000,"已结算",赛事明细!$E$4:$E$2000,$A100,赛事明细!$Q$4:$Q$2000,"红")</f>
        <v/>
      </c>
      <c r="D100" s="41">
        <f>COUNTIFS(赛事明细!$P$4:$P$2000,"已结算",赛事明细!$E$4:$E$2000,$A100,赛事明细!$Q$4:$Q$2000,"半红")</f>
        <v/>
      </c>
      <c r="E100" s="41">
        <f>COUNTIFS(赛事明细!$P$4:$P$2000,"已结算",赛事明细!$E$4:$E$2000,$A100,赛事明细!$Q$4:$Q$2000,"走")</f>
        <v/>
      </c>
      <c r="F100" s="41">
        <f>COUNTIFS(赛事明细!$P$4:$P$2000,"已结算",赛事明细!$E$4:$E$2000,$A100,赛事明细!$Q$4:$Q$2000,"半黑")</f>
        <v/>
      </c>
      <c r="G100" s="41">
        <f>COUNTIFS(赛事明细!$P$4:$P$2000,"已结算",赛事明细!$E$4:$E$2000,$A100,赛事明细!$Q$4:$Q$2000,"黑")</f>
        <v/>
      </c>
      <c r="H100" s="89">
        <f>IFERROR((C100+0.5*D100)/(C100+0.5*D100+G100+0.5*F100),0)</f>
        <v/>
      </c>
      <c r="I100" s="81">
        <f>SUMIFS(赛事明细!$S$4:$S$2000,赛事明细!$P$4:$P$2000,"已结算",赛事明细!$E$4:$E$2000,$A100)</f>
        <v/>
      </c>
      <c r="J100" s="89">
        <f>IFERROR(I100/B100,0)</f>
        <v/>
      </c>
      <c r="K100" s="41">
        <f>IF(B100&lt;5,"样本&lt;5，谨慎解读","")</f>
        <v/>
      </c>
    </row>
    <row r="101" ht="24" customHeight="1" s="78">
      <c r="A101" s="41" t="inlineStr">
        <is>
          <t>阿乙</t>
        </is>
      </c>
      <c r="B101" s="41">
        <f>COUNTIFS(赛事明细!$P$4:$P$2000,"已结算",赛事明细!$E$4:$E$2000,$A101)</f>
        <v/>
      </c>
      <c r="C101" s="41">
        <f>COUNTIFS(赛事明细!$P$4:$P$2000,"已结算",赛事明细!$E$4:$E$2000,$A101,赛事明细!$Q$4:$Q$2000,"红")</f>
        <v/>
      </c>
      <c r="D101" s="41">
        <f>COUNTIFS(赛事明细!$P$4:$P$2000,"已结算",赛事明细!$E$4:$E$2000,$A101,赛事明细!$Q$4:$Q$2000,"半红")</f>
        <v/>
      </c>
      <c r="E101" s="41">
        <f>COUNTIFS(赛事明细!$P$4:$P$2000,"已结算",赛事明细!$E$4:$E$2000,$A101,赛事明细!$Q$4:$Q$2000,"走")</f>
        <v/>
      </c>
      <c r="F101" s="41">
        <f>COUNTIFS(赛事明细!$P$4:$P$2000,"已结算",赛事明细!$E$4:$E$2000,$A101,赛事明细!$Q$4:$Q$2000,"半黑")</f>
        <v/>
      </c>
      <c r="G101" s="41">
        <f>COUNTIFS(赛事明细!$P$4:$P$2000,"已结算",赛事明细!$E$4:$E$2000,$A101,赛事明细!$Q$4:$Q$2000,"黑")</f>
        <v/>
      </c>
      <c r="H101" s="89">
        <f>IFERROR((C101+0.5*D101)/(C101+0.5*D101+G101+0.5*F101),0)</f>
        <v/>
      </c>
      <c r="I101" s="81">
        <f>SUMIFS(赛事明细!$S$4:$S$2000,赛事明细!$P$4:$P$2000,"已结算",赛事明细!$E$4:$E$2000,$A101)</f>
        <v/>
      </c>
      <c r="J101" s="89">
        <f>IFERROR(I101/B101,0)</f>
        <v/>
      </c>
      <c r="K101" s="41">
        <f>IF(B101&lt;5,"样本&lt;5，谨慎解读","")</f>
        <v/>
      </c>
    </row>
    <row r="102" ht="24" customHeight="1" s="78">
      <c r="A102" s="41" t="inlineStr">
        <is>
          <t>玻利甲</t>
        </is>
      </c>
      <c r="B102" s="41">
        <f>COUNTIFS(赛事明细!$P$4:$P$2000,"已结算",赛事明细!$E$4:$E$2000,$A102)</f>
        <v/>
      </c>
      <c r="C102" s="41">
        <f>COUNTIFS(赛事明细!$P$4:$P$2000,"已结算",赛事明细!$E$4:$E$2000,$A102,赛事明细!$Q$4:$Q$2000,"红")</f>
        <v/>
      </c>
      <c r="D102" s="41">
        <f>COUNTIFS(赛事明细!$P$4:$P$2000,"已结算",赛事明细!$E$4:$E$2000,$A102,赛事明细!$Q$4:$Q$2000,"半红")</f>
        <v/>
      </c>
      <c r="E102" s="41">
        <f>COUNTIFS(赛事明细!$P$4:$P$2000,"已结算",赛事明细!$E$4:$E$2000,$A102,赛事明细!$Q$4:$Q$2000,"走")</f>
        <v/>
      </c>
      <c r="F102" s="41">
        <f>COUNTIFS(赛事明细!$P$4:$P$2000,"已结算",赛事明细!$E$4:$E$2000,$A102,赛事明细!$Q$4:$Q$2000,"半黑")</f>
        <v/>
      </c>
      <c r="G102" s="41">
        <f>COUNTIFS(赛事明细!$P$4:$P$2000,"已结算",赛事明细!$E$4:$E$2000,$A102,赛事明细!$Q$4:$Q$2000,"黑")</f>
        <v/>
      </c>
      <c r="H102" s="89">
        <f>IFERROR((C102+0.5*D102)/(C102+0.5*D102+G102+0.5*F102),0)</f>
        <v/>
      </c>
      <c r="I102" s="81">
        <f>SUMIFS(赛事明细!$S$4:$S$2000,赛事明细!$P$4:$P$2000,"已结算",赛事明细!$E$4:$E$2000,$A102)</f>
        <v/>
      </c>
      <c r="J102" s="89">
        <f>IFERROR(I102/B102,0)</f>
        <v/>
      </c>
      <c r="K102" s="41">
        <f>IF(B102&lt;5,"样本&lt;5，谨慎解读","")</f>
        <v/>
      </c>
    </row>
    <row r="103" ht="24" customHeight="1" s="78">
      <c r="A103" s="41" t="inlineStr">
        <is>
          <t>斯尼杯</t>
        </is>
      </c>
      <c r="B103" s="41">
        <f>COUNTIFS(赛事明细!$P$4:$P$2000,"已结算",赛事明细!$E$4:$E$2000,$A103)</f>
        <v/>
      </c>
      <c r="C103" s="41">
        <f>COUNTIFS(赛事明细!$P$4:$P$2000,"已结算",赛事明细!$E$4:$E$2000,$A103,赛事明细!$Q$4:$Q$2000,"红")</f>
        <v/>
      </c>
      <c r="D103" s="41">
        <f>COUNTIFS(赛事明细!$P$4:$P$2000,"已结算",赛事明细!$E$4:$E$2000,$A103,赛事明细!$Q$4:$Q$2000,"半红")</f>
        <v/>
      </c>
      <c r="E103" s="41">
        <f>COUNTIFS(赛事明细!$P$4:$P$2000,"已结算",赛事明细!$E$4:$E$2000,$A103,赛事明细!$Q$4:$Q$2000,"走")</f>
        <v/>
      </c>
      <c r="F103" s="41">
        <f>COUNTIFS(赛事明细!$P$4:$P$2000,"已结算",赛事明细!$E$4:$E$2000,$A103,赛事明细!$Q$4:$Q$2000,"半黑")</f>
        <v/>
      </c>
      <c r="G103" s="41">
        <f>COUNTIFS(赛事明细!$P$4:$P$2000,"已结算",赛事明细!$E$4:$E$2000,$A103,赛事明细!$Q$4:$Q$2000,"黑")</f>
        <v/>
      </c>
      <c r="H103" s="89">
        <f>IFERROR((C103+0.5*D103)/(C103+0.5*D103+G103+0.5*F103),0)</f>
        <v/>
      </c>
      <c r="I103" s="81">
        <f>SUMIFS(赛事明细!$S$4:$S$2000,赛事明细!$P$4:$P$2000,"已结算",赛事明细!$E$4:$E$2000,$A103)</f>
        <v/>
      </c>
      <c r="J103" s="89">
        <f>IFERROR(I103/B103,0)</f>
        <v/>
      </c>
      <c r="K103" s="41">
        <f>IF(B103&lt;5,"样本&lt;5，谨慎解读","")</f>
        <v/>
      </c>
    </row>
    <row r="104" ht="24" customHeight="1" s="78">
      <c r="A104" s="41" t="inlineStr">
        <is>
          <t>英联杯</t>
        </is>
      </c>
      <c r="B104" s="41">
        <f>COUNTIFS(赛事明细!$P$4:$P$2000,"已结算",赛事明细!$E$4:$E$2000,$A104)</f>
        <v/>
      </c>
      <c r="C104" s="41">
        <f>COUNTIFS(赛事明细!$P$4:$P$2000,"已结算",赛事明细!$E$4:$E$2000,$A104,赛事明细!$Q$4:$Q$2000,"红")</f>
        <v/>
      </c>
      <c r="D104" s="41">
        <f>COUNTIFS(赛事明细!$P$4:$P$2000,"已结算",赛事明细!$E$4:$E$2000,$A104,赛事明细!$Q$4:$Q$2000,"半红")</f>
        <v/>
      </c>
      <c r="E104" s="41">
        <f>COUNTIFS(赛事明细!$P$4:$P$2000,"已结算",赛事明细!$E$4:$E$2000,$A104,赛事明细!$Q$4:$Q$2000,"走")</f>
        <v/>
      </c>
      <c r="F104" s="41">
        <f>COUNTIFS(赛事明细!$P$4:$P$2000,"已结算",赛事明细!$E$4:$E$2000,$A104,赛事明细!$Q$4:$Q$2000,"半黑")</f>
        <v/>
      </c>
      <c r="G104" s="41">
        <f>COUNTIFS(赛事明细!$P$4:$P$2000,"已结算",赛事明细!$E$4:$E$2000,$A104,赛事明细!$Q$4:$Q$2000,"黑")</f>
        <v/>
      </c>
      <c r="H104" s="89">
        <f>IFERROR((C104+0.5*D104)/(C104+0.5*D104+G104+0.5*F104),0)</f>
        <v/>
      </c>
      <c r="I104" s="81">
        <f>SUMIFS(赛事明细!$S$4:$S$2000,赛事明细!$P$4:$P$2000,"已结算",赛事明细!$E$4:$E$2000,$A104)</f>
        <v/>
      </c>
      <c r="J104" s="89">
        <f>IFERROR(I104/B104,0)</f>
        <v/>
      </c>
      <c r="K104" s="41">
        <f>IF(B104&lt;5,"样本&lt;5，谨慎解读","")</f>
        <v/>
      </c>
    </row>
    <row r="105" ht="24" customHeight="1" s="78">
      <c r="A105" s="41" t="inlineStr">
        <is>
          <t>英足总杯</t>
        </is>
      </c>
      <c r="B105" s="41">
        <f>COUNTIFS(赛事明细!$P$4:$P$2000,"已结算",赛事明细!$E$4:$E$2000,$A105)</f>
        <v/>
      </c>
      <c r="C105" s="41">
        <f>COUNTIFS(赛事明细!$P$4:$P$2000,"已结算",赛事明细!$E$4:$E$2000,$A105,赛事明细!$Q$4:$Q$2000,"红")</f>
        <v/>
      </c>
      <c r="D105" s="41">
        <f>COUNTIFS(赛事明细!$P$4:$P$2000,"已结算",赛事明细!$E$4:$E$2000,$A105,赛事明细!$Q$4:$Q$2000,"半红")</f>
        <v/>
      </c>
      <c r="E105" s="41">
        <f>COUNTIFS(赛事明细!$P$4:$P$2000,"已结算",赛事明细!$E$4:$E$2000,$A105,赛事明细!$Q$4:$Q$2000,"走")</f>
        <v/>
      </c>
      <c r="F105" s="41">
        <f>COUNTIFS(赛事明细!$P$4:$P$2000,"已结算",赛事明细!$E$4:$E$2000,$A105,赛事明细!$Q$4:$Q$2000,"半黑")</f>
        <v/>
      </c>
      <c r="G105" s="41">
        <f>COUNTIFS(赛事明细!$P$4:$P$2000,"已结算",赛事明细!$E$4:$E$2000,$A105,赛事明细!$Q$4:$Q$2000,"黑")</f>
        <v/>
      </c>
      <c r="H105" s="89">
        <f>IFERROR((C105+0.5*D105)/(C105+0.5*D105+G105+0.5*F105),0)</f>
        <v/>
      </c>
      <c r="I105" s="81">
        <f>SUMIFS(赛事明细!$S$4:$S$2000,赛事明细!$P$4:$P$2000,"已结算",赛事明细!$E$4:$E$2000,$A105)</f>
        <v/>
      </c>
      <c r="J105" s="89">
        <f>IFERROR(I105/B105,0)</f>
        <v/>
      </c>
      <c r="K105" s="41">
        <f>IF(B105&lt;5,"样本&lt;5，谨慎解读","")</f>
        <v/>
      </c>
    </row>
    <row r="106" ht="24" customHeight="1" s="78">
      <c r="A106" s="41" t="inlineStr">
        <is>
          <t>欧冠杯</t>
        </is>
      </c>
      <c r="B106" s="41">
        <f>COUNTIFS(赛事明细!$P$4:$P$2000,"已结算",赛事明细!$E$4:$E$2000,$A106)</f>
        <v/>
      </c>
      <c r="C106" s="41">
        <f>COUNTIFS(赛事明细!$P$4:$P$2000,"已结算",赛事明细!$E$4:$E$2000,$A106,赛事明细!$Q$4:$Q$2000,"红")</f>
        <v/>
      </c>
      <c r="D106" s="41">
        <f>COUNTIFS(赛事明细!$P$4:$P$2000,"已结算",赛事明细!$E$4:$E$2000,$A106,赛事明细!$Q$4:$Q$2000,"半红")</f>
        <v/>
      </c>
      <c r="E106" s="41">
        <f>COUNTIFS(赛事明细!$P$4:$P$2000,"已结算",赛事明细!$E$4:$E$2000,$A106,赛事明细!$Q$4:$Q$2000,"走")</f>
        <v/>
      </c>
      <c r="F106" s="41">
        <f>COUNTIFS(赛事明细!$P$4:$P$2000,"已结算",赛事明细!$E$4:$E$2000,$A106,赛事明细!$Q$4:$Q$2000,"半黑")</f>
        <v/>
      </c>
      <c r="G106" s="41">
        <f>COUNTIFS(赛事明细!$P$4:$P$2000,"已结算",赛事明细!$E$4:$E$2000,$A106,赛事明细!$Q$4:$Q$2000,"黑")</f>
        <v/>
      </c>
      <c r="H106" s="89">
        <f>IFERROR((C106+0.5*D106)/(C106+0.5*D106+G106+0.5*F106),0)</f>
        <v/>
      </c>
      <c r="I106" s="81">
        <f>SUMIFS(赛事明细!$S$4:$S$2000,赛事明细!$P$4:$P$2000,"已结算",赛事明细!$E$4:$E$2000,$A106)</f>
        <v/>
      </c>
      <c r="J106" s="89">
        <f>IFERROR(I106/B106,0)</f>
        <v/>
      </c>
      <c r="K106" s="41">
        <f>IF(B106&lt;5,"样本&lt;5，谨慎解读","")</f>
        <v/>
      </c>
    </row>
    <row r="107" ht="24" customHeight="1" s="78">
      <c r="A107" s="41" t="inlineStr">
        <is>
          <t>解放者杯</t>
        </is>
      </c>
      <c r="B107" s="41">
        <f>COUNTIFS(赛事明细!$P$4:$P$2000,"已结算",赛事明细!$E$4:$E$2000,$A107)</f>
        <v/>
      </c>
      <c r="C107" s="41">
        <f>COUNTIFS(赛事明细!$P$4:$P$2000,"已结算",赛事明细!$E$4:$E$2000,$A107,赛事明细!$Q$4:$Q$2000,"红")</f>
        <v/>
      </c>
      <c r="D107" s="41">
        <f>COUNTIFS(赛事明细!$P$4:$P$2000,"已结算",赛事明细!$E$4:$E$2000,$A107,赛事明细!$Q$4:$Q$2000,"半红")</f>
        <v/>
      </c>
      <c r="E107" s="41">
        <f>COUNTIFS(赛事明细!$P$4:$P$2000,"已结算",赛事明细!$E$4:$E$2000,$A107,赛事明细!$Q$4:$Q$2000,"走")</f>
        <v/>
      </c>
      <c r="F107" s="41">
        <f>COUNTIFS(赛事明细!$P$4:$P$2000,"已结算",赛事明细!$E$4:$E$2000,$A107,赛事明细!$Q$4:$Q$2000,"半黑")</f>
        <v/>
      </c>
      <c r="G107" s="41">
        <f>COUNTIFS(赛事明细!$P$4:$P$2000,"已结算",赛事明细!$E$4:$E$2000,$A107,赛事明细!$Q$4:$Q$2000,"黑")</f>
        <v/>
      </c>
      <c r="H107" s="89">
        <f>IFERROR((C107+0.5*D107)/(C107+0.5*D107+G107+0.5*F107),0)</f>
        <v/>
      </c>
      <c r="I107" s="81">
        <f>SUMIFS(赛事明细!$S$4:$S$2000,赛事明细!$P$4:$P$2000,"已结算",赛事明细!$E$4:$E$2000,$A107)</f>
        <v/>
      </c>
      <c r="J107" s="89">
        <f>IFERROR(I107/B107,0)</f>
        <v/>
      </c>
      <c r="K107" s="41">
        <f>IF(B107&lt;5,"样本&lt;5，谨慎解读","")</f>
        <v/>
      </c>
    </row>
    <row r="108" ht="24" customHeight="1" s="78">
      <c r="A108" s="41" t="inlineStr">
        <is>
          <t>智利乙</t>
        </is>
      </c>
      <c r="B108" s="41">
        <f>COUNTIFS(赛事明细!$P$4:$P$2000,"已结算",赛事明细!$E$4:$E$2000,$A108)</f>
        <v/>
      </c>
      <c r="C108" s="41">
        <f>COUNTIFS(赛事明细!$P$4:$P$2000,"已结算",赛事明细!$E$4:$E$2000,$A108,赛事明细!$Q$4:$Q$2000,"红")</f>
        <v/>
      </c>
      <c r="D108" s="41">
        <f>COUNTIFS(赛事明细!$P$4:$P$2000,"已结算",赛事明细!$E$4:$E$2000,$A108,赛事明细!$Q$4:$Q$2000,"半红")</f>
        <v/>
      </c>
      <c r="E108" s="41">
        <f>COUNTIFS(赛事明细!$P$4:$P$2000,"已结算",赛事明细!$E$4:$E$2000,$A108,赛事明细!$Q$4:$Q$2000,"走")</f>
        <v/>
      </c>
      <c r="F108" s="41">
        <f>COUNTIFS(赛事明细!$P$4:$P$2000,"已结算",赛事明细!$E$4:$E$2000,$A108,赛事明细!$Q$4:$Q$2000,"半黑")</f>
        <v/>
      </c>
      <c r="G108" s="41">
        <f>COUNTIFS(赛事明细!$P$4:$P$2000,"已结算",赛事明细!$E$4:$E$2000,$A108,赛事明细!$Q$4:$Q$2000,"黑")</f>
        <v/>
      </c>
      <c r="H108" s="89">
        <f>IFERROR((C108+0.5*D108)/(C108+0.5*D108+G108+0.5*F108),0)</f>
        <v/>
      </c>
      <c r="I108" s="81">
        <f>SUMIFS(赛事明细!$S$4:$S$2000,赛事明细!$P$4:$P$2000,"已结算",赛事明细!$E$4:$E$2000,$A108)</f>
        <v/>
      </c>
      <c r="J108" s="89">
        <f>IFERROR(I108/B108,0)</f>
        <v/>
      </c>
      <c r="K108" s="41">
        <f>IF(B108&lt;5,"样本&lt;5，谨慎解读","")</f>
        <v/>
      </c>
    </row>
    <row r="109" ht="24" customHeight="1" s="78">
      <c r="A109" s="41" t="inlineStr">
        <is>
          <t>澳足总</t>
        </is>
      </c>
      <c r="B109" s="41">
        <f>COUNTIFS(赛事明细!$P$4:$P$2000,"已结算",赛事明细!$E$4:$E$2000,$A109)</f>
        <v/>
      </c>
      <c r="C109" s="41">
        <f>COUNTIFS(赛事明细!$P$4:$P$2000,"已结算",赛事明细!$E$4:$E$2000,$A109,赛事明细!$Q$4:$Q$2000,"红")</f>
        <v/>
      </c>
      <c r="D109" s="41">
        <f>COUNTIFS(赛事明细!$P$4:$P$2000,"已结算",赛事明细!$E$4:$E$2000,$A109,赛事明细!$Q$4:$Q$2000,"半红")</f>
        <v/>
      </c>
      <c r="E109" s="41">
        <f>COUNTIFS(赛事明细!$P$4:$P$2000,"已结算",赛事明细!$E$4:$E$2000,$A109,赛事明细!$Q$4:$Q$2000,"走")</f>
        <v/>
      </c>
      <c r="F109" s="41">
        <f>COUNTIFS(赛事明细!$P$4:$P$2000,"已结算",赛事明细!$E$4:$E$2000,$A109,赛事明细!$Q$4:$Q$2000,"半黑")</f>
        <v/>
      </c>
      <c r="G109" s="41">
        <f>COUNTIFS(赛事明细!$P$4:$P$2000,"已结算",赛事明细!$E$4:$E$2000,$A109,赛事明细!$Q$4:$Q$2000,"黑")</f>
        <v/>
      </c>
      <c r="H109" s="89">
        <f>IFERROR((C109+0.5*D109)/(C109+0.5*D109+G109+0.5*F109),0)</f>
        <v/>
      </c>
      <c r="I109" s="81">
        <f>SUMIFS(赛事明细!$S$4:$S$2000,赛事明细!$P$4:$P$2000,"已结算",赛事明细!$E$4:$E$2000,$A109)</f>
        <v/>
      </c>
      <c r="J109" s="89">
        <f>IFERROR(I109/B109,0)</f>
        <v/>
      </c>
      <c r="K109" s="41">
        <f>IF(B109&lt;5,"样本&lt;5，谨慎解读","")</f>
        <v/>
      </c>
    </row>
    <row r="110" ht="24" customHeight="1" s="78">
      <c r="A110" s="41" t="inlineStr">
        <is>
          <t>西联杯</t>
        </is>
      </c>
      <c r="B110" s="41">
        <f>COUNTIFS(赛事明细!$P$4:$P$2000,"已结算",赛事明细!$E$4:$E$2000,$A110)</f>
        <v/>
      </c>
      <c r="C110" s="41">
        <f>COUNTIFS(赛事明细!$P$4:$P$2000,"已结算",赛事明细!$E$4:$E$2000,$A110,赛事明细!$Q$4:$Q$2000,"红")</f>
        <v/>
      </c>
      <c r="D110" s="41">
        <f>COUNTIFS(赛事明细!$P$4:$P$2000,"已结算",赛事明细!$E$4:$E$2000,$A110,赛事明细!$Q$4:$Q$2000,"半红")</f>
        <v/>
      </c>
      <c r="E110" s="41">
        <f>COUNTIFS(赛事明细!$P$4:$P$2000,"已结算",赛事明细!$E$4:$E$2000,$A110,赛事明细!$Q$4:$Q$2000,"走")</f>
        <v/>
      </c>
      <c r="F110" s="41">
        <f>COUNTIFS(赛事明细!$P$4:$P$2000,"已结算",赛事明细!$E$4:$E$2000,$A110,赛事明细!$Q$4:$Q$2000,"半黑")</f>
        <v/>
      </c>
      <c r="G110" s="41">
        <f>COUNTIFS(赛事明细!$P$4:$P$2000,"已结算",赛事明细!$E$4:$E$2000,$A110,赛事明细!$Q$4:$Q$2000,"黑")</f>
        <v/>
      </c>
      <c r="H110" s="89">
        <f>IFERROR((C110+0.5*D110)/(C110+0.5*D110+G110+0.5*F110),0)</f>
        <v/>
      </c>
      <c r="I110" s="81">
        <f>SUMIFS(赛事明细!$S$4:$S$2000,赛事明细!$P$4:$P$2000,"已结算",赛事明细!$E$4:$E$2000,$A110)</f>
        <v/>
      </c>
      <c r="J110" s="89">
        <f>IFERROR(I110/B110,0)</f>
        <v/>
      </c>
      <c r="K110" s="41">
        <f>IF(B110&lt;5,"样本&lt;5，谨慎解读","")</f>
        <v/>
      </c>
    </row>
    <row r="111" ht="24" customHeight="1" s="78">
      <c r="A111" s="41" t="inlineStr">
        <is>
          <t>皇后杯</t>
        </is>
      </c>
      <c r="B111" s="41">
        <f>COUNTIFS(赛事明细!$P$4:$P$2000,"已结算",赛事明细!$E$4:$E$2000,$A111)</f>
        <v/>
      </c>
      <c r="C111" s="41">
        <f>COUNTIFS(赛事明细!$P$4:$P$2000,"已结算",赛事明细!$E$4:$E$2000,$A111,赛事明细!$Q$4:$Q$2000,"红")</f>
        <v/>
      </c>
      <c r="D111" s="41">
        <f>COUNTIFS(赛事明细!$P$4:$P$2000,"已结算",赛事明细!$E$4:$E$2000,$A111,赛事明细!$Q$4:$Q$2000,"半红")</f>
        <v/>
      </c>
      <c r="E111" s="41">
        <f>COUNTIFS(赛事明细!$P$4:$P$2000,"已结算",赛事明细!$E$4:$E$2000,$A111,赛事明细!$Q$4:$Q$2000,"走")</f>
        <v/>
      </c>
      <c r="F111" s="41">
        <f>COUNTIFS(赛事明细!$P$4:$P$2000,"已结算",赛事明细!$E$4:$E$2000,$A111,赛事明细!$Q$4:$Q$2000,"半黑")</f>
        <v/>
      </c>
      <c r="G111" s="41">
        <f>COUNTIFS(赛事明细!$P$4:$P$2000,"已结算",赛事明细!$E$4:$E$2000,$A111,赛事明细!$Q$4:$Q$2000,"黑")</f>
        <v/>
      </c>
      <c r="H111" s="89">
        <f>IFERROR((C111+0.5*D111)/(C111+0.5*D111+G111+0.5*F111),0)</f>
        <v/>
      </c>
      <c r="I111" s="81">
        <f>SUMIFS(赛事明细!$S$4:$S$2000,赛事明细!$P$4:$P$2000,"已结算",赛事明细!$E$4:$E$2000,$A111)</f>
        <v/>
      </c>
      <c r="J111" s="89">
        <f>IFERROR(I111/B111,0)</f>
        <v/>
      </c>
      <c r="K111" s="41">
        <f>IF(B111&lt;5,"样本&lt;5，谨慎解读","")</f>
        <v/>
      </c>
    </row>
    <row r="112" ht="24" customHeight="1" s="78">
      <c r="A112" s="41" t="inlineStr">
        <is>
          <t>委内杯</t>
        </is>
      </c>
      <c r="B112" s="41">
        <f>COUNTIFS(赛事明细!$P$4:$P$2000,"已结算",赛事明细!$E$4:$E$2000,$A112)</f>
        <v/>
      </c>
      <c r="C112" s="41">
        <f>COUNTIFS(赛事明细!$P$4:$P$2000,"已结算",赛事明细!$E$4:$E$2000,$A112,赛事明细!$Q$4:$Q$2000,"红")</f>
        <v/>
      </c>
      <c r="D112" s="41">
        <f>COUNTIFS(赛事明细!$P$4:$P$2000,"已结算",赛事明细!$E$4:$E$2000,$A112,赛事明细!$Q$4:$Q$2000,"半红")</f>
        <v/>
      </c>
      <c r="E112" s="41">
        <f>COUNTIFS(赛事明细!$P$4:$P$2000,"已结算",赛事明细!$E$4:$E$2000,$A112,赛事明细!$Q$4:$Q$2000,"走")</f>
        <v/>
      </c>
      <c r="F112" s="41">
        <f>COUNTIFS(赛事明细!$P$4:$P$2000,"已结算",赛事明细!$E$4:$E$2000,$A112,赛事明细!$Q$4:$Q$2000,"半黑")</f>
        <v/>
      </c>
      <c r="G112" s="41">
        <f>COUNTIFS(赛事明细!$P$4:$P$2000,"已结算",赛事明细!$E$4:$E$2000,$A112,赛事明细!$Q$4:$Q$2000,"黑")</f>
        <v/>
      </c>
      <c r="H112" s="89">
        <f>IFERROR((C112+0.5*D112)/(C112+0.5*D112+G112+0.5*F112),0)</f>
        <v/>
      </c>
      <c r="I112" s="81">
        <f>SUMIFS(赛事明细!$S$4:$S$2000,赛事明细!$P$4:$P$2000,"已结算",赛事明细!$E$4:$E$2000,$A112)</f>
        <v/>
      </c>
      <c r="J112" s="89">
        <f>IFERROR(I112/B112,0)</f>
        <v/>
      </c>
      <c r="K112" s="41">
        <f>IF(B112&lt;5,"样本&lt;5，谨慎解读","")</f>
        <v/>
      </c>
    </row>
    <row r="113" ht="24" customHeight="1" s="78">
      <c r="A113" s="41" t="inlineStr">
        <is>
          <t>哥伦乙秋</t>
        </is>
      </c>
      <c r="B113" s="41">
        <f>COUNTIFS(赛事明细!$P$4:$P$2000,"已结算",赛事明细!$E$4:$E$2000,$A113)</f>
        <v/>
      </c>
      <c r="C113" s="41">
        <f>COUNTIFS(赛事明细!$P$4:$P$2000,"已结算",赛事明细!$E$4:$E$2000,$A113,赛事明细!$Q$4:$Q$2000,"红")</f>
        <v/>
      </c>
      <c r="D113" s="41">
        <f>COUNTIFS(赛事明细!$P$4:$P$2000,"已结算",赛事明细!$E$4:$E$2000,$A113,赛事明细!$Q$4:$Q$2000,"半红")</f>
        <v/>
      </c>
      <c r="E113" s="41">
        <f>COUNTIFS(赛事明细!$P$4:$P$2000,"已结算",赛事明细!$E$4:$E$2000,$A113,赛事明细!$Q$4:$Q$2000,"走")</f>
        <v/>
      </c>
      <c r="F113" s="41">
        <f>COUNTIFS(赛事明细!$P$4:$P$2000,"已结算",赛事明细!$E$4:$E$2000,$A113,赛事明细!$Q$4:$Q$2000,"半黑")</f>
        <v/>
      </c>
      <c r="G113" s="41">
        <f>COUNTIFS(赛事明细!$P$4:$P$2000,"已结算",赛事明细!$E$4:$E$2000,$A113,赛事明细!$Q$4:$Q$2000,"黑")</f>
        <v/>
      </c>
      <c r="H113" s="89">
        <f>IFERROR((C113+0.5*D113)/(C113+0.5*D113+G113+0.5*F113),0)</f>
        <v/>
      </c>
      <c r="I113" s="81">
        <f>SUMIFS(赛事明细!$S$4:$S$2000,赛事明细!$P$4:$P$2000,"已结算",赛事明细!$E$4:$E$2000,$A113)</f>
        <v/>
      </c>
      <c r="J113" s="89">
        <f>IFERROR(I113/B113,0)</f>
        <v/>
      </c>
      <c r="K113" s="41">
        <f>IF(B113&lt;5,"样本&lt;5，谨慎解读","")</f>
        <v/>
      </c>
    </row>
    <row r="114" ht="24" customHeight="1" s="78">
      <c r="A114" s="41" t="inlineStr">
        <is>
          <t>南美杯</t>
        </is>
      </c>
      <c r="B114" s="41">
        <f>COUNTIFS(赛事明细!$P$4:$P$2000,"已结算",赛事明细!$E$4:$E$2000,$A114)</f>
        <v/>
      </c>
      <c r="C114" s="41">
        <f>COUNTIFS(赛事明细!$P$4:$P$2000,"已结算",赛事明细!$E$4:$E$2000,$A114,赛事明细!$Q$4:$Q$2000,"红")</f>
        <v/>
      </c>
      <c r="D114" s="41">
        <f>COUNTIFS(赛事明细!$P$4:$P$2000,"已结算",赛事明细!$E$4:$E$2000,$A114,赛事明细!$Q$4:$Q$2000,"半红")</f>
        <v/>
      </c>
      <c r="E114" s="41">
        <f>COUNTIFS(赛事明细!$P$4:$P$2000,"已结算",赛事明细!$E$4:$E$2000,$A114,赛事明细!$Q$4:$Q$2000,"走")</f>
        <v/>
      </c>
      <c r="F114" s="41">
        <f>COUNTIFS(赛事明细!$P$4:$P$2000,"已结算",赛事明细!$E$4:$E$2000,$A114,赛事明细!$Q$4:$Q$2000,"半黑")</f>
        <v/>
      </c>
      <c r="G114" s="41">
        <f>COUNTIFS(赛事明细!$P$4:$P$2000,"已结算",赛事明细!$E$4:$E$2000,$A114,赛事明细!$Q$4:$Q$2000,"黑")</f>
        <v/>
      </c>
      <c r="H114" s="89">
        <f>IFERROR((C114+0.5*D114)/(C114+0.5*D114+G114+0.5*F114),0)</f>
        <v/>
      </c>
      <c r="I114" s="81">
        <f>SUMIFS(赛事明细!$S$4:$S$2000,赛事明细!$P$4:$P$2000,"已结算",赛事明细!$E$4:$E$2000,$A114)</f>
        <v/>
      </c>
      <c r="J114" s="89">
        <f>IFERROR(I114/B114,0)</f>
        <v/>
      </c>
      <c r="K114" s="41">
        <f>IF(B114&lt;5,"样本&lt;5，谨慎解读","")</f>
        <v/>
      </c>
    </row>
    <row r="115" ht="24" customHeight="1" s="78">
      <c r="A115" s="41" t="inlineStr">
        <is>
          <t>阿根廷杯</t>
        </is>
      </c>
      <c r="B115" s="41">
        <f>COUNTIFS(赛事明细!$P$4:$P$2000,"已结算",赛事明细!$E$4:$E$2000,$A115)</f>
        <v/>
      </c>
      <c r="C115" s="41">
        <f>COUNTIFS(赛事明细!$P$4:$P$2000,"已结算",赛事明细!$E$4:$E$2000,$A115,赛事明细!$Q$4:$Q$2000,"红")</f>
        <v/>
      </c>
      <c r="D115" s="41">
        <f>COUNTIFS(赛事明细!$P$4:$P$2000,"已结算",赛事明细!$E$4:$E$2000,$A115,赛事明细!$Q$4:$Q$2000,"半红")</f>
        <v/>
      </c>
      <c r="E115" s="41">
        <f>COUNTIFS(赛事明细!$P$4:$P$2000,"已结算",赛事明细!$E$4:$E$2000,$A115,赛事明细!$Q$4:$Q$2000,"走")</f>
        <v/>
      </c>
      <c r="F115" s="41">
        <f>COUNTIFS(赛事明细!$P$4:$P$2000,"已结算",赛事明细!$E$4:$E$2000,$A115,赛事明细!$Q$4:$Q$2000,"半黑")</f>
        <v/>
      </c>
      <c r="G115" s="41">
        <f>COUNTIFS(赛事明细!$P$4:$P$2000,"已结算",赛事明细!$E$4:$E$2000,$A115,赛事明细!$Q$4:$Q$2000,"黑")</f>
        <v/>
      </c>
      <c r="H115" s="89">
        <f>IFERROR((C115+0.5*D115)/(C115+0.5*D115+G115+0.5*F115),0)</f>
        <v/>
      </c>
      <c r="I115" s="81">
        <f>SUMIFS(赛事明细!$S$4:$S$2000,赛事明细!$P$4:$P$2000,"已结算",赛事明细!$E$4:$E$2000,$A115)</f>
        <v/>
      </c>
      <c r="J115" s="89">
        <f>IFERROR(I115/B115,0)</f>
        <v/>
      </c>
      <c r="K115" s="41">
        <f>IF(B115&lt;5,"样本&lt;5，谨慎解读","")</f>
        <v/>
      </c>
    </row>
    <row r="116" ht="24" customHeight="1" s="78">
      <c r="A116" s="41" t="inlineStr">
        <is>
          <t>哥伦杯</t>
        </is>
      </c>
      <c r="B116" s="41">
        <f>COUNTIFS(赛事明细!$P$4:$P$2000,"已结算",赛事明细!$E$4:$E$2000,$A116)</f>
        <v/>
      </c>
      <c r="C116" s="41">
        <f>COUNTIFS(赛事明细!$P$4:$P$2000,"已结算",赛事明细!$E$4:$E$2000,$A116,赛事明细!$Q$4:$Q$2000,"红")</f>
        <v/>
      </c>
      <c r="D116" s="41">
        <f>COUNTIFS(赛事明细!$P$4:$P$2000,"已结算",赛事明细!$E$4:$E$2000,$A116,赛事明细!$Q$4:$Q$2000,"半红")</f>
        <v/>
      </c>
      <c r="E116" s="41">
        <f>COUNTIFS(赛事明细!$P$4:$P$2000,"已结算",赛事明细!$E$4:$E$2000,$A116,赛事明细!$Q$4:$Q$2000,"走")</f>
        <v/>
      </c>
      <c r="F116" s="41">
        <f>COUNTIFS(赛事明细!$P$4:$P$2000,"已结算",赛事明细!$E$4:$E$2000,$A116,赛事明细!$Q$4:$Q$2000,"半黑")</f>
        <v/>
      </c>
      <c r="G116" s="41">
        <f>COUNTIFS(赛事明细!$P$4:$P$2000,"已结算",赛事明细!$E$4:$E$2000,$A116,赛事明细!$Q$4:$Q$2000,"黑")</f>
        <v/>
      </c>
      <c r="H116" s="89">
        <f>IFERROR((C116+0.5*D116)/(C116+0.5*D116+G116+0.5*F116),0)</f>
        <v/>
      </c>
      <c r="I116" s="81">
        <f>SUMIFS(赛事明细!$S$4:$S$2000,赛事明细!$P$4:$P$2000,"已结算",赛事明细!$E$4:$E$2000,$A116)</f>
        <v/>
      </c>
      <c r="J116" s="89">
        <f>IFERROR(I116/B116,0)</f>
        <v/>
      </c>
      <c r="K116" s="41">
        <f>IF(B116&lt;5,"样本&lt;5，谨慎解读","")</f>
        <v/>
      </c>
    </row>
    <row r="117" ht="24" customHeight="1" s="78">
      <c r="A117" s="41" t="inlineStr">
        <is>
          <t>玻利杯</t>
        </is>
      </c>
      <c r="B117" s="41">
        <f>COUNTIFS(赛事明细!$P$4:$P$2000,"已结算",赛事明细!$E$4:$E$2000,$A117)</f>
        <v/>
      </c>
      <c r="C117" s="41">
        <f>COUNTIFS(赛事明细!$P$4:$P$2000,"已结算",赛事明细!$E$4:$E$2000,$A117,赛事明细!$Q$4:$Q$2000,"红")</f>
        <v/>
      </c>
      <c r="D117" s="41">
        <f>COUNTIFS(赛事明细!$P$4:$P$2000,"已结算",赛事明细!$E$4:$E$2000,$A117,赛事明细!$Q$4:$Q$2000,"半红")</f>
        <v/>
      </c>
      <c r="E117" s="41">
        <f>COUNTIFS(赛事明细!$P$4:$P$2000,"已结算",赛事明细!$E$4:$E$2000,$A117,赛事明细!$Q$4:$Q$2000,"走")</f>
        <v/>
      </c>
      <c r="F117" s="41">
        <f>COUNTIFS(赛事明细!$P$4:$P$2000,"已结算",赛事明细!$E$4:$E$2000,$A117,赛事明细!$Q$4:$Q$2000,"半黑")</f>
        <v/>
      </c>
      <c r="G117" s="41">
        <f>COUNTIFS(赛事明细!$P$4:$P$2000,"已结算",赛事明细!$E$4:$E$2000,$A117,赛事明细!$Q$4:$Q$2000,"黑")</f>
        <v/>
      </c>
      <c r="H117" s="89">
        <f>IFERROR((C117+0.5*D117)/(C117+0.5*D117+G117+0.5*F117),0)</f>
        <v/>
      </c>
      <c r="I117" s="81">
        <f>SUMIFS(赛事明细!$S$4:$S$2000,赛事明细!$P$4:$P$2000,"已结算",赛事明细!$E$4:$E$2000,$A117)</f>
        <v/>
      </c>
      <c r="J117" s="89">
        <f>IFERROR(I117/B117,0)</f>
        <v/>
      </c>
      <c r="K117" s="41">
        <f>IF(B117&lt;5,"样本&lt;5，谨慎解读","")</f>
        <v/>
      </c>
    </row>
    <row r="118" ht="24" customHeight="1" s="78">
      <c r="A118" s="41" t="inlineStr">
        <is>
          <t>阿曼联</t>
        </is>
      </c>
      <c r="B118" s="41">
        <f>COUNTIFS(赛事明细!$P$4:$P$2000,"已结算",赛事明细!$E$4:$E$2000,$A118)</f>
        <v/>
      </c>
      <c r="C118" s="41">
        <f>COUNTIFS(赛事明细!$P$4:$P$2000,"已结算",赛事明细!$E$4:$E$2000,$A118,赛事明细!$Q$4:$Q$2000,"红")</f>
        <v/>
      </c>
      <c r="D118" s="41">
        <f>COUNTIFS(赛事明细!$P$4:$P$2000,"已结算",赛事明细!$E$4:$E$2000,$A118,赛事明细!$Q$4:$Q$2000,"半红")</f>
        <v/>
      </c>
      <c r="E118" s="41">
        <f>COUNTIFS(赛事明细!$P$4:$P$2000,"已结算",赛事明细!$E$4:$E$2000,$A118,赛事明细!$Q$4:$Q$2000,"走")</f>
        <v/>
      </c>
      <c r="F118" s="41">
        <f>COUNTIFS(赛事明细!$P$4:$P$2000,"已结算",赛事明细!$E$4:$E$2000,$A118,赛事明细!$Q$4:$Q$2000,"半黑")</f>
        <v/>
      </c>
      <c r="G118" s="41">
        <f>COUNTIFS(赛事明细!$P$4:$P$2000,"已结算",赛事明细!$E$4:$E$2000,$A118,赛事明细!$Q$4:$Q$2000,"黑")</f>
        <v/>
      </c>
      <c r="H118" s="89">
        <f>IFERROR((C118+0.5*D118)/(C118+0.5*D118+G118+0.5*F118),0)</f>
        <v/>
      </c>
      <c r="I118" s="81">
        <f>SUMIFS(赛事明细!$S$4:$S$2000,赛事明细!$P$4:$P$2000,"已结算",赛事明细!$E$4:$E$2000,$A118)</f>
        <v/>
      </c>
      <c r="J118" s="89">
        <f>IFERROR(I118/B118,0)</f>
        <v/>
      </c>
      <c r="K118" s="41">
        <f>IF(B118&lt;5,"样本&lt;5，谨慎解读","")</f>
        <v/>
      </c>
    </row>
    <row r="119" ht="24" customHeight="1" s="78">
      <c r="A119" s="41" t="inlineStr">
        <is>
          <t>丹麦杯</t>
        </is>
      </c>
      <c r="B119" s="41">
        <f>COUNTIFS(赛事明细!$P$4:$P$2000,"已结算",赛事明细!$E$4:$E$2000,$A119)</f>
        <v/>
      </c>
      <c r="C119" s="41">
        <f>COUNTIFS(赛事明细!$P$4:$P$2000,"已结算",赛事明细!$E$4:$E$2000,$A119,赛事明细!$Q$4:$Q$2000,"红")</f>
        <v/>
      </c>
      <c r="D119" s="41">
        <f>COUNTIFS(赛事明细!$P$4:$P$2000,"已结算",赛事明细!$E$4:$E$2000,$A119,赛事明细!$Q$4:$Q$2000,"半红")</f>
        <v/>
      </c>
      <c r="E119" s="41">
        <f>COUNTIFS(赛事明细!$P$4:$P$2000,"已结算",赛事明细!$E$4:$E$2000,$A119,赛事明细!$Q$4:$Q$2000,"走")</f>
        <v/>
      </c>
      <c r="F119" s="41">
        <f>COUNTIFS(赛事明细!$P$4:$P$2000,"已结算",赛事明细!$E$4:$E$2000,$A119,赛事明细!$Q$4:$Q$2000,"半黑")</f>
        <v/>
      </c>
      <c r="G119" s="41">
        <f>COUNTIFS(赛事明细!$P$4:$P$2000,"已结算",赛事明细!$E$4:$E$2000,$A119,赛事明细!$Q$4:$Q$2000,"黑")</f>
        <v/>
      </c>
      <c r="H119" s="89">
        <f>IFERROR((C119+0.5*D119)/(C119+0.5*D119+G119+0.5*F119),0)</f>
        <v/>
      </c>
      <c r="I119" s="81">
        <f>SUMIFS(赛事明细!$S$4:$S$2000,赛事明细!$P$4:$P$2000,"已结算",赛事明细!$E$4:$E$2000,$A119)</f>
        <v/>
      </c>
      <c r="J119" s="89">
        <f>IFERROR(I119/B119,0)</f>
        <v/>
      </c>
      <c r="K119" s="41">
        <f>IF(B119&lt;5,"样本&lt;5，谨慎解读","")</f>
        <v/>
      </c>
    </row>
    <row r="120" ht="24" customHeight="1" s="78">
      <c r="A120" s="41" t="inlineStr">
        <is>
          <t>拉脱超</t>
        </is>
      </c>
      <c r="B120" s="41">
        <f>COUNTIFS(赛事明细!$P$4:$P$2000,"已结算",赛事明细!$E$4:$E$2000,$A120)</f>
        <v/>
      </c>
      <c r="C120" s="41">
        <f>COUNTIFS(赛事明细!$P$4:$P$2000,"已结算",赛事明细!$E$4:$E$2000,$A120,赛事明细!$Q$4:$Q$2000,"红")</f>
        <v/>
      </c>
      <c r="D120" s="41">
        <f>COUNTIFS(赛事明细!$P$4:$P$2000,"已结算",赛事明细!$E$4:$E$2000,$A120,赛事明细!$Q$4:$Q$2000,"半红")</f>
        <v/>
      </c>
      <c r="E120" s="41">
        <f>COUNTIFS(赛事明细!$P$4:$P$2000,"已结算",赛事明细!$E$4:$E$2000,$A120,赛事明细!$Q$4:$Q$2000,"走")</f>
        <v/>
      </c>
      <c r="F120" s="41">
        <f>COUNTIFS(赛事明细!$P$4:$P$2000,"已结算",赛事明细!$E$4:$E$2000,$A120,赛事明细!$Q$4:$Q$2000,"半黑")</f>
        <v/>
      </c>
      <c r="G120" s="41">
        <f>COUNTIFS(赛事明细!$P$4:$P$2000,"已结算",赛事明细!$E$4:$E$2000,$A120,赛事明细!$Q$4:$Q$2000,"黑")</f>
        <v/>
      </c>
      <c r="H120" s="89">
        <f>IFERROR((C120+0.5*D120)/(C120+0.5*D120+G120+0.5*F120),0)</f>
        <v/>
      </c>
      <c r="I120" s="81">
        <f>SUMIFS(赛事明细!$S$4:$S$2000,赛事明细!$P$4:$P$2000,"已结算",赛事明细!$E$4:$E$2000,$A120)</f>
        <v/>
      </c>
      <c r="J120" s="89">
        <f>IFERROR(I120/B120,0)</f>
        <v/>
      </c>
      <c r="K120" s="41">
        <f>IF(B120&lt;5,"样本&lt;5，谨慎解读","")</f>
        <v/>
      </c>
    </row>
    <row r="121" ht="24" customHeight="1" s="78">
      <c r="A121" s="41" t="inlineStr">
        <is>
          <t>中美俱杯</t>
        </is>
      </c>
      <c r="B121" s="41">
        <f>COUNTIFS(赛事明细!$P$4:$P$2000,"已结算",赛事明细!$E$4:$E$2000,$A121)</f>
        <v/>
      </c>
      <c r="C121" s="41">
        <f>COUNTIFS(赛事明细!$P$4:$P$2000,"已结算",赛事明细!$E$4:$E$2000,$A121,赛事明细!$Q$4:$Q$2000,"红")</f>
        <v/>
      </c>
      <c r="D121" s="41">
        <f>COUNTIFS(赛事明细!$P$4:$P$2000,"已结算",赛事明细!$E$4:$E$2000,$A121,赛事明细!$Q$4:$Q$2000,"半红")</f>
        <v/>
      </c>
      <c r="E121" s="41">
        <f>COUNTIFS(赛事明细!$P$4:$P$2000,"已结算",赛事明细!$E$4:$E$2000,$A121,赛事明细!$Q$4:$Q$2000,"走")</f>
        <v/>
      </c>
      <c r="F121" s="41">
        <f>COUNTIFS(赛事明细!$P$4:$P$2000,"已结算",赛事明细!$E$4:$E$2000,$A121,赛事明细!$Q$4:$Q$2000,"半黑")</f>
        <v/>
      </c>
      <c r="G121" s="41">
        <f>COUNTIFS(赛事明细!$P$4:$P$2000,"已结算",赛事明细!$E$4:$E$2000,$A121,赛事明细!$Q$4:$Q$2000,"黑")</f>
        <v/>
      </c>
      <c r="H121" s="89">
        <f>IFERROR((C121+0.5*D121)/(C121+0.5*D121+G121+0.5*F121),0)</f>
        <v/>
      </c>
      <c r="I121" s="81">
        <f>SUMIFS(赛事明细!$S$4:$S$2000,赛事明细!$P$4:$P$2000,"已结算",赛事明细!$E$4:$E$2000,$A121)</f>
        <v/>
      </c>
      <c r="J121" s="89">
        <f>IFERROR(I121/B121,0)</f>
        <v/>
      </c>
      <c r="K121" s="41">
        <f>IF(B121&lt;5,"样本&lt;5，谨慎解读","")</f>
        <v/>
      </c>
    </row>
    <row r="122" ht="24" customHeight="1" s="78">
      <c r="A122" s="41" t="inlineStr">
        <is>
          <t>荷乙</t>
        </is>
      </c>
      <c r="B122" s="41">
        <f>COUNTIFS(赛事明细!$P$4:$P$2000,"已结算",赛事明细!$E$4:$E$2000,$A122)</f>
        <v/>
      </c>
      <c r="C122" s="41">
        <f>COUNTIFS(赛事明细!$P$4:$P$2000,"已结算",赛事明细!$E$4:$E$2000,$A122,赛事明细!$Q$4:$Q$2000,"红")</f>
        <v/>
      </c>
      <c r="D122" s="41">
        <f>COUNTIFS(赛事明细!$P$4:$P$2000,"已结算",赛事明细!$E$4:$E$2000,$A122,赛事明细!$Q$4:$Q$2000,"半红")</f>
        <v/>
      </c>
      <c r="E122" s="41">
        <f>COUNTIFS(赛事明细!$P$4:$P$2000,"已结算",赛事明细!$E$4:$E$2000,$A122,赛事明细!$Q$4:$Q$2000,"走")</f>
        <v/>
      </c>
      <c r="F122" s="41">
        <f>COUNTIFS(赛事明细!$P$4:$P$2000,"已结算",赛事明细!$E$4:$E$2000,$A122,赛事明细!$Q$4:$Q$2000,"半黑")</f>
        <v/>
      </c>
      <c r="G122" s="41">
        <f>COUNTIFS(赛事明细!$P$4:$P$2000,"已结算",赛事明细!$E$4:$E$2000,$A122,赛事明细!$Q$4:$Q$2000,"黑")</f>
        <v/>
      </c>
      <c r="H122" s="89">
        <f>IFERROR((C122+0.5*D122)/(C122+0.5*D122+G122+0.5*F122),0)</f>
        <v/>
      </c>
      <c r="I122" s="81">
        <f>SUMIFS(赛事明细!$S$4:$S$2000,赛事明细!$P$4:$P$2000,"已结算",赛事明细!$E$4:$E$2000,$A122)</f>
        <v/>
      </c>
      <c r="J122" s="89">
        <f>IFERROR(I122/B122,0)</f>
        <v/>
      </c>
      <c r="K122" s="41">
        <f>IF(B122&lt;5,"样本&lt;5，谨慎解读","")</f>
        <v/>
      </c>
    </row>
    <row r="123" ht="24" customHeight="1" s="78">
      <c r="A123" s="41" t="inlineStr">
        <is>
          <t>荷甲</t>
        </is>
      </c>
      <c r="B123" s="41">
        <f>COUNTIFS(赛事明细!$P$4:$P$2000,"已结算",赛事明细!$E$4:$E$2000,$A123)</f>
        <v/>
      </c>
      <c r="C123" s="41">
        <f>COUNTIFS(赛事明细!$P$4:$P$2000,"已结算",赛事明细!$E$4:$E$2000,$A123,赛事明细!$Q$4:$Q$2000,"红")</f>
        <v/>
      </c>
      <c r="D123" s="41">
        <f>COUNTIFS(赛事明细!$P$4:$P$2000,"已结算",赛事明细!$E$4:$E$2000,$A123,赛事明细!$Q$4:$Q$2000,"半红")</f>
        <v/>
      </c>
      <c r="E123" s="41">
        <f>COUNTIFS(赛事明细!$P$4:$P$2000,"已结算",赛事明细!$E$4:$E$2000,$A123,赛事明细!$Q$4:$Q$2000,"走")</f>
        <v/>
      </c>
      <c r="F123" s="41">
        <f>COUNTIFS(赛事明细!$P$4:$P$2000,"已结算",赛事明细!$E$4:$E$2000,$A123,赛事明细!$Q$4:$Q$2000,"半黑")</f>
        <v/>
      </c>
      <c r="G123" s="41">
        <f>COUNTIFS(赛事明细!$P$4:$P$2000,"已结算",赛事明细!$E$4:$E$2000,$A123,赛事明细!$Q$4:$Q$2000,"黑")</f>
        <v/>
      </c>
      <c r="H123" s="89">
        <f>IFERROR((C123+0.5*D123)/(C123+0.5*D123+G123+0.5*F123),0)</f>
        <v/>
      </c>
      <c r="I123" s="81">
        <f>SUMIFS(赛事明细!$S$4:$S$2000,赛事明细!$P$4:$P$2000,"已结算",赛事明细!$E$4:$E$2000,$A123)</f>
        <v/>
      </c>
      <c r="J123" s="89">
        <f>IFERROR(I123/B123,0)</f>
        <v/>
      </c>
      <c r="K123" s="41">
        <f>IF(B123&lt;5,"样本&lt;5，谨慎解读","")</f>
        <v/>
      </c>
    </row>
    <row r="124" ht="24" customHeight="1" s="78">
      <c r="A124" s="41" t="inlineStr">
        <is>
          <t>苏联杯</t>
        </is>
      </c>
      <c r="B124" s="41">
        <f>COUNTIFS(赛事明细!$P$4:$P$2000,"已结算",赛事明细!$E$4:$E$2000,$A124)</f>
        <v/>
      </c>
      <c r="C124" s="41">
        <f>COUNTIFS(赛事明细!$P$4:$P$2000,"已结算",赛事明细!$E$4:$E$2000,$A124,赛事明细!$Q$4:$Q$2000,"红")</f>
        <v/>
      </c>
      <c r="D124" s="41">
        <f>COUNTIFS(赛事明细!$P$4:$P$2000,"已结算",赛事明细!$E$4:$E$2000,$A124,赛事明细!$Q$4:$Q$2000,"半红")</f>
        <v/>
      </c>
      <c r="E124" s="41">
        <f>COUNTIFS(赛事明细!$P$4:$P$2000,"已结算",赛事明细!$E$4:$E$2000,$A124,赛事明细!$Q$4:$Q$2000,"走")</f>
        <v/>
      </c>
      <c r="F124" s="41">
        <f>COUNTIFS(赛事明细!$P$4:$P$2000,"已结算",赛事明细!$E$4:$E$2000,$A124,赛事明细!$Q$4:$Q$2000,"半黑")</f>
        <v/>
      </c>
      <c r="G124" s="41">
        <f>COUNTIFS(赛事明细!$P$4:$P$2000,"已结算",赛事明细!$E$4:$E$2000,$A124,赛事明细!$Q$4:$Q$2000,"黑")</f>
        <v/>
      </c>
      <c r="H124" s="89">
        <f>IFERROR((C124+0.5*D124)/(C124+0.5*D124+G124+0.5*F124),0)</f>
        <v/>
      </c>
      <c r="I124" s="81">
        <f>SUMIFS(赛事明细!$S$4:$S$2000,赛事明细!$P$4:$P$2000,"已结算",赛事明细!$E$4:$E$2000,$A124)</f>
        <v/>
      </c>
      <c r="J124" s="89">
        <f>IFERROR(I124/B124,0)</f>
        <v/>
      </c>
      <c r="K124" s="41">
        <f>IF(B124&lt;5,"样本&lt;5，谨慎解读","")</f>
        <v/>
      </c>
    </row>
    <row r="125" ht="24" customHeight="1" s="78">
      <c r="A125" s="41" t="inlineStr">
        <is>
          <t>瑞士甲</t>
        </is>
      </c>
      <c r="B125" s="41">
        <f>COUNTIFS(赛事明细!$P$4:$P$2000,"已结算",赛事明细!$E$4:$E$2000,$A125)</f>
        <v/>
      </c>
      <c r="C125" s="41">
        <f>COUNTIFS(赛事明细!$P$4:$P$2000,"已结算",赛事明细!$E$4:$E$2000,$A125,赛事明细!$Q$4:$Q$2000,"红")</f>
        <v/>
      </c>
      <c r="D125" s="41">
        <f>COUNTIFS(赛事明细!$P$4:$P$2000,"已结算",赛事明细!$E$4:$E$2000,$A125,赛事明细!$Q$4:$Q$2000,"半红")</f>
        <v/>
      </c>
      <c r="E125" s="41">
        <f>COUNTIFS(赛事明细!$P$4:$P$2000,"已结算",赛事明细!$E$4:$E$2000,$A125,赛事明细!$Q$4:$Q$2000,"走")</f>
        <v/>
      </c>
      <c r="F125" s="41">
        <f>COUNTIFS(赛事明细!$P$4:$P$2000,"已结算",赛事明细!$E$4:$E$2000,$A125,赛事明细!$Q$4:$Q$2000,"半黑")</f>
        <v/>
      </c>
      <c r="G125" s="41">
        <f>COUNTIFS(赛事明细!$P$4:$P$2000,"已结算",赛事明细!$E$4:$E$2000,$A125,赛事明细!$Q$4:$Q$2000,"黑")</f>
        <v/>
      </c>
      <c r="H125" s="89">
        <f>IFERROR((C125+0.5*D125)/(C125+0.5*D125+G125+0.5*F125),0)</f>
        <v/>
      </c>
      <c r="I125" s="81">
        <f>SUMIFS(赛事明细!$S$4:$S$2000,赛事明细!$P$4:$P$2000,"已结算",赛事明细!$E$4:$E$2000,$A125)</f>
        <v/>
      </c>
      <c r="J125" s="89">
        <f>IFERROR(I125/B125,0)</f>
        <v/>
      </c>
      <c r="K125" s="41">
        <f>IF(B125&lt;5,"样本&lt;5，谨慎解读","")</f>
        <v/>
      </c>
    </row>
    <row r="126" ht="24" customHeight="1" s="78">
      <c r="A126" s="41" t="inlineStr">
        <is>
          <t>女日联杯</t>
        </is>
      </c>
      <c r="B126" s="41">
        <f>COUNTIFS(赛事明细!$P$4:$P$2000,"已结算",赛事明细!$E$4:$E$2000,$A126)</f>
        <v/>
      </c>
      <c r="C126" s="41">
        <f>COUNTIFS(赛事明细!$P$4:$P$2000,"已结算",赛事明细!$E$4:$E$2000,$A126,赛事明细!$Q$4:$Q$2000,"红")</f>
        <v/>
      </c>
      <c r="D126" s="41">
        <f>COUNTIFS(赛事明细!$P$4:$P$2000,"已结算",赛事明细!$E$4:$E$2000,$A126,赛事明细!$Q$4:$Q$2000,"半红")</f>
        <v/>
      </c>
      <c r="E126" s="41">
        <f>COUNTIFS(赛事明细!$P$4:$P$2000,"已结算",赛事明细!$E$4:$E$2000,$A126,赛事明细!$Q$4:$Q$2000,"走")</f>
        <v/>
      </c>
      <c r="F126" s="41">
        <f>COUNTIFS(赛事明细!$P$4:$P$2000,"已结算",赛事明细!$E$4:$E$2000,$A126,赛事明细!$Q$4:$Q$2000,"半黑")</f>
        <v/>
      </c>
      <c r="G126" s="41">
        <f>COUNTIFS(赛事明细!$P$4:$P$2000,"已结算",赛事明细!$E$4:$E$2000,$A126,赛事明细!$Q$4:$Q$2000,"黑")</f>
        <v/>
      </c>
      <c r="H126" s="89">
        <f>IFERROR((C126+0.5*D126)/(C126+0.5*D126+G126+0.5*F126),0)</f>
        <v/>
      </c>
      <c r="I126" s="81">
        <f>SUMIFS(赛事明细!$S$4:$S$2000,赛事明细!$P$4:$P$2000,"已结算",赛事明细!$E$4:$E$2000,$A126)</f>
        <v/>
      </c>
      <c r="J126" s="89">
        <f>IFERROR(I126/B126,0)</f>
        <v/>
      </c>
      <c r="K126" s="41">
        <f>IF(B126&lt;5,"样本&lt;5，谨慎解读","")</f>
        <v/>
      </c>
    </row>
    <row r="127" ht="24" customHeight="1" s="78">
      <c r="A127" s="41" t="inlineStr">
        <is>
          <t>葡甲</t>
        </is>
      </c>
      <c r="B127" s="41">
        <f>COUNTIFS(赛事明细!$P$4:$P$2000,"已结算",赛事明细!$E$4:$E$2000,$A127)</f>
        <v/>
      </c>
      <c r="C127" s="41">
        <f>COUNTIFS(赛事明细!$P$4:$P$2000,"已结算",赛事明细!$E$4:$E$2000,$A127,赛事明细!$Q$4:$Q$2000,"红")</f>
        <v/>
      </c>
      <c r="D127" s="41">
        <f>COUNTIFS(赛事明细!$P$4:$P$2000,"已结算",赛事明细!$E$4:$E$2000,$A127,赛事明细!$Q$4:$Q$2000,"半红")</f>
        <v/>
      </c>
      <c r="E127" s="41">
        <f>COUNTIFS(赛事明细!$P$4:$P$2000,"已结算",赛事明细!$E$4:$E$2000,$A127,赛事明细!$Q$4:$Q$2000,"走")</f>
        <v/>
      </c>
      <c r="F127" s="41">
        <f>COUNTIFS(赛事明细!$P$4:$P$2000,"已结算",赛事明细!$E$4:$E$2000,$A127,赛事明细!$Q$4:$Q$2000,"半黑")</f>
        <v/>
      </c>
      <c r="G127" s="41">
        <f>COUNTIFS(赛事明细!$P$4:$P$2000,"已结算",赛事明细!$E$4:$E$2000,$A127,赛事明细!$Q$4:$Q$2000,"黑")</f>
        <v/>
      </c>
      <c r="H127" s="89">
        <f>IFERROR((C127+0.5*D127)/(C127+0.5*D127+G127+0.5*F127),0)</f>
        <v/>
      </c>
      <c r="I127" s="81">
        <f>SUMIFS(赛事明细!$S$4:$S$2000,赛事明细!$P$4:$P$2000,"已结算",赛事明细!$E$4:$E$2000,$A127)</f>
        <v/>
      </c>
      <c r="J127" s="89">
        <f>IFERROR(I127/B127,0)</f>
        <v/>
      </c>
      <c r="K127" s="41">
        <f>IF(B127&lt;5,"样本&lt;5，谨慎解读","")</f>
        <v/>
      </c>
    </row>
    <row r="128" ht="24" customHeight="1" s="78">
      <c r="A128" s="41" t="inlineStr">
        <is>
          <t>土超</t>
        </is>
      </c>
      <c r="B128" s="41">
        <f>COUNTIFS(赛事明细!$P$4:$P$2000,"已结算",赛事明细!$E$4:$E$2000,$A128)</f>
        <v/>
      </c>
      <c r="C128" s="41">
        <f>COUNTIFS(赛事明细!$P$4:$P$2000,"已结算",赛事明细!$E$4:$E$2000,$A128,赛事明细!$Q$4:$Q$2000,"红")</f>
        <v/>
      </c>
      <c r="D128" s="41">
        <f>COUNTIFS(赛事明细!$P$4:$P$2000,"已结算",赛事明细!$E$4:$E$2000,$A128,赛事明细!$Q$4:$Q$2000,"半红")</f>
        <v/>
      </c>
      <c r="E128" s="41">
        <f>COUNTIFS(赛事明细!$P$4:$P$2000,"已结算",赛事明细!$E$4:$E$2000,$A128,赛事明细!$Q$4:$Q$2000,"走")</f>
        <v/>
      </c>
      <c r="F128" s="41">
        <f>COUNTIFS(赛事明细!$P$4:$P$2000,"已结算",赛事明细!$E$4:$E$2000,$A128,赛事明细!$Q$4:$Q$2000,"半黑")</f>
        <v/>
      </c>
      <c r="G128" s="41">
        <f>COUNTIFS(赛事明细!$P$4:$P$2000,"已结算",赛事明细!$E$4:$E$2000,$A128,赛事明细!$Q$4:$Q$2000,"黑")</f>
        <v/>
      </c>
      <c r="H128" s="89">
        <f>IFERROR((C128+0.5*D128)/(C128+0.5*D128+G128+0.5*F128),0)</f>
        <v/>
      </c>
      <c r="I128" s="81">
        <f>SUMIFS(赛事明细!$S$4:$S$2000,赛事明细!$P$4:$P$2000,"已结算",赛事明细!$E$4:$E$2000,$A128)</f>
        <v/>
      </c>
      <c r="J128" s="89">
        <f>IFERROR(I128/B128,0)</f>
        <v/>
      </c>
      <c r="K128" s="41">
        <f>IF(B128&lt;5,"样本&lt;5，谨慎解读","")</f>
        <v/>
      </c>
    </row>
    <row r="129" ht="24" customHeight="1" s="78">
      <c r="A129" s="41" t="inlineStr">
        <is>
          <t>欧罗巴杯</t>
        </is>
      </c>
      <c r="B129" s="41">
        <f>COUNTIFS(赛事明细!$P$4:$P$2000,"已结算",赛事明细!$E$4:$E$2000,$A129)</f>
        <v/>
      </c>
      <c r="C129" s="41">
        <f>COUNTIFS(赛事明细!$P$4:$P$2000,"已结算",赛事明细!$E$4:$E$2000,$A129,赛事明细!$Q$4:$Q$2000,"红")</f>
        <v/>
      </c>
      <c r="D129" s="41">
        <f>COUNTIFS(赛事明细!$P$4:$P$2000,"已结算",赛事明细!$E$4:$E$2000,$A129,赛事明细!$Q$4:$Q$2000,"半红")</f>
        <v/>
      </c>
      <c r="E129" s="41">
        <f>COUNTIFS(赛事明细!$P$4:$P$2000,"已结算",赛事明细!$E$4:$E$2000,$A129,赛事明细!$Q$4:$Q$2000,"走")</f>
        <v/>
      </c>
      <c r="F129" s="41">
        <f>COUNTIFS(赛事明细!$P$4:$P$2000,"已结算",赛事明细!$E$4:$E$2000,$A129,赛事明细!$Q$4:$Q$2000,"半黑")</f>
        <v/>
      </c>
      <c r="G129" s="41">
        <f>COUNTIFS(赛事明细!$P$4:$P$2000,"已结算",赛事明细!$E$4:$E$2000,$A129,赛事明细!$Q$4:$Q$2000,"黑")</f>
        <v/>
      </c>
      <c r="H129" s="89">
        <f>IFERROR((C129+0.5*D129)/(C129+0.5*D129+G129+0.5*F129),0)</f>
        <v/>
      </c>
      <c r="I129" s="81">
        <f>SUMIFS(赛事明细!$S$4:$S$2000,赛事明细!$P$4:$P$2000,"已结算",赛事明细!$E$4:$E$2000,$A129)</f>
        <v/>
      </c>
      <c r="J129" s="89">
        <f>IFERROR(I129/B129,0)</f>
        <v/>
      </c>
      <c r="K129" s="41">
        <f>IF(B129&lt;5,"样本&lt;5，谨慎解读","")</f>
        <v/>
      </c>
    </row>
    <row r="130" ht="24" customHeight="1" s="78">
      <c r="A130" s="41" t="inlineStr">
        <is>
          <t>首相杯</t>
        </is>
      </c>
      <c r="B130" s="41">
        <f>COUNTIFS(赛事明细!$P$4:$P$2000,"已结算",赛事明细!$E$4:$E$2000,$A130)</f>
        <v/>
      </c>
      <c r="C130" s="41">
        <f>COUNTIFS(赛事明细!$P$4:$P$2000,"已结算",赛事明细!$E$4:$E$2000,$A130,赛事明细!$Q$4:$Q$2000,"红")</f>
        <v/>
      </c>
      <c r="D130" s="41">
        <f>COUNTIFS(赛事明细!$P$4:$P$2000,"已结算",赛事明细!$E$4:$E$2000,$A130,赛事明细!$Q$4:$Q$2000,"半红")</f>
        <v/>
      </c>
      <c r="E130" s="41">
        <f>COUNTIFS(赛事明细!$P$4:$P$2000,"已结算",赛事明细!$E$4:$E$2000,$A130,赛事明细!$Q$4:$Q$2000,"走")</f>
        <v/>
      </c>
      <c r="F130" s="41">
        <f>COUNTIFS(赛事明细!$P$4:$P$2000,"已结算",赛事明细!$E$4:$E$2000,$A130,赛事明细!$Q$4:$Q$2000,"半黑")</f>
        <v/>
      </c>
      <c r="G130" s="41">
        <f>COUNTIFS(赛事明细!$P$4:$P$2000,"已结算",赛事明细!$E$4:$E$2000,$A130,赛事明细!$Q$4:$Q$2000,"黑")</f>
        <v/>
      </c>
      <c r="H130" s="89">
        <f>IFERROR((C130+0.5*D130)/(C130+0.5*D130+G130+0.5*F130),0)</f>
        <v/>
      </c>
      <c r="I130" s="81">
        <f>SUMIFS(赛事明细!$S$4:$S$2000,赛事明细!$P$4:$P$2000,"已结算",赛事明细!$E$4:$E$2000,$A130)</f>
        <v/>
      </c>
      <c r="J130" s="89">
        <f>IFERROR(I130/B130,0)</f>
        <v/>
      </c>
      <c r="K130" s="41">
        <f>IF(B130&lt;5,"样本&lt;5，谨慎解读","")</f>
        <v/>
      </c>
    </row>
    <row r="131" ht="24" customHeight="1" s="78">
      <c r="A131" s="41" t="inlineStr">
        <is>
          <t>越南杯</t>
        </is>
      </c>
      <c r="B131" s="41">
        <f>COUNTIFS(赛事明细!$P$4:$P$2000,"已结算",赛事明细!$E$4:$E$2000,$A131)</f>
        <v/>
      </c>
      <c r="C131" s="41">
        <f>COUNTIFS(赛事明细!$P$4:$P$2000,"已结算",赛事明细!$E$4:$E$2000,$A131,赛事明细!$Q$4:$Q$2000,"红")</f>
        <v/>
      </c>
      <c r="D131" s="41">
        <f>COUNTIFS(赛事明细!$P$4:$P$2000,"已结算",赛事明细!$E$4:$E$2000,$A131,赛事明细!$Q$4:$Q$2000,"半红")</f>
        <v/>
      </c>
      <c r="E131" s="41">
        <f>COUNTIFS(赛事明细!$P$4:$P$2000,"已结算",赛事明细!$E$4:$E$2000,$A131,赛事明细!$Q$4:$Q$2000,"走")</f>
        <v/>
      </c>
      <c r="F131" s="41">
        <f>COUNTIFS(赛事明细!$P$4:$P$2000,"已结算",赛事明细!$E$4:$E$2000,$A131,赛事明细!$Q$4:$Q$2000,"半黑")</f>
        <v/>
      </c>
      <c r="G131" s="41">
        <f>COUNTIFS(赛事明细!$P$4:$P$2000,"已结算",赛事明细!$E$4:$E$2000,$A131,赛事明细!$Q$4:$Q$2000,"黑")</f>
        <v/>
      </c>
      <c r="H131" s="89">
        <f>IFERROR((C131+0.5*D131)/(C131+0.5*D131+G131+0.5*F131),0)</f>
        <v/>
      </c>
      <c r="I131" s="81">
        <f>SUMIFS(赛事明细!$S$4:$S$2000,赛事明细!$P$4:$P$2000,"已结算",赛事明细!$E$4:$E$2000,$A131)</f>
        <v/>
      </c>
      <c r="J131" s="89">
        <f>IFERROR(I131/B131,0)</f>
        <v/>
      </c>
      <c r="K131" s="41">
        <f>IF(B131&lt;5,"样本&lt;5，谨慎解读","")</f>
        <v/>
      </c>
    </row>
    <row r="132" ht="24" customHeight="1" s="78">
      <c r="A132" s="41" t="inlineStr">
        <is>
          <t>葡杯</t>
        </is>
      </c>
      <c r="B132" s="41">
        <f>COUNTIFS(赛事明细!$P$4:$P$2000,"已结算",赛事明细!$E$4:$E$2000,$A132)</f>
        <v/>
      </c>
      <c r="C132" s="41">
        <f>COUNTIFS(赛事明细!$P$4:$P$2000,"已结算",赛事明细!$E$4:$E$2000,$A132,赛事明细!$Q$4:$Q$2000,"红")</f>
        <v/>
      </c>
      <c r="D132" s="41">
        <f>COUNTIFS(赛事明细!$P$4:$P$2000,"已结算",赛事明细!$E$4:$E$2000,$A132,赛事明细!$Q$4:$Q$2000,"半红")</f>
        <v/>
      </c>
      <c r="E132" s="41">
        <f>COUNTIFS(赛事明细!$P$4:$P$2000,"已结算",赛事明细!$E$4:$E$2000,$A132,赛事明细!$Q$4:$Q$2000,"走")</f>
        <v/>
      </c>
      <c r="F132" s="41">
        <f>COUNTIFS(赛事明细!$P$4:$P$2000,"已结算",赛事明细!$E$4:$E$2000,$A132,赛事明细!$Q$4:$Q$2000,"半黑")</f>
        <v/>
      </c>
      <c r="G132" s="41">
        <f>COUNTIFS(赛事明细!$P$4:$P$2000,"已结算",赛事明细!$E$4:$E$2000,$A132,赛事明细!$Q$4:$Q$2000,"黑")</f>
        <v/>
      </c>
      <c r="H132" s="89">
        <f>IFERROR((C132+0.5*D132)/(C132+0.5*D132+G132+0.5*F132),0)</f>
        <v/>
      </c>
      <c r="I132" s="81">
        <f>SUMIFS(赛事明细!$S$4:$S$2000,赛事明细!$P$4:$P$2000,"已结算",赛事明细!$E$4:$E$2000,$A132)</f>
        <v/>
      </c>
      <c r="J132" s="89">
        <f>IFERROR(I132/B132,0)</f>
        <v/>
      </c>
      <c r="K132" s="41">
        <f>IF(B132&lt;5,"样本&lt;5，谨慎解读","")</f>
        <v/>
      </c>
    </row>
    <row r="133" ht="24" customHeight="1" s="78">
      <c r="A133" s="41" t="inlineStr">
        <is>
          <t>日皇杯</t>
        </is>
      </c>
      <c r="B133" s="41">
        <f>COUNTIFS(赛事明细!$P$4:$P$2000,"已结算",赛事明细!$E$4:$E$2000,$A133)</f>
        <v/>
      </c>
      <c r="C133" s="41">
        <f>COUNTIFS(赛事明细!$P$4:$P$2000,"已结算",赛事明细!$E$4:$E$2000,$A133,赛事明细!$Q$4:$Q$2000,"红")</f>
        <v/>
      </c>
      <c r="D133" s="41">
        <f>COUNTIFS(赛事明细!$P$4:$P$2000,"已结算",赛事明细!$E$4:$E$2000,$A133,赛事明细!$Q$4:$Q$2000,"半红")</f>
        <v/>
      </c>
      <c r="E133" s="41">
        <f>COUNTIFS(赛事明细!$P$4:$P$2000,"已结算",赛事明细!$E$4:$E$2000,$A133,赛事明细!$Q$4:$Q$2000,"走")</f>
        <v/>
      </c>
      <c r="F133" s="41">
        <f>COUNTIFS(赛事明细!$P$4:$P$2000,"已结算",赛事明细!$E$4:$E$2000,$A133,赛事明细!$Q$4:$Q$2000,"半黑")</f>
        <v/>
      </c>
      <c r="G133" s="41">
        <f>COUNTIFS(赛事明细!$P$4:$P$2000,"已结算",赛事明细!$E$4:$E$2000,$A133,赛事明细!$Q$4:$Q$2000,"黑")</f>
        <v/>
      </c>
      <c r="H133" s="89">
        <f>IFERROR((C133+0.5*D133)/(C133+0.5*D133+G133+0.5*F133),0)</f>
        <v/>
      </c>
      <c r="I133" s="81">
        <f>SUMIFS(赛事明细!$S$4:$S$2000,赛事明细!$P$4:$P$2000,"已结算",赛事明细!$E$4:$E$2000,$A133)</f>
        <v/>
      </c>
      <c r="J133" s="89">
        <f>IFERROR(I133/B133,0)</f>
        <v/>
      </c>
      <c r="K133" s="41">
        <f>IF(B133&lt;5,"样本&lt;5，谨慎解读","")</f>
        <v/>
      </c>
    </row>
    <row r="134" ht="24" customHeight="1" s="78">
      <c r="A134" s="41" t="inlineStr">
        <is>
          <t>里约杯</t>
        </is>
      </c>
      <c r="B134" s="41">
        <f>COUNTIFS(赛事明细!$P$4:$P$2000,"已结算",赛事明细!$E$4:$E$2000,$A134)</f>
        <v/>
      </c>
      <c r="C134" s="41">
        <f>COUNTIFS(赛事明细!$P$4:$P$2000,"已结算",赛事明细!$E$4:$E$2000,$A134,赛事明细!$Q$4:$Q$2000,"红")</f>
        <v/>
      </c>
      <c r="D134" s="41">
        <f>COUNTIFS(赛事明细!$P$4:$P$2000,"已结算",赛事明细!$E$4:$E$2000,$A134,赛事明细!$Q$4:$Q$2000,"半红")</f>
        <v/>
      </c>
      <c r="E134" s="41">
        <f>COUNTIFS(赛事明细!$P$4:$P$2000,"已结算",赛事明细!$E$4:$E$2000,$A134,赛事明细!$Q$4:$Q$2000,"走")</f>
        <v/>
      </c>
      <c r="F134" s="41">
        <f>COUNTIFS(赛事明细!$P$4:$P$2000,"已结算",赛事明细!$E$4:$E$2000,$A134,赛事明细!$Q$4:$Q$2000,"半黑")</f>
        <v/>
      </c>
      <c r="G134" s="41">
        <f>COUNTIFS(赛事明细!$P$4:$P$2000,"已结算",赛事明细!$E$4:$E$2000,$A134,赛事明细!$Q$4:$Q$2000,"黑")</f>
        <v/>
      </c>
      <c r="H134" s="89">
        <f>IFERROR((C134+0.5*D134)/(C134+0.5*D134+G134+0.5*F134),0)</f>
        <v/>
      </c>
      <c r="I134" s="81">
        <f>SUMIFS(赛事明细!$S$4:$S$2000,赛事明细!$P$4:$P$2000,"已结算",赛事明细!$E$4:$E$2000,$A134)</f>
        <v/>
      </c>
      <c r="J134" s="89">
        <f>IFERROR(I134/B134,0)</f>
        <v/>
      </c>
      <c r="K134" s="41">
        <f>IF(B134&lt;5,"样本&lt;5，谨慎解读","")</f>
        <v/>
      </c>
    </row>
    <row r="135" ht="24" customHeight="1" s="78">
      <c r="A135" s="41" t="inlineStr">
        <is>
          <t>英女杯</t>
        </is>
      </c>
      <c r="B135" s="41">
        <f>COUNTIFS(赛事明细!$P$4:$P$2000,"已结算",赛事明细!$E$4:$E$2000,$A135)</f>
        <v/>
      </c>
      <c r="C135" s="41">
        <f>COUNTIFS(赛事明细!$P$4:$P$2000,"已结算",赛事明细!$E$4:$E$2000,$A135,赛事明细!$Q$4:$Q$2000,"红")</f>
        <v/>
      </c>
      <c r="D135" s="41">
        <f>COUNTIFS(赛事明细!$P$4:$P$2000,"已结算",赛事明细!$E$4:$E$2000,$A135,赛事明细!$Q$4:$Q$2000,"半红")</f>
        <v/>
      </c>
      <c r="E135" s="41">
        <f>COUNTIFS(赛事明细!$P$4:$P$2000,"已结算",赛事明细!$E$4:$E$2000,$A135,赛事明细!$Q$4:$Q$2000,"走")</f>
        <v/>
      </c>
      <c r="F135" s="41">
        <f>COUNTIFS(赛事明细!$P$4:$P$2000,"已结算",赛事明细!$E$4:$E$2000,$A135,赛事明细!$Q$4:$Q$2000,"半黑")</f>
        <v/>
      </c>
      <c r="G135" s="41">
        <f>COUNTIFS(赛事明细!$P$4:$P$2000,"已结算",赛事明细!$E$4:$E$2000,$A135,赛事明细!$Q$4:$Q$2000,"黑")</f>
        <v/>
      </c>
      <c r="H135" s="89">
        <f>IFERROR((C135+0.5*D135)/(C135+0.5*D135+G135+0.5*F135),0)</f>
        <v/>
      </c>
      <c r="I135" s="81">
        <f>SUMIFS(赛事明细!$S$4:$S$2000,赛事明细!$P$4:$P$2000,"已结算",赛事明细!$E$4:$E$2000,$A135)</f>
        <v/>
      </c>
      <c r="J135" s="89">
        <f>IFERROR(I135/B135,0)</f>
        <v/>
      </c>
      <c r="K135" s="41">
        <f>IF(B135&lt;5,"样本&lt;5，谨慎解读","")</f>
        <v/>
      </c>
    </row>
    <row r="136" ht="24" customHeight="1" s="78">
      <c r="A136" s="41" t="inlineStr">
        <is>
          <t>中北美国联</t>
        </is>
      </c>
      <c r="B136" s="41">
        <f>COUNTIFS(赛事明细!$P$4:$P$2000,"已结算",赛事明细!$E$4:$E$2000,$A136)</f>
        <v/>
      </c>
      <c r="C136" s="41">
        <f>COUNTIFS(赛事明细!$P$4:$P$2000,"已结算",赛事明细!$E$4:$E$2000,$A136,赛事明细!$Q$4:$Q$2000,"红")</f>
        <v/>
      </c>
      <c r="D136" s="41">
        <f>COUNTIFS(赛事明细!$P$4:$P$2000,"已结算",赛事明细!$E$4:$E$2000,$A136,赛事明细!$Q$4:$Q$2000,"半红")</f>
        <v/>
      </c>
      <c r="E136" s="41">
        <f>COUNTIFS(赛事明细!$P$4:$P$2000,"已结算",赛事明细!$E$4:$E$2000,$A136,赛事明细!$Q$4:$Q$2000,"走")</f>
        <v/>
      </c>
      <c r="F136" s="41">
        <f>COUNTIFS(赛事明细!$P$4:$P$2000,"已结算",赛事明细!$E$4:$E$2000,$A136,赛事明细!$Q$4:$Q$2000,"半黑")</f>
        <v/>
      </c>
      <c r="G136" s="41">
        <f>COUNTIFS(赛事明细!$P$4:$P$2000,"已结算",赛事明细!$E$4:$E$2000,$A136,赛事明细!$Q$4:$Q$2000,"黑")</f>
        <v/>
      </c>
      <c r="H136" s="89">
        <f>IFERROR((C136+0.5*D136)/(C136+0.5*D136+G136+0.5*F136),0)</f>
        <v/>
      </c>
      <c r="I136" s="81">
        <f>SUMIFS(赛事明细!$S$4:$S$2000,赛事明细!$P$4:$P$2000,"已结算",赛事明细!$E$4:$E$2000,$A136)</f>
        <v/>
      </c>
      <c r="J136" s="89">
        <f>IFERROR(I136/B136,0)</f>
        <v/>
      </c>
      <c r="K136" s="41">
        <f>IF(B136&lt;5,"样本&lt;5，谨慎解读","")</f>
        <v/>
      </c>
    </row>
    <row r="137" ht="24" customHeight="1" s="78">
      <c r="A137" s="41" t="inlineStr">
        <is>
          <t>非洲杯</t>
        </is>
      </c>
      <c r="B137" s="41">
        <f>COUNTIFS(赛事明细!$P$4:$P$2000,"已结算",赛事明细!$E$4:$E$2000,$A137)</f>
        <v/>
      </c>
      <c r="C137" s="41">
        <f>COUNTIFS(赛事明细!$P$4:$P$2000,"已结算",赛事明细!$E$4:$E$2000,$A137,赛事明细!$Q$4:$Q$2000,"红")</f>
        <v/>
      </c>
      <c r="D137" s="41">
        <f>COUNTIFS(赛事明细!$P$4:$P$2000,"已结算",赛事明细!$E$4:$E$2000,$A137,赛事明细!$Q$4:$Q$2000,"半红")</f>
        <v/>
      </c>
      <c r="E137" s="41">
        <f>COUNTIFS(赛事明细!$P$4:$P$2000,"已结算",赛事明细!$E$4:$E$2000,$A137,赛事明细!$Q$4:$Q$2000,"走")</f>
        <v/>
      </c>
      <c r="F137" s="41">
        <f>COUNTIFS(赛事明细!$P$4:$P$2000,"已结算",赛事明细!$E$4:$E$2000,$A137,赛事明细!$Q$4:$Q$2000,"半黑")</f>
        <v/>
      </c>
      <c r="G137" s="41">
        <f>COUNTIFS(赛事明细!$P$4:$P$2000,"已结算",赛事明细!$E$4:$E$2000,$A137,赛事明细!$Q$4:$Q$2000,"黑")</f>
        <v/>
      </c>
      <c r="H137" s="89">
        <f>IFERROR((C137+0.5*D137)/(C137+0.5*D137+G137+0.5*F137),0)</f>
        <v/>
      </c>
      <c r="I137" s="81">
        <f>SUMIFS(赛事明细!$S$4:$S$2000,赛事明细!$P$4:$P$2000,"已结算",赛事明细!$E$4:$E$2000,$A137)</f>
        <v/>
      </c>
      <c r="J137" s="89">
        <f>IFERROR(I137/B137,0)</f>
        <v/>
      </c>
      <c r="K137" s="41">
        <f>IF(B137&lt;5,"样本&lt;5，谨慎解读","")</f>
        <v/>
      </c>
    </row>
    <row r="138" ht="24" customHeight="1" s="78">
      <c r="A138" s="41" t="inlineStr">
        <is>
          <t>东盟杯</t>
        </is>
      </c>
      <c r="B138" s="41">
        <f>COUNTIFS(赛事明细!$P$4:$P$2000,"已结算",赛事明细!$E$4:$E$2000,$A138)</f>
        <v/>
      </c>
      <c r="C138" s="41">
        <f>COUNTIFS(赛事明细!$P$4:$P$2000,"已结算",赛事明细!$E$4:$E$2000,$A138,赛事明细!$Q$4:$Q$2000,"红")</f>
        <v/>
      </c>
      <c r="D138" s="41">
        <f>COUNTIFS(赛事明细!$P$4:$P$2000,"已结算",赛事明细!$E$4:$E$2000,$A138,赛事明细!$Q$4:$Q$2000,"半红")</f>
        <v/>
      </c>
      <c r="E138" s="41">
        <f>COUNTIFS(赛事明细!$P$4:$P$2000,"已结算",赛事明细!$E$4:$E$2000,$A138,赛事明细!$Q$4:$Q$2000,"走")</f>
        <v/>
      </c>
      <c r="F138" s="41">
        <f>COUNTIFS(赛事明细!$P$4:$P$2000,"已结算",赛事明细!$E$4:$E$2000,$A138,赛事明细!$Q$4:$Q$2000,"半黑")</f>
        <v/>
      </c>
      <c r="G138" s="41">
        <f>COUNTIFS(赛事明细!$P$4:$P$2000,"已结算",赛事明细!$E$4:$E$2000,$A138,赛事明细!$Q$4:$Q$2000,"黑")</f>
        <v/>
      </c>
      <c r="H138" s="89">
        <f>IFERROR((C138+0.5*D138)/(C138+0.5*D138+G138+0.5*F138),0)</f>
        <v/>
      </c>
      <c r="I138" s="81">
        <f>SUMIFS(赛事明细!$S$4:$S$2000,赛事明细!$P$4:$P$2000,"已结算",赛事明细!$E$4:$E$2000,$A138)</f>
        <v/>
      </c>
      <c r="J138" s="89">
        <f>IFERROR(I138/B138,0)</f>
        <v/>
      </c>
      <c r="K138" s="41">
        <f>IF(B138&lt;5,"样本&lt;5，谨慎解读","")</f>
        <v/>
      </c>
    </row>
    <row r="139" ht="24" customHeight="1" s="78">
      <c r="A139" s="41" t="inlineStr">
        <is>
          <t>乌克甲</t>
        </is>
      </c>
      <c r="B139" s="41">
        <f>COUNTIFS(赛事明细!$P$4:$P$2000,"已结算",赛事明细!$E$4:$E$2000,$A139)</f>
        <v/>
      </c>
      <c r="C139" s="41">
        <f>COUNTIFS(赛事明细!$P$4:$P$2000,"已结算",赛事明细!$E$4:$E$2000,$A139,赛事明细!$Q$4:$Q$2000,"红")</f>
        <v/>
      </c>
      <c r="D139" s="41">
        <f>COUNTIFS(赛事明细!$P$4:$P$2000,"已结算",赛事明细!$E$4:$E$2000,$A139,赛事明细!$Q$4:$Q$2000,"半红")</f>
        <v/>
      </c>
      <c r="E139" s="41">
        <f>COUNTIFS(赛事明细!$P$4:$P$2000,"已结算",赛事明细!$E$4:$E$2000,$A139,赛事明细!$Q$4:$Q$2000,"走")</f>
        <v/>
      </c>
      <c r="F139" s="41">
        <f>COUNTIFS(赛事明细!$P$4:$P$2000,"已结算",赛事明细!$E$4:$E$2000,$A139,赛事明细!$Q$4:$Q$2000,"半黑")</f>
        <v/>
      </c>
      <c r="G139" s="41">
        <f>COUNTIFS(赛事明细!$P$4:$P$2000,"已结算",赛事明细!$E$4:$E$2000,$A139,赛事明细!$Q$4:$Q$2000,"黑")</f>
        <v/>
      </c>
      <c r="H139" s="89">
        <f>IFERROR((C139+0.5*D139)/(C139+0.5*D139+G139+0.5*F139),0)</f>
        <v/>
      </c>
      <c r="I139" s="81">
        <f>SUMIFS(赛事明细!$S$4:$S$2000,赛事明细!$P$4:$P$2000,"已结算",赛事明细!$E$4:$E$2000,$A139)</f>
        <v/>
      </c>
      <c r="J139" s="89">
        <f>IFERROR(I139/B139,0)</f>
        <v/>
      </c>
      <c r="K139" s="41">
        <f>IF(B139&lt;5,"样本&lt;5，谨慎解读","")</f>
        <v/>
      </c>
    </row>
    <row r="140" ht="24" customHeight="1" s="78">
      <c r="A140" s="41" t="inlineStr">
        <is>
          <t>爱足女杯</t>
        </is>
      </c>
      <c r="B140" s="41">
        <f>COUNTIFS(赛事明细!$P$4:$P$2000,"已结算",赛事明细!$E$4:$E$2000,$A140)</f>
        <v/>
      </c>
      <c r="C140" s="41">
        <f>COUNTIFS(赛事明细!$P$4:$P$2000,"已结算",赛事明细!$E$4:$E$2000,$A140,赛事明细!$Q$4:$Q$2000,"红")</f>
        <v/>
      </c>
      <c r="D140" s="41">
        <f>COUNTIFS(赛事明细!$P$4:$P$2000,"已结算",赛事明细!$E$4:$E$2000,$A140,赛事明细!$Q$4:$Q$2000,"半红")</f>
        <v/>
      </c>
      <c r="E140" s="41">
        <f>COUNTIFS(赛事明细!$P$4:$P$2000,"已结算",赛事明细!$E$4:$E$2000,$A140,赛事明细!$Q$4:$Q$2000,"走")</f>
        <v/>
      </c>
      <c r="F140" s="41">
        <f>COUNTIFS(赛事明细!$P$4:$P$2000,"已结算",赛事明细!$E$4:$E$2000,$A140,赛事明细!$Q$4:$Q$2000,"半黑")</f>
        <v/>
      </c>
      <c r="G140" s="41">
        <f>COUNTIFS(赛事明细!$P$4:$P$2000,"已结算",赛事明细!$E$4:$E$2000,$A140,赛事明细!$Q$4:$Q$2000,"黑")</f>
        <v/>
      </c>
      <c r="H140" s="89">
        <f>IFERROR((C140+0.5*D140)/(C140+0.5*D140+G140+0.5*F140),0)</f>
        <v/>
      </c>
      <c r="I140" s="81">
        <f>SUMIFS(赛事明细!$S$4:$S$2000,赛事明细!$P$4:$P$2000,"已结算",赛事明细!$E$4:$E$2000,$A140)</f>
        <v/>
      </c>
      <c r="J140" s="89">
        <f>IFERROR(I140/B140,0)</f>
        <v/>
      </c>
      <c r="K140" s="41">
        <f>IF(B140&lt;5,"样本&lt;5，谨慎解读","")</f>
        <v/>
      </c>
    </row>
    <row r="141" ht="24" customHeight="1" s="78">
      <c r="A141" s="44" t="inlineStr">
        <is>
          <t>合计</t>
        </is>
      </c>
      <c r="B141" s="44">
        <f>SUM(B13:B140)</f>
        <v/>
      </c>
      <c r="C141" s="44">
        <f>SUM(C13:C140)</f>
        <v/>
      </c>
      <c r="D141" s="44">
        <f>SUM(D13:D140)</f>
        <v/>
      </c>
      <c r="E141" s="44">
        <f>SUM(E13:E140)</f>
        <v/>
      </c>
      <c r="F141" s="44">
        <f>SUM(F13:F140)</f>
        <v/>
      </c>
      <c r="G141" s="44">
        <f>SUM(G13:G140)</f>
        <v/>
      </c>
      <c r="H141" s="90">
        <f>IFERROR((C141+0.5*D141)/(C141+0.5*D141+G141+0.5*F141),0)</f>
        <v/>
      </c>
      <c r="I141" s="91">
        <f>SUM(I13:I140)</f>
        <v/>
      </c>
      <c r="J141" s="90">
        <f>IFERROR(I141/B141,0)</f>
        <v/>
      </c>
      <c r="K141" s="44" t="n"/>
    </row>
    <row r="142" ht="24" customHeight="1" s="78"/>
    <row r="143" ht="24" customHeight="1" s="78"/>
    <row r="144" ht="27" customHeight="1" s="78">
      <c r="A144" s="38" t="inlineStr">
        <is>
          <t>按亚盘意图</t>
        </is>
      </c>
    </row>
    <row r="145" ht="26" customHeight="1" s="78">
      <c r="A145" s="40" t="inlineStr">
        <is>
          <t>分类</t>
        </is>
      </c>
      <c r="B145" s="40" t="inlineStr">
        <is>
          <t>已结算场次</t>
        </is>
      </c>
      <c r="C145" s="40" t="inlineStr">
        <is>
          <t>红</t>
        </is>
      </c>
      <c r="D145" s="40" t="inlineStr">
        <is>
          <t>半红</t>
        </is>
      </c>
      <c r="E145" s="40" t="inlineStr">
        <is>
          <t>走</t>
        </is>
      </c>
      <c r="F145" s="40" t="inlineStr">
        <is>
          <t>半黑</t>
        </is>
      </c>
      <c r="G145" s="40" t="inlineStr">
        <is>
          <t>黑</t>
        </is>
      </c>
      <c r="H145" s="40" t="inlineStr">
        <is>
          <t>有效胜率</t>
        </is>
      </c>
      <c r="I145" s="40" t="inlineStr">
        <is>
          <t>总盈亏(u)</t>
        </is>
      </c>
      <c r="J145" s="40" t="inlineStr">
        <is>
          <t>ROI</t>
        </is>
      </c>
      <c r="K145" s="40" t="inlineStr">
        <is>
          <t>备注</t>
        </is>
      </c>
    </row>
    <row r="146" ht="24" customHeight="1" s="78">
      <c r="A146" s="41" t="inlineStr">
        <is>
          <t>真实示强/阻上</t>
        </is>
      </c>
      <c r="B146" s="41">
        <f>COUNTIFS(赛事明细!$P$4:$P$2000,"已结算",赛事明细!$K$4:$K$2000,$A146)</f>
        <v/>
      </c>
      <c r="C146" s="41">
        <f>COUNTIFS(赛事明细!$P$4:$P$2000,"已结算",赛事明细!$K$4:$K$2000,$A146,赛事明细!$Q$4:$Q$2000,"红")</f>
        <v/>
      </c>
      <c r="D146" s="41">
        <f>COUNTIFS(赛事明细!$P$4:$P$2000,"已结算",赛事明细!$K$4:$K$2000,$A146,赛事明细!$Q$4:$Q$2000,"半红")</f>
        <v/>
      </c>
      <c r="E146" s="41">
        <f>COUNTIFS(赛事明细!$P$4:$P$2000,"已结算",赛事明细!$K$4:$K$2000,$A146,赛事明细!$Q$4:$Q$2000,"走")</f>
        <v/>
      </c>
      <c r="F146" s="41">
        <f>COUNTIFS(赛事明细!$P$4:$P$2000,"已结算",赛事明细!$K$4:$K$2000,$A146,赛事明细!$Q$4:$Q$2000,"半黑")</f>
        <v/>
      </c>
      <c r="G146" s="41">
        <f>COUNTIFS(赛事明细!$P$4:$P$2000,"已结算",赛事明细!$K$4:$K$2000,$A146,赛事明细!$Q$4:$Q$2000,"黑")</f>
        <v/>
      </c>
      <c r="H146" s="89">
        <f>IFERROR((C146+0.5*D146)/(C146+0.5*D146+G146+0.5*F146),0)</f>
        <v/>
      </c>
      <c r="I146" s="81">
        <f>SUMIFS(赛事明细!$S$4:$S$2000,赛事明细!$P$4:$P$2000,"已结算",赛事明细!$K$4:$K$2000,$A146)</f>
        <v/>
      </c>
      <c r="J146" s="89">
        <f>IFERROR(I146/B146,0)</f>
        <v/>
      </c>
      <c r="K146" s="41">
        <f>IF(B146&lt;5,"样本&lt;5，谨慎解读","")</f>
        <v/>
      </c>
    </row>
    <row r="147" ht="24" customHeight="1" s="78">
      <c r="A147" s="41" t="inlineStr">
        <is>
          <t>诱上/阻下</t>
        </is>
      </c>
      <c r="B147" s="41">
        <f>COUNTIFS(赛事明细!$P$4:$P$2000,"已结算",赛事明细!$K$4:$K$2000,$A147)</f>
        <v/>
      </c>
      <c r="C147" s="41">
        <f>COUNTIFS(赛事明细!$P$4:$P$2000,"已结算",赛事明细!$K$4:$K$2000,$A147,赛事明细!$Q$4:$Q$2000,"红")</f>
        <v/>
      </c>
      <c r="D147" s="41">
        <f>COUNTIFS(赛事明细!$P$4:$P$2000,"已结算",赛事明细!$K$4:$K$2000,$A147,赛事明细!$Q$4:$Q$2000,"半红")</f>
        <v/>
      </c>
      <c r="E147" s="41">
        <f>COUNTIFS(赛事明细!$P$4:$P$2000,"已结算",赛事明细!$K$4:$K$2000,$A147,赛事明细!$Q$4:$Q$2000,"走")</f>
        <v/>
      </c>
      <c r="F147" s="41">
        <f>COUNTIFS(赛事明细!$P$4:$P$2000,"已结算",赛事明细!$K$4:$K$2000,$A147,赛事明细!$Q$4:$Q$2000,"半黑")</f>
        <v/>
      </c>
      <c r="G147" s="41">
        <f>COUNTIFS(赛事明细!$P$4:$P$2000,"已结算",赛事明细!$K$4:$K$2000,$A147,赛事明细!$Q$4:$Q$2000,"黑")</f>
        <v/>
      </c>
      <c r="H147" s="89">
        <f>IFERROR((C147+0.5*D147)/(C147+0.5*D147+G147+0.5*F147),0)</f>
        <v/>
      </c>
      <c r="I147" s="81">
        <f>SUMIFS(赛事明细!$S$4:$S$2000,赛事明细!$P$4:$P$2000,"已结算",赛事明细!$K$4:$K$2000,$A147)</f>
        <v/>
      </c>
      <c r="J147" s="89">
        <f>IFERROR(I147/B147,0)</f>
        <v/>
      </c>
      <c r="K147" s="41">
        <f>IF(B147&lt;5,"样本&lt;5，谨慎解读","")</f>
        <v/>
      </c>
    </row>
    <row r="148" ht="24" customHeight="1" s="78">
      <c r="A148" s="41" t="inlineStr">
        <is>
          <t>降温保护/诱下</t>
        </is>
      </c>
      <c r="B148" s="41">
        <f>COUNTIFS(赛事明细!$P$4:$P$2000,"已结算",赛事明细!$K$4:$K$2000,$A148)</f>
        <v/>
      </c>
      <c r="C148" s="41">
        <f>COUNTIFS(赛事明细!$P$4:$P$2000,"已结算",赛事明细!$K$4:$K$2000,$A148,赛事明细!$Q$4:$Q$2000,"红")</f>
        <v/>
      </c>
      <c r="D148" s="41">
        <f>COUNTIFS(赛事明细!$P$4:$P$2000,"已结算",赛事明细!$K$4:$K$2000,$A148,赛事明细!$Q$4:$Q$2000,"半红")</f>
        <v/>
      </c>
      <c r="E148" s="41">
        <f>COUNTIFS(赛事明细!$P$4:$P$2000,"已结算",赛事明细!$K$4:$K$2000,$A148,赛事明细!$Q$4:$Q$2000,"走")</f>
        <v/>
      </c>
      <c r="F148" s="41">
        <f>COUNTIFS(赛事明细!$P$4:$P$2000,"已结算",赛事明细!$K$4:$K$2000,$A148,赛事明细!$Q$4:$Q$2000,"半黑")</f>
        <v/>
      </c>
      <c r="G148" s="41">
        <f>COUNTIFS(赛事明细!$P$4:$P$2000,"已结算",赛事明细!$K$4:$K$2000,$A148,赛事明细!$Q$4:$Q$2000,"黑")</f>
        <v/>
      </c>
      <c r="H148" s="89">
        <f>IFERROR((C148+0.5*D148)/(C148+0.5*D148+G148+0.5*F148),0)</f>
        <v/>
      </c>
      <c r="I148" s="81">
        <f>SUMIFS(赛事明细!$S$4:$S$2000,赛事明细!$P$4:$P$2000,"已结算",赛事明细!$K$4:$K$2000,$A148)</f>
        <v/>
      </c>
      <c r="J148" s="89">
        <f>IFERROR(I148/B148,0)</f>
        <v/>
      </c>
      <c r="K148" s="41">
        <f>IF(B148&lt;5,"样本&lt;5，谨慎解读","")</f>
        <v/>
      </c>
    </row>
    <row r="149" ht="24" customHeight="1" s="78">
      <c r="A149" s="41" t="inlineStr">
        <is>
          <t>阻下/上盘保护</t>
        </is>
      </c>
      <c r="B149" s="41">
        <f>COUNTIFS(赛事明细!$P$4:$P$2000,"已结算",赛事明细!$K$4:$K$2000,$A149)</f>
        <v/>
      </c>
      <c r="C149" s="41">
        <f>COUNTIFS(赛事明细!$P$4:$P$2000,"已结算",赛事明细!$K$4:$K$2000,$A149,赛事明细!$Q$4:$Q$2000,"红")</f>
        <v/>
      </c>
      <c r="D149" s="41">
        <f>COUNTIFS(赛事明细!$P$4:$P$2000,"已结算",赛事明细!$K$4:$K$2000,$A149,赛事明细!$Q$4:$Q$2000,"半红")</f>
        <v/>
      </c>
      <c r="E149" s="41">
        <f>COUNTIFS(赛事明细!$P$4:$P$2000,"已结算",赛事明细!$K$4:$K$2000,$A149,赛事明细!$Q$4:$Q$2000,"走")</f>
        <v/>
      </c>
      <c r="F149" s="41">
        <f>COUNTIFS(赛事明细!$P$4:$P$2000,"已结算",赛事明细!$K$4:$K$2000,$A149,赛事明细!$Q$4:$Q$2000,"半黑")</f>
        <v/>
      </c>
      <c r="G149" s="41">
        <f>COUNTIFS(赛事明细!$P$4:$P$2000,"已结算",赛事明细!$K$4:$K$2000,$A149,赛事明细!$Q$4:$Q$2000,"黑")</f>
        <v/>
      </c>
      <c r="H149" s="89">
        <f>IFERROR((C149+0.5*D149)/(C149+0.5*D149+G149+0.5*F149),0)</f>
        <v/>
      </c>
      <c r="I149" s="81">
        <f>SUMIFS(赛事明细!$S$4:$S$2000,赛事明细!$P$4:$P$2000,"已结算",赛事明细!$K$4:$K$2000,$A149)</f>
        <v/>
      </c>
      <c r="J149" s="89">
        <f>IFERROR(I149/B149,0)</f>
        <v/>
      </c>
      <c r="K149" s="41">
        <f>IF(B149&lt;5,"样本&lt;5，谨慎解读","")</f>
        <v/>
      </c>
    </row>
    <row r="150" ht="24" customHeight="1" s="78">
      <c r="A150" s="41" t="inlineStr">
        <is>
          <t>阻上/诱下</t>
        </is>
      </c>
      <c r="B150" s="41">
        <f>COUNTIFS(赛事明细!$P$4:$P$2000,"已结算",赛事明细!$K$4:$K$2000,$A150)</f>
        <v/>
      </c>
      <c r="C150" s="41">
        <f>COUNTIFS(赛事明细!$P$4:$P$2000,"已结算",赛事明细!$K$4:$K$2000,$A150,赛事明细!$Q$4:$Q$2000,"红")</f>
        <v/>
      </c>
      <c r="D150" s="41">
        <f>COUNTIFS(赛事明细!$P$4:$P$2000,"已结算",赛事明细!$K$4:$K$2000,$A150,赛事明细!$Q$4:$Q$2000,"半红")</f>
        <v/>
      </c>
      <c r="E150" s="41">
        <f>COUNTIFS(赛事明细!$P$4:$P$2000,"已结算",赛事明细!$K$4:$K$2000,$A150,赛事明细!$Q$4:$Q$2000,"走")</f>
        <v/>
      </c>
      <c r="F150" s="41">
        <f>COUNTIFS(赛事明细!$P$4:$P$2000,"已结算",赛事明细!$K$4:$K$2000,$A150,赛事明细!$Q$4:$Q$2000,"半黑")</f>
        <v/>
      </c>
      <c r="G150" s="41">
        <f>COUNTIFS(赛事明细!$P$4:$P$2000,"已结算",赛事明细!$K$4:$K$2000,$A150,赛事明细!$Q$4:$Q$2000,"黑")</f>
        <v/>
      </c>
      <c r="H150" s="89">
        <f>IFERROR((C150+0.5*D150)/(C150+0.5*D150+G150+0.5*F150),0)</f>
        <v/>
      </c>
      <c r="I150" s="81">
        <f>SUMIFS(赛事明细!$S$4:$S$2000,赛事明细!$P$4:$P$2000,"已结算",赛事明细!$K$4:$K$2000,$A150)</f>
        <v/>
      </c>
      <c r="J150" s="89">
        <f>IFERROR(I150/B150,0)</f>
        <v/>
      </c>
      <c r="K150" s="41">
        <f>IF(B150&lt;5,"样本&lt;5，谨慎解读","")</f>
        <v/>
      </c>
    </row>
    <row r="151" ht="24" customHeight="1" s="78">
      <c r="A151" s="41" t="inlineStr">
        <is>
          <t>诱下/上盘降温</t>
        </is>
      </c>
      <c r="B151" s="41">
        <f>COUNTIFS(赛事明细!$P$4:$P$2000,"已结算",赛事明细!$K$4:$K$2000,$A151)</f>
        <v/>
      </c>
      <c r="C151" s="41">
        <f>COUNTIFS(赛事明细!$P$4:$P$2000,"已结算",赛事明细!$K$4:$K$2000,$A151,赛事明细!$Q$4:$Q$2000,"红")</f>
        <v/>
      </c>
      <c r="D151" s="41">
        <f>COUNTIFS(赛事明细!$P$4:$P$2000,"已结算",赛事明细!$K$4:$K$2000,$A151,赛事明细!$Q$4:$Q$2000,"半红")</f>
        <v/>
      </c>
      <c r="E151" s="41">
        <f>COUNTIFS(赛事明细!$P$4:$P$2000,"已结算",赛事明细!$K$4:$K$2000,$A151,赛事明细!$Q$4:$Q$2000,"走")</f>
        <v/>
      </c>
      <c r="F151" s="41">
        <f>COUNTIFS(赛事明细!$P$4:$P$2000,"已结算",赛事明细!$K$4:$K$2000,$A151,赛事明细!$Q$4:$Q$2000,"半黑")</f>
        <v/>
      </c>
      <c r="G151" s="41">
        <f>COUNTIFS(赛事明细!$P$4:$P$2000,"已结算",赛事明细!$K$4:$K$2000,$A151,赛事明细!$Q$4:$Q$2000,"黑")</f>
        <v/>
      </c>
      <c r="H151" s="89">
        <f>IFERROR((C151+0.5*D151)/(C151+0.5*D151+G151+0.5*F151),0)</f>
        <v/>
      </c>
      <c r="I151" s="81">
        <f>SUMIFS(赛事明细!$S$4:$S$2000,赛事明细!$P$4:$P$2000,"已结算",赛事明细!$K$4:$K$2000,$A151)</f>
        <v/>
      </c>
      <c r="J151" s="89">
        <f>IFERROR(I151/B151,0)</f>
        <v/>
      </c>
      <c r="K151" s="41">
        <f>IF(B151&lt;5,"样本&lt;5，谨慎解读","")</f>
        <v/>
      </c>
    </row>
    <row r="152" ht="24" customHeight="1" s="78">
      <c r="A152" s="41" t="inlineStr">
        <is>
          <t>阻下/下盘保护</t>
        </is>
      </c>
      <c r="B152" s="41">
        <f>COUNTIFS(赛事明细!$P$4:$P$2000,"已结算",赛事明细!$K$4:$K$2000,$A152)</f>
        <v/>
      </c>
      <c r="C152" s="41">
        <f>COUNTIFS(赛事明细!$P$4:$P$2000,"已结算",赛事明细!$K$4:$K$2000,$A152,赛事明细!$Q$4:$Q$2000,"红")</f>
        <v/>
      </c>
      <c r="D152" s="41">
        <f>COUNTIFS(赛事明细!$P$4:$P$2000,"已结算",赛事明细!$K$4:$K$2000,$A152,赛事明细!$Q$4:$Q$2000,"半红")</f>
        <v/>
      </c>
      <c r="E152" s="41">
        <f>COUNTIFS(赛事明细!$P$4:$P$2000,"已结算",赛事明细!$K$4:$K$2000,$A152,赛事明细!$Q$4:$Q$2000,"走")</f>
        <v/>
      </c>
      <c r="F152" s="41">
        <f>COUNTIFS(赛事明细!$P$4:$P$2000,"已结算",赛事明细!$K$4:$K$2000,$A152,赛事明细!$Q$4:$Q$2000,"半黑")</f>
        <v/>
      </c>
      <c r="G152" s="41">
        <f>COUNTIFS(赛事明细!$P$4:$P$2000,"已结算",赛事明细!$K$4:$K$2000,$A152,赛事明细!$Q$4:$Q$2000,"黑")</f>
        <v/>
      </c>
      <c r="H152" s="89">
        <f>IFERROR((C152+0.5*D152)/(C152+0.5*D152+G152+0.5*F152),0)</f>
        <v/>
      </c>
      <c r="I152" s="81">
        <f>SUMIFS(赛事明细!$S$4:$S$2000,赛事明细!$P$4:$P$2000,"已结算",赛事明细!$K$4:$K$2000,$A152)</f>
        <v/>
      </c>
      <c r="J152" s="89">
        <f>IFERROR(I152/B152,0)</f>
        <v/>
      </c>
      <c r="K152" s="41">
        <f>IF(B152&lt;5,"样本&lt;5，谨慎解读","")</f>
        <v/>
      </c>
    </row>
    <row r="153" ht="24" customHeight="1" s="78">
      <c r="A153" s="41" t="inlineStr">
        <is>
          <t>平衡盘/等待临场确认</t>
        </is>
      </c>
      <c r="B153" s="41">
        <f>COUNTIFS(赛事明细!$P$4:$P$2000,"已结算",赛事明细!$K$4:$K$2000,$A153)</f>
        <v/>
      </c>
      <c r="C153" s="41">
        <f>COUNTIFS(赛事明细!$P$4:$P$2000,"已结算",赛事明细!$K$4:$K$2000,$A153,赛事明细!$Q$4:$Q$2000,"红")</f>
        <v/>
      </c>
      <c r="D153" s="41">
        <f>COUNTIFS(赛事明细!$P$4:$P$2000,"已结算",赛事明细!$K$4:$K$2000,$A153,赛事明细!$Q$4:$Q$2000,"半红")</f>
        <v/>
      </c>
      <c r="E153" s="41">
        <f>COUNTIFS(赛事明细!$P$4:$P$2000,"已结算",赛事明细!$K$4:$K$2000,$A153,赛事明细!$Q$4:$Q$2000,"走")</f>
        <v/>
      </c>
      <c r="F153" s="41">
        <f>COUNTIFS(赛事明细!$P$4:$P$2000,"已结算",赛事明细!$K$4:$K$2000,$A153,赛事明细!$Q$4:$Q$2000,"半黑")</f>
        <v/>
      </c>
      <c r="G153" s="41">
        <f>COUNTIFS(赛事明细!$P$4:$P$2000,"已结算",赛事明细!$K$4:$K$2000,$A153,赛事明细!$Q$4:$Q$2000,"黑")</f>
        <v/>
      </c>
      <c r="H153" s="89">
        <f>IFERROR((C153+0.5*D153)/(C153+0.5*D153+G153+0.5*F153),0)</f>
        <v/>
      </c>
      <c r="I153" s="81">
        <f>SUMIFS(赛事明细!$S$4:$S$2000,赛事明细!$P$4:$P$2000,"已结算",赛事明细!$K$4:$K$2000,$A153)</f>
        <v/>
      </c>
      <c r="J153" s="89">
        <f>IFERROR(I153/B153,0)</f>
        <v/>
      </c>
      <c r="K153" s="41">
        <f>IF(B153&lt;5,"样本&lt;5，谨慎解读","")</f>
        <v/>
      </c>
    </row>
    <row r="154" ht="24" customHeight="1" s="78">
      <c r="A154" s="41" t="inlineStr">
        <is>
          <t>阻上/降温保护</t>
        </is>
      </c>
      <c r="B154" s="41">
        <f>COUNTIFS(赛事明细!$P$4:$P$2000,"已结算",赛事明细!$K$4:$K$2000,$A154)</f>
        <v/>
      </c>
      <c r="C154" s="41">
        <f>COUNTIFS(赛事明细!$P$4:$P$2000,"已结算",赛事明细!$K$4:$K$2000,$A154,赛事明细!$Q$4:$Q$2000,"红")</f>
        <v/>
      </c>
      <c r="D154" s="41">
        <f>COUNTIFS(赛事明细!$P$4:$P$2000,"已结算",赛事明细!$K$4:$K$2000,$A154,赛事明细!$Q$4:$Q$2000,"半红")</f>
        <v/>
      </c>
      <c r="E154" s="41">
        <f>COUNTIFS(赛事明细!$P$4:$P$2000,"已结算",赛事明细!$K$4:$K$2000,$A154,赛事明细!$Q$4:$Q$2000,"走")</f>
        <v/>
      </c>
      <c r="F154" s="41">
        <f>COUNTIFS(赛事明细!$P$4:$P$2000,"已结算",赛事明细!$K$4:$K$2000,$A154,赛事明细!$Q$4:$Q$2000,"半黑")</f>
        <v/>
      </c>
      <c r="G154" s="41">
        <f>COUNTIFS(赛事明细!$P$4:$P$2000,"已结算",赛事明细!$K$4:$K$2000,$A154,赛事明细!$Q$4:$Q$2000,"黑")</f>
        <v/>
      </c>
      <c r="H154" s="89">
        <f>IFERROR((C154+0.5*D154)/(C154+0.5*D154+G154+0.5*F154),0)</f>
        <v/>
      </c>
      <c r="I154" s="81">
        <f>SUMIFS(赛事明细!$S$4:$S$2000,赛事明细!$P$4:$P$2000,"已结算",赛事明细!$K$4:$K$2000,$A154)</f>
        <v/>
      </c>
      <c r="J154" s="89">
        <f>IFERROR(I154/B154,0)</f>
        <v/>
      </c>
      <c r="K154" s="41">
        <f>IF(B154&lt;5,"样本&lt;5，谨慎解读","")</f>
        <v/>
      </c>
    </row>
    <row r="155" ht="24" customHeight="1" s="78">
      <c r="A155" s="41" t="inlineStr">
        <is>
          <t>真实示弱/阻下</t>
        </is>
      </c>
      <c r="B155" s="41">
        <f>COUNTIFS(赛事明细!$P$4:$P$2000,"已结算",赛事明细!$K$4:$K$2000,$A155)</f>
        <v/>
      </c>
      <c r="C155" s="41">
        <f>COUNTIFS(赛事明细!$P$4:$P$2000,"已结算",赛事明细!$K$4:$K$2000,$A155,赛事明细!$Q$4:$Q$2000,"红")</f>
        <v/>
      </c>
      <c r="D155" s="41">
        <f>COUNTIFS(赛事明细!$P$4:$P$2000,"已结算",赛事明细!$K$4:$K$2000,$A155,赛事明细!$Q$4:$Q$2000,"半红")</f>
        <v/>
      </c>
      <c r="E155" s="41">
        <f>COUNTIFS(赛事明细!$P$4:$P$2000,"已结算",赛事明细!$K$4:$K$2000,$A155,赛事明细!$Q$4:$Q$2000,"走")</f>
        <v/>
      </c>
      <c r="F155" s="41">
        <f>COUNTIFS(赛事明细!$P$4:$P$2000,"已结算",赛事明细!$K$4:$K$2000,$A155,赛事明细!$Q$4:$Q$2000,"半黑")</f>
        <v/>
      </c>
      <c r="G155" s="41">
        <f>COUNTIFS(赛事明细!$P$4:$P$2000,"已结算",赛事明细!$K$4:$K$2000,$A155,赛事明细!$Q$4:$Q$2000,"黑")</f>
        <v/>
      </c>
      <c r="H155" s="89">
        <f>IFERROR((C155+0.5*D155)/(C155+0.5*D155+G155+0.5*F155),0)</f>
        <v/>
      </c>
      <c r="I155" s="81">
        <f>SUMIFS(赛事明细!$S$4:$S$2000,赛事明细!$P$4:$P$2000,"已结算",赛事明细!$K$4:$K$2000,$A155)</f>
        <v/>
      </c>
      <c r="J155" s="89">
        <f>IFERROR(I155/B155,0)</f>
        <v/>
      </c>
      <c r="K155" s="41">
        <f>IF(B155&lt;5,"样本&lt;5，谨慎解读","")</f>
        <v/>
      </c>
    </row>
    <row r="156" ht="24" customHeight="1" s="78">
      <c r="A156" s="41" t="inlineStr">
        <is>
          <t>最新版冻结候选</t>
        </is>
      </c>
      <c r="B156" s="41">
        <f>COUNTIFS(赛事明细!$P$4:$P$2000,"已结算",赛事明细!$K$4:$K$2000,$A156)</f>
        <v/>
      </c>
      <c r="C156" s="41">
        <f>COUNTIFS(赛事明细!$P$4:$P$2000,"已结算",赛事明细!$K$4:$K$2000,$A156,赛事明细!$Q$4:$Q$2000,"红")</f>
        <v/>
      </c>
      <c r="D156" s="41">
        <f>COUNTIFS(赛事明细!$P$4:$P$2000,"已结算",赛事明细!$K$4:$K$2000,$A156,赛事明细!$Q$4:$Q$2000,"半红")</f>
        <v/>
      </c>
      <c r="E156" s="41">
        <f>COUNTIFS(赛事明细!$P$4:$P$2000,"已结算",赛事明细!$K$4:$K$2000,$A156,赛事明细!$Q$4:$Q$2000,"走")</f>
        <v/>
      </c>
      <c r="F156" s="41">
        <f>COUNTIFS(赛事明细!$P$4:$P$2000,"已结算",赛事明细!$K$4:$K$2000,$A156,赛事明细!$Q$4:$Q$2000,"半黑")</f>
        <v/>
      </c>
      <c r="G156" s="41">
        <f>COUNTIFS(赛事明细!$P$4:$P$2000,"已结算",赛事明细!$K$4:$K$2000,$A156,赛事明细!$Q$4:$Q$2000,"黑")</f>
        <v/>
      </c>
      <c r="H156" s="89">
        <f>IFERROR((C156+0.5*D156)/(C156+0.5*D156+G156+0.5*F156),0)</f>
        <v/>
      </c>
      <c r="I156" s="81">
        <f>SUMIFS(赛事明细!$S$4:$S$2000,赛事明细!$P$4:$P$2000,"已结算",赛事明细!$K$4:$K$2000,$A156)</f>
        <v/>
      </c>
      <c r="J156" s="89">
        <f>IFERROR(I156/B156,0)</f>
        <v/>
      </c>
      <c r="K156" s="41">
        <f>IF(B156&lt;5,"样本&lt;5，谨慎解读","")</f>
        <v/>
      </c>
    </row>
    <row r="157" ht="24" customHeight="1" s="78">
      <c r="A157" s="44" t="inlineStr">
        <is>
          <t>合计</t>
        </is>
      </c>
      <c r="B157" s="44">
        <f>SUM(B146:B156)</f>
        <v/>
      </c>
      <c r="C157" s="44">
        <f>SUM(C146:C156)</f>
        <v/>
      </c>
      <c r="D157" s="44">
        <f>SUM(D146:D156)</f>
        <v/>
      </c>
      <c r="E157" s="44">
        <f>SUM(E146:E156)</f>
        <v/>
      </c>
      <c r="F157" s="44">
        <f>SUM(F146:F156)</f>
        <v/>
      </c>
      <c r="G157" s="44">
        <f>SUM(G146:G156)</f>
        <v/>
      </c>
      <c r="H157" s="90">
        <f>IFERROR((C157+0.5*D157)/(C157+0.5*D157+G157+0.5*F157),0)</f>
        <v/>
      </c>
      <c r="I157" s="91">
        <f>SUM(I146:I156)</f>
        <v/>
      </c>
      <c r="J157" s="90">
        <f>IFERROR(I157/B157,0)</f>
        <v/>
      </c>
      <c r="K157" s="44" t="n"/>
    </row>
    <row r="158" ht="24" customHeight="1" s="78"/>
    <row r="159" ht="24" customHeight="1" s="78"/>
    <row r="160" ht="27" customHeight="1" s="78">
      <c r="A160" s="38" t="inlineStr">
        <is>
          <t>按地区分布（HTML口径）</t>
        </is>
      </c>
    </row>
    <row r="161" ht="26" customHeight="1" s="78">
      <c r="A161" s="40" t="inlineStr">
        <is>
          <t>分类</t>
        </is>
      </c>
      <c r="B161" s="40" t="inlineStr">
        <is>
          <t>已结算场次</t>
        </is>
      </c>
      <c r="C161" s="40" t="inlineStr">
        <is>
          <t>红</t>
        </is>
      </c>
      <c r="D161" s="40" t="inlineStr">
        <is>
          <t>半红</t>
        </is>
      </c>
      <c r="E161" s="40" t="inlineStr">
        <is>
          <t>走</t>
        </is>
      </c>
      <c r="F161" s="40" t="inlineStr">
        <is>
          <t>半黑</t>
        </is>
      </c>
      <c r="G161" s="40" t="inlineStr">
        <is>
          <t>黑</t>
        </is>
      </c>
      <c r="H161" s="40" t="inlineStr">
        <is>
          <t>有效胜率</t>
        </is>
      </c>
      <c r="I161" s="40" t="inlineStr">
        <is>
          <t>总盈亏(u)</t>
        </is>
      </c>
      <c r="J161" s="40" t="inlineStr">
        <is>
          <t>ROI</t>
        </is>
      </c>
      <c r="K161" s="40" t="inlineStr">
        <is>
          <t>备注</t>
        </is>
      </c>
    </row>
    <row r="162" ht="24" customHeight="1" s="78">
      <c r="A162" s="41" t="inlineStr">
        <is>
          <t>欧洲非五大系列</t>
        </is>
      </c>
      <c r="B162" s="41">
        <f>COUNTIFS(赛事明细!$P$4:$P$2000,"已结算",赛事明细!$C$4:$C$2000,$A162)</f>
        <v/>
      </c>
      <c r="C162" s="41">
        <f>COUNTIFS(赛事明细!$P$4:$P$2000,"已结算",赛事明细!$C$4:$C$2000,$A162,赛事明细!$Q$4:$Q$2000,"红")</f>
        <v/>
      </c>
      <c r="D162" s="41">
        <f>COUNTIFS(赛事明细!$P$4:$P$2000,"已结算",赛事明细!$C$4:$C$2000,$A162,赛事明细!$Q$4:$Q$2000,"半红")</f>
        <v/>
      </c>
      <c r="E162" s="41">
        <f>COUNTIFS(赛事明细!$P$4:$P$2000,"已结算",赛事明细!$C$4:$C$2000,$A162,赛事明细!$Q$4:$Q$2000,"走")</f>
        <v/>
      </c>
      <c r="F162" s="41">
        <f>COUNTIFS(赛事明细!$P$4:$P$2000,"已结算",赛事明细!$C$4:$C$2000,$A162,赛事明细!$Q$4:$Q$2000,"半黑")</f>
        <v/>
      </c>
      <c r="G162" s="41">
        <f>COUNTIFS(赛事明细!$P$4:$P$2000,"已结算",赛事明细!$C$4:$C$2000,$A162,赛事明细!$Q$4:$Q$2000,"黑")</f>
        <v/>
      </c>
      <c r="H162" s="89">
        <f>IFERROR((C162+0.5*D162)/(C162+0.5*D162+G162+0.5*F162),0)</f>
        <v/>
      </c>
      <c r="I162" s="81">
        <f>SUMIFS(赛事明细!$S$4:$S$2000,赛事明细!$P$4:$P$2000,"已结算",赛事明细!$C$4:$C$2000,$A162)</f>
        <v/>
      </c>
      <c r="J162" s="89">
        <f>IFERROR(I162/B162,0)</f>
        <v/>
      </c>
      <c r="K162" s="41">
        <f>IF(B162&lt;5,"样本&lt;5，谨慎解读","")</f>
        <v/>
      </c>
    </row>
    <row r="163" ht="24" customHeight="1" s="78">
      <c r="A163" s="41" t="inlineStr">
        <is>
          <t>五大联赛杯赛</t>
        </is>
      </c>
      <c r="B163" s="41">
        <f>COUNTIFS(赛事明细!$P$4:$P$2000,"已结算",赛事明细!$C$4:$C$2000,$A163)</f>
        <v/>
      </c>
      <c r="C163" s="41">
        <f>COUNTIFS(赛事明细!$P$4:$P$2000,"已结算",赛事明细!$C$4:$C$2000,$A163,赛事明细!$Q$4:$Q$2000,"红")</f>
        <v/>
      </c>
      <c r="D163" s="41">
        <f>COUNTIFS(赛事明细!$P$4:$P$2000,"已结算",赛事明细!$C$4:$C$2000,$A163,赛事明细!$Q$4:$Q$2000,"半红")</f>
        <v/>
      </c>
      <c r="E163" s="41">
        <f>COUNTIFS(赛事明细!$P$4:$P$2000,"已结算",赛事明细!$C$4:$C$2000,$A163,赛事明细!$Q$4:$Q$2000,"走")</f>
        <v/>
      </c>
      <c r="F163" s="41">
        <f>COUNTIFS(赛事明细!$P$4:$P$2000,"已结算",赛事明细!$C$4:$C$2000,$A163,赛事明细!$Q$4:$Q$2000,"半黑")</f>
        <v/>
      </c>
      <c r="G163" s="41">
        <f>COUNTIFS(赛事明细!$P$4:$P$2000,"已结算",赛事明细!$C$4:$C$2000,$A163,赛事明细!$Q$4:$Q$2000,"黑")</f>
        <v/>
      </c>
      <c r="H163" s="89">
        <f>IFERROR((C163+0.5*D163)/(C163+0.5*D163+G163+0.5*F163),0)</f>
        <v/>
      </c>
      <c r="I163" s="81">
        <f>SUMIFS(赛事明细!$S$4:$S$2000,赛事明细!$P$4:$P$2000,"已结算",赛事明细!$C$4:$C$2000,$A163)</f>
        <v/>
      </c>
      <c r="J163" s="89">
        <f>IFERROR(I163/B163,0)</f>
        <v/>
      </c>
      <c r="K163" s="41">
        <f>IF(B163&lt;5,"样本&lt;5，谨慎解读","")</f>
        <v/>
      </c>
    </row>
    <row r="164" ht="24" customHeight="1" s="78">
      <c r="A164" s="41" t="inlineStr">
        <is>
          <t>南美系列</t>
        </is>
      </c>
      <c r="B164" s="41">
        <f>COUNTIFS(赛事明细!$P$4:$P$2000,"已结算",赛事明细!$C$4:$C$2000,$A164)</f>
        <v/>
      </c>
      <c r="C164" s="41">
        <f>COUNTIFS(赛事明细!$P$4:$P$2000,"已结算",赛事明细!$C$4:$C$2000,$A164,赛事明细!$Q$4:$Q$2000,"红")</f>
        <v/>
      </c>
      <c r="D164" s="41">
        <f>COUNTIFS(赛事明细!$P$4:$P$2000,"已结算",赛事明细!$C$4:$C$2000,$A164,赛事明细!$Q$4:$Q$2000,"半红")</f>
        <v/>
      </c>
      <c r="E164" s="41">
        <f>COUNTIFS(赛事明细!$P$4:$P$2000,"已结算",赛事明细!$C$4:$C$2000,$A164,赛事明细!$Q$4:$Q$2000,"走")</f>
        <v/>
      </c>
      <c r="F164" s="41">
        <f>COUNTIFS(赛事明细!$P$4:$P$2000,"已结算",赛事明细!$C$4:$C$2000,$A164,赛事明细!$Q$4:$Q$2000,"半黑")</f>
        <v/>
      </c>
      <c r="G164" s="41">
        <f>COUNTIFS(赛事明细!$P$4:$P$2000,"已结算",赛事明细!$C$4:$C$2000,$A164,赛事明细!$Q$4:$Q$2000,"黑")</f>
        <v/>
      </c>
      <c r="H164" s="89">
        <f>IFERROR((C164+0.5*D164)/(C164+0.5*D164+G164+0.5*F164),0)</f>
        <v/>
      </c>
      <c r="I164" s="81">
        <f>SUMIFS(赛事明细!$S$4:$S$2000,赛事明细!$P$4:$P$2000,"已结算",赛事明细!$C$4:$C$2000,$A164)</f>
        <v/>
      </c>
      <c r="J164" s="89">
        <f>IFERROR(I164/B164,0)</f>
        <v/>
      </c>
      <c r="K164" s="41">
        <f>IF(B164&lt;5,"样本&lt;5，谨慎解读","")</f>
        <v/>
      </c>
    </row>
    <row r="165" ht="24" customHeight="1" s="78">
      <c r="A165" s="41" t="inlineStr">
        <is>
          <t>西亚/中亚系列</t>
        </is>
      </c>
      <c r="B165" s="41">
        <f>COUNTIFS(赛事明细!$P$4:$P$2000,"已结算",赛事明细!$C$4:$C$2000,$A165)</f>
        <v/>
      </c>
      <c r="C165" s="41">
        <f>COUNTIFS(赛事明细!$P$4:$P$2000,"已结算",赛事明细!$C$4:$C$2000,$A165,赛事明细!$Q$4:$Q$2000,"红")</f>
        <v/>
      </c>
      <c r="D165" s="41">
        <f>COUNTIFS(赛事明细!$P$4:$P$2000,"已结算",赛事明细!$C$4:$C$2000,$A165,赛事明细!$Q$4:$Q$2000,"半红")</f>
        <v/>
      </c>
      <c r="E165" s="41">
        <f>COUNTIFS(赛事明细!$P$4:$P$2000,"已结算",赛事明细!$C$4:$C$2000,$A165,赛事明细!$Q$4:$Q$2000,"走")</f>
        <v/>
      </c>
      <c r="F165" s="41">
        <f>COUNTIFS(赛事明细!$P$4:$P$2000,"已结算",赛事明细!$C$4:$C$2000,$A165,赛事明细!$Q$4:$Q$2000,"半黑")</f>
        <v/>
      </c>
      <c r="G165" s="41">
        <f>COUNTIFS(赛事明细!$P$4:$P$2000,"已结算",赛事明细!$C$4:$C$2000,$A165,赛事明细!$Q$4:$Q$2000,"黑")</f>
        <v/>
      </c>
      <c r="H165" s="89">
        <f>IFERROR((C165+0.5*D165)/(C165+0.5*D165+G165+0.5*F165),0)</f>
        <v/>
      </c>
      <c r="I165" s="81">
        <f>SUMIFS(赛事明细!$S$4:$S$2000,赛事明细!$P$4:$P$2000,"已结算",赛事明细!$C$4:$C$2000,$A165)</f>
        <v/>
      </c>
      <c r="J165" s="89">
        <f>IFERROR(I165/B165,0)</f>
        <v/>
      </c>
      <c r="K165" s="41">
        <f>IF(B165&lt;5,"样本&lt;5，谨慎解读","")</f>
        <v/>
      </c>
    </row>
    <row r="166" ht="24" customHeight="1" s="78">
      <c r="A166" s="41" t="inlineStr">
        <is>
          <t>五大联赛非顶级联赛</t>
        </is>
      </c>
      <c r="B166" s="41">
        <f>COUNTIFS(赛事明细!$P$4:$P$2000,"已结算",赛事明细!$C$4:$C$2000,$A166)</f>
        <v/>
      </c>
      <c r="C166" s="41">
        <f>COUNTIFS(赛事明细!$P$4:$P$2000,"已结算",赛事明细!$C$4:$C$2000,$A166,赛事明细!$Q$4:$Q$2000,"红")</f>
        <v/>
      </c>
      <c r="D166" s="41">
        <f>COUNTIFS(赛事明细!$P$4:$P$2000,"已结算",赛事明细!$C$4:$C$2000,$A166,赛事明细!$Q$4:$Q$2000,"半红")</f>
        <v/>
      </c>
      <c r="E166" s="41">
        <f>COUNTIFS(赛事明细!$P$4:$P$2000,"已结算",赛事明细!$C$4:$C$2000,$A166,赛事明细!$Q$4:$Q$2000,"走")</f>
        <v/>
      </c>
      <c r="F166" s="41">
        <f>COUNTIFS(赛事明细!$P$4:$P$2000,"已结算",赛事明细!$C$4:$C$2000,$A166,赛事明细!$Q$4:$Q$2000,"半黑")</f>
        <v/>
      </c>
      <c r="G166" s="41">
        <f>COUNTIFS(赛事明细!$P$4:$P$2000,"已结算",赛事明细!$C$4:$C$2000,$A166,赛事明细!$Q$4:$Q$2000,"黑")</f>
        <v/>
      </c>
      <c r="H166" s="89">
        <f>IFERROR((C166+0.5*D166)/(C166+0.5*D166+G166+0.5*F166),0)</f>
        <v/>
      </c>
      <c r="I166" s="81">
        <f>SUMIFS(赛事明细!$S$4:$S$2000,赛事明细!$P$4:$P$2000,"已结算",赛事明细!$C$4:$C$2000,$A166)</f>
        <v/>
      </c>
      <c r="J166" s="89">
        <f>IFERROR(I166/B166,0)</f>
        <v/>
      </c>
      <c r="K166" s="41">
        <f>IF(B166&lt;5,"样本&lt;5，谨慎解读","")</f>
        <v/>
      </c>
    </row>
    <row r="167" ht="24" customHeight="1" s="78">
      <c r="A167" s="41" t="inlineStr">
        <is>
          <t>日韩系列</t>
        </is>
      </c>
      <c r="B167" s="41">
        <f>COUNTIFS(赛事明细!$P$4:$P$2000,"已结算",赛事明细!$C$4:$C$2000,$A167)</f>
        <v/>
      </c>
      <c r="C167" s="41">
        <f>COUNTIFS(赛事明细!$P$4:$P$2000,"已结算",赛事明细!$C$4:$C$2000,$A167,赛事明细!$Q$4:$Q$2000,"红")</f>
        <v/>
      </c>
      <c r="D167" s="41">
        <f>COUNTIFS(赛事明细!$P$4:$P$2000,"已结算",赛事明细!$C$4:$C$2000,$A167,赛事明细!$Q$4:$Q$2000,"半红")</f>
        <v/>
      </c>
      <c r="E167" s="41">
        <f>COUNTIFS(赛事明细!$P$4:$P$2000,"已结算",赛事明细!$C$4:$C$2000,$A167,赛事明细!$Q$4:$Q$2000,"走")</f>
        <v/>
      </c>
      <c r="F167" s="41">
        <f>COUNTIFS(赛事明细!$P$4:$P$2000,"已结算",赛事明细!$C$4:$C$2000,$A167,赛事明细!$Q$4:$Q$2000,"半黑")</f>
        <v/>
      </c>
      <c r="G167" s="41">
        <f>COUNTIFS(赛事明细!$P$4:$P$2000,"已结算",赛事明细!$C$4:$C$2000,$A167,赛事明细!$Q$4:$Q$2000,"黑")</f>
        <v/>
      </c>
      <c r="H167" s="89">
        <f>IFERROR((C167+0.5*D167)/(C167+0.5*D167+G167+0.5*F167),0)</f>
        <v/>
      </c>
      <c r="I167" s="81">
        <f>SUMIFS(赛事明细!$S$4:$S$2000,赛事明细!$P$4:$P$2000,"已结算",赛事明细!$C$4:$C$2000,$A167)</f>
        <v/>
      </c>
      <c r="J167" s="89">
        <f>IFERROR(I167/B167,0)</f>
        <v/>
      </c>
      <c r="K167" s="41">
        <f>IF(B167&lt;5,"样本&lt;5，谨慎解读","")</f>
        <v/>
      </c>
    </row>
    <row r="168" ht="24" customHeight="1" s="78">
      <c r="A168" s="41" t="inlineStr">
        <is>
          <t>其他系列</t>
        </is>
      </c>
      <c r="B168" s="41">
        <f>COUNTIFS(赛事明细!$P$4:$P$2000,"已结算",赛事明细!$C$4:$C$2000,$A168)</f>
        <v/>
      </c>
      <c r="C168" s="41">
        <f>COUNTIFS(赛事明细!$P$4:$P$2000,"已结算",赛事明细!$C$4:$C$2000,$A168,赛事明细!$Q$4:$Q$2000,"红")</f>
        <v/>
      </c>
      <c r="D168" s="41">
        <f>COUNTIFS(赛事明细!$P$4:$P$2000,"已结算",赛事明细!$C$4:$C$2000,$A168,赛事明细!$Q$4:$Q$2000,"半红")</f>
        <v/>
      </c>
      <c r="E168" s="41">
        <f>COUNTIFS(赛事明细!$P$4:$P$2000,"已结算",赛事明细!$C$4:$C$2000,$A168,赛事明细!$Q$4:$Q$2000,"走")</f>
        <v/>
      </c>
      <c r="F168" s="41">
        <f>COUNTIFS(赛事明细!$P$4:$P$2000,"已结算",赛事明细!$C$4:$C$2000,$A168,赛事明细!$Q$4:$Q$2000,"半黑")</f>
        <v/>
      </c>
      <c r="G168" s="41">
        <f>COUNTIFS(赛事明细!$P$4:$P$2000,"已结算",赛事明细!$C$4:$C$2000,$A168,赛事明细!$Q$4:$Q$2000,"黑")</f>
        <v/>
      </c>
      <c r="H168" s="89">
        <f>IFERROR((C168+0.5*D168)/(C168+0.5*D168+G168+0.5*F168),0)</f>
        <v/>
      </c>
      <c r="I168" s="81">
        <f>SUMIFS(赛事明细!$S$4:$S$2000,赛事明细!$P$4:$P$2000,"已结算",赛事明细!$C$4:$C$2000,$A168)</f>
        <v/>
      </c>
      <c r="J168" s="89">
        <f>IFERROR(I168/B168,0)</f>
        <v/>
      </c>
      <c r="K168" s="41">
        <f>IF(B168&lt;5,"样本&lt;5，谨慎解读","")</f>
        <v/>
      </c>
    </row>
    <row r="169" ht="24" customHeight="1" s="78">
      <c r="A169" s="41" t="inlineStr">
        <is>
          <t>欧洲五大系列</t>
        </is>
      </c>
      <c r="B169" s="41">
        <f>COUNTIFS(赛事明细!$P$4:$P$2000,"已结算",赛事明细!$C$4:$C$2000,$A169)</f>
        <v/>
      </c>
      <c r="C169" s="41">
        <f>COUNTIFS(赛事明细!$P$4:$P$2000,"已结算",赛事明细!$C$4:$C$2000,$A169,赛事明细!$Q$4:$Q$2000,"红")</f>
        <v/>
      </c>
      <c r="D169" s="41">
        <f>COUNTIFS(赛事明细!$P$4:$P$2000,"已结算",赛事明细!$C$4:$C$2000,$A169,赛事明细!$Q$4:$Q$2000,"半红")</f>
        <v/>
      </c>
      <c r="E169" s="41">
        <f>COUNTIFS(赛事明细!$P$4:$P$2000,"已结算",赛事明细!$C$4:$C$2000,$A169,赛事明细!$Q$4:$Q$2000,"走")</f>
        <v/>
      </c>
      <c r="F169" s="41">
        <f>COUNTIFS(赛事明细!$P$4:$P$2000,"已结算",赛事明细!$C$4:$C$2000,$A169,赛事明细!$Q$4:$Q$2000,"半黑")</f>
        <v/>
      </c>
      <c r="G169" s="41">
        <f>COUNTIFS(赛事明细!$P$4:$P$2000,"已结算",赛事明细!$C$4:$C$2000,$A169,赛事明细!$Q$4:$Q$2000,"黑")</f>
        <v/>
      </c>
      <c r="H169" s="89">
        <f>IFERROR((C169+0.5*D169)/(C169+0.5*D169+G169+0.5*F169),0)</f>
        <v/>
      </c>
      <c r="I169" s="81">
        <f>SUMIFS(赛事明细!$S$4:$S$2000,赛事明细!$P$4:$P$2000,"已结算",赛事明细!$C$4:$C$2000,$A169)</f>
        <v/>
      </c>
      <c r="J169" s="89">
        <f>IFERROR(I169/B169,0)</f>
        <v/>
      </c>
      <c r="K169" s="41">
        <f>IF(B169&lt;5,"样本&lt;5，谨慎解读","")</f>
        <v/>
      </c>
    </row>
    <row r="170" ht="24" customHeight="1" s="78">
      <c r="A170" s="41" t="inlineStr">
        <is>
          <t>北美系列</t>
        </is>
      </c>
      <c r="B170" s="41">
        <f>COUNTIFS(赛事明细!$P$4:$P$2000,"已结算",赛事明细!$C$4:$C$2000,$A170)</f>
        <v/>
      </c>
      <c r="C170" s="41">
        <f>COUNTIFS(赛事明细!$P$4:$P$2000,"已结算",赛事明细!$C$4:$C$2000,$A170,赛事明细!$Q$4:$Q$2000,"红")</f>
        <v/>
      </c>
      <c r="D170" s="41">
        <f>COUNTIFS(赛事明细!$P$4:$P$2000,"已结算",赛事明细!$C$4:$C$2000,$A170,赛事明细!$Q$4:$Q$2000,"半红")</f>
        <v/>
      </c>
      <c r="E170" s="41">
        <f>COUNTIFS(赛事明细!$P$4:$P$2000,"已结算",赛事明细!$C$4:$C$2000,$A170,赛事明细!$Q$4:$Q$2000,"走")</f>
        <v/>
      </c>
      <c r="F170" s="41">
        <f>COUNTIFS(赛事明细!$P$4:$P$2000,"已结算",赛事明细!$C$4:$C$2000,$A170,赛事明细!$Q$4:$Q$2000,"半黑")</f>
        <v/>
      </c>
      <c r="G170" s="41">
        <f>COUNTIFS(赛事明细!$P$4:$P$2000,"已结算",赛事明细!$C$4:$C$2000,$A170,赛事明细!$Q$4:$Q$2000,"黑")</f>
        <v/>
      </c>
      <c r="H170" s="89">
        <f>IFERROR((C170+0.5*D170)/(C170+0.5*D170+G170+0.5*F170),0)</f>
        <v/>
      </c>
      <c r="I170" s="81">
        <f>SUMIFS(赛事明细!$S$4:$S$2000,赛事明细!$P$4:$P$2000,"已结算",赛事明细!$C$4:$C$2000,$A170)</f>
        <v/>
      </c>
      <c r="J170" s="89">
        <f>IFERROR(I170/B170,0)</f>
        <v/>
      </c>
      <c r="K170" s="41">
        <f>IF(B170&lt;5,"样本&lt;5，谨慎解读","")</f>
        <v/>
      </c>
    </row>
    <row r="171" ht="24" customHeight="1" s="78">
      <c r="A171" s="41" t="inlineStr">
        <is>
          <t>欧冠独立赛事</t>
        </is>
      </c>
      <c r="B171" s="41">
        <f>COUNTIFS(赛事明细!$P$4:$P$2000,"已结算",赛事明细!$C$4:$C$2000,$A171)</f>
        <v/>
      </c>
      <c r="C171" s="41">
        <f>COUNTIFS(赛事明细!$P$4:$P$2000,"已结算",赛事明细!$C$4:$C$2000,$A171,赛事明细!$Q$4:$Q$2000,"红")</f>
        <v/>
      </c>
      <c r="D171" s="41">
        <f>COUNTIFS(赛事明细!$P$4:$P$2000,"已结算",赛事明细!$C$4:$C$2000,$A171,赛事明细!$Q$4:$Q$2000,"半红")</f>
        <v/>
      </c>
      <c r="E171" s="41">
        <f>COUNTIFS(赛事明细!$P$4:$P$2000,"已结算",赛事明细!$C$4:$C$2000,$A171,赛事明细!$Q$4:$Q$2000,"走")</f>
        <v/>
      </c>
      <c r="F171" s="41">
        <f>COUNTIFS(赛事明细!$P$4:$P$2000,"已结算",赛事明细!$C$4:$C$2000,$A171,赛事明细!$Q$4:$Q$2000,"半黑")</f>
        <v/>
      </c>
      <c r="G171" s="41">
        <f>COUNTIFS(赛事明细!$P$4:$P$2000,"已结算",赛事明细!$C$4:$C$2000,$A171,赛事明细!$Q$4:$Q$2000,"黑")</f>
        <v/>
      </c>
      <c r="H171" s="89">
        <f>IFERROR((C171+0.5*D171)/(C171+0.5*D171+G171+0.5*F171),0)</f>
        <v/>
      </c>
      <c r="I171" s="81">
        <f>SUMIFS(赛事明细!$S$4:$S$2000,赛事明细!$P$4:$P$2000,"已结算",赛事明细!$C$4:$C$2000,$A171)</f>
        <v/>
      </c>
      <c r="J171" s="89">
        <f>IFERROR(I171/B171,0)</f>
        <v/>
      </c>
      <c r="K171" s="41">
        <f>IF(B171&lt;5,"样本&lt;5，谨慎解读","")</f>
        <v/>
      </c>
    </row>
    <row r="172" ht="24" customHeight="1" s="78">
      <c r="A172" s="41" t="inlineStr">
        <is>
          <t>欧联独立赛事</t>
        </is>
      </c>
      <c r="B172" s="41">
        <f>COUNTIFS(赛事明细!$P$4:$P$2000,"已结算",赛事明细!$C$4:$C$2000,$A172)</f>
        <v/>
      </c>
      <c r="C172" s="41">
        <f>COUNTIFS(赛事明细!$P$4:$P$2000,"已结算",赛事明细!$C$4:$C$2000,$A172,赛事明细!$Q$4:$Q$2000,"红")</f>
        <v/>
      </c>
      <c r="D172" s="41">
        <f>COUNTIFS(赛事明细!$P$4:$P$2000,"已结算",赛事明细!$C$4:$C$2000,$A172,赛事明细!$Q$4:$Q$2000,"半红")</f>
        <v/>
      </c>
      <c r="E172" s="41">
        <f>COUNTIFS(赛事明细!$P$4:$P$2000,"已结算",赛事明细!$C$4:$C$2000,$A172,赛事明细!$Q$4:$Q$2000,"走")</f>
        <v/>
      </c>
      <c r="F172" s="41">
        <f>COUNTIFS(赛事明细!$P$4:$P$2000,"已结算",赛事明细!$C$4:$C$2000,$A172,赛事明细!$Q$4:$Q$2000,"半黑")</f>
        <v/>
      </c>
      <c r="G172" s="41">
        <f>COUNTIFS(赛事明细!$P$4:$P$2000,"已结算",赛事明细!$C$4:$C$2000,$A172,赛事明细!$Q$4:$Q$2000,"黑")</f>
        <v/>
      </c>
      <c r="H172" s="89">
        <f>IFERROR((C172+0.5*D172)/(C172+0.5*D172+G172+0.5*F172),0)</f>
        <v/>
      </c>
      <c r="I172" s="81">
        <f>SUMIFS(赛事明细!$S$4:$S$2000,赛事明细!$P$4:$P$2000,"已结算",赛事明细!$C$4:$C$2000,$A172)</f>
        <v/>
      </c>
      <c r="J172" s="89">
        <f>IFERROR(I172/B172,0)</f>
        <v/>
      </c>
      <c r="K172" s="41">
        <f>IF(B172&lt;5,"样本&lt;5，谨慎解读","")</f>
        <v/>
      </c>
    </row>
    <row r="173" ht="24" customHeight="1" s="78">
      <c r="A173" s="44" t="inlineStr">
        <is>
          <t>合计</t>
        </is>
      </c>
      <c r="B173" s="44">
        <f>SUM(B162:B172)</f>
        <v/>
      </c>
      <c r="C173" s="44">
        <f>SUM(C162:C172)</f>
        <v/>
      </c>
      <c r="D173" s="44">
        <f>SUM(D162:D172)</f>
        <v/>
      </c>
      <c r="E173" s="44">
        <f>SUM(E162:E172)</f>
        <v/>
      </c>
      <c r="F173" s="44">
        <f>SUM(F162:F172)</f>
        <v/>
      </c>
      <c r="G173" s="44">
        <f>SUM(G162:G172)</f>
        <v/>
      </c>
      <c r="H173" s="90">
        <f>IFERROR((C173+0.5*D173)/(C173+0.5*D173+G173+0.5*F173),0)</f>
        <v/>
      </c>
      <c r="I173" s="91">
        <f>SUM(I162:I172)</f>
        <v/>
      </c>
      <c r="J173" s="90">
        <f>IFERROR(I173/B173,0)</f>
        <v/>
      </c>
      <c r="K173" s="44" t="n"/>
    </row>
  </sheetData>
  <mergeCells count="6">
    <mergeCell ref="A4:K4"/>
    <mergeCell ref="A2:K2"/>
    <mergeCell ref="A11:K11"/>
    <mergeCell ref="A160:K160"/>
    <mergeCell ref="A1:K1"/>
    <mergeCell ref="A144:K144"/>
  </mergeCells>
  <conditionalFormatting sqref="H6:H8">
    <cfRule type="cellIs" priority="1" operator="greaterThanOrEqual" dxfId="3">
      <formula>0.5</formula>
    </cfRule>
    <cfRule type="cellIs" priority="2" operator="lessThan" dxfId="4">
      <formula>0.5</formula>
    </cfRule>
  </conditionalFormatting>
  <conditionalFormatting sqref="H6:H54">
    <cfRule type="cellIs" priority="49" operator="greaterThanOrEqual" dxfId="3">
      <formula>0.5</formula>
    </cfRule>
    <cfRule type="cellIs" priority="50" operator="lessThan" dxfId="4">
      <formula>0.5</formula>
    </cfRule>
  </conditionalFormatting>
  <conditionalFormatting sqref="H13:H31">
    <cfRule type="cellIs" priority="5" operator="greaterThanOrEqual" dxfId="3">
      <formula>0.5</formula>
    </cfRule>
    <cfRule type="cellIs" priority="6" operator="lessThan" dxfId="4">
      <formula>0.5</formula>
    </cfRule>
  </conditionalFormatting>
  <conditionalFormatting sqref="H13:H34">
    <cfRule type="cellIs" priority="21" operator="greaterThanOrEqual" dxfId="3">
      <formula>0.5</formula>
    </cfRule>
    <cfRule type="cellIs" priority="22" operator="lessThan" dxfId="4">
      <formula>0.5</formula>
    </cfRule>
  </conditionalFormatting>
  <conditionalFormatting sqref="H13:H48">
    <cfRule type="cellIs" priority="37" operator="greaterThanOrEqual" dxfId="3">
      <formula>0.5</formula>
    </cfRule>
    <cfRule type="cellIs" priority="38" operator="lessThan" dxfId="4">
      <formula>0.5</formula>
    </cfRule>
  </conditionalFormatting>
  <conditionalFormatting sqref="H13:H55">
    <cfRule type="cellIs" priority="69" operator="greaterThanOrEqual" dxfId="3">
      <formula>0.5</formula>
    </cfRule>
    <cfRule type="cellIs" priority="70" operator="lessThan" dxfId="4">
      <formula>0.5</formula>
    </cfRule>
  </conditionalFormatting>
  <conditionalFormatting sqref="H13:H108">
    <cfRule type="cellIs" priority="85" operator="greaterThanOrEqual" dxfId="3">
      <formula>0.5</formula>
    </cfRule>
    <cfRule type="cellIs" priority="86" operator="lessThan" dxfId="4">
      <formula>0.5</formula>
    </cfRule>
  </conditionalFormatting>
  <conditionalFormatting sqref="H13:H103">
    <cfRule type="cellIs" priority="117" operator="greaterThanOrEqual" dxfId="3">
      <formula>0.5</formula>
    </cfRule>
    <cfRule type="cellIs" priority="118" operator="lessThan" dxfId="4">
      <formula>0.5</formula>
    </cfRule>
  </conditionalFormatting>
  <conditionalFormatting sqref="H36:H42">
    <cfRule type="cellIs" priority="9" operator="greaterThanOrEqual" dxfId="3">
      <formula>0.5</formula>
    </cfRule>
    <cfRule type="cellIs" priority="10" operator="lessThan" dxfId="4">
      <formula>0.5</formula>
    </cfRule>
  </conditionalFormatting>
  <conditionalFormatting sqref="H39:H45">
    <cfRule type="cellIs" priority="25" operator="greaterThanOrEqual" dxfId="3">
      <formula>0.5</formula>
    </cfRule>
    <cfRule type="cellIs" priority="26" operator="lessThan" dxfId="4">
      <formula>0.5</formula>
    </cfRule>
  </conditionalFormatting>
  <conditionalFormatting sqref="H47:H52">
    <cfRule type="cellIs" priority="13" operator="greaterThanOrEqual" dxfId="3">
      <formula>0.5</formula>
    </cfRule>
    <cfRule type="cellIs" priority="14" operator="lessThan" dxfId="4">
      <formula>0.5</formula>
    </cfRule>
  </conditionalFormatting>
  <conditionalFormatting sqref="H50:H57">
    <cfRule type="cellIs" priority="29" operator="greaterThanOrEqual" dxfId="3">
      <formula>0.5</formula>
    </cfRule>
    <cfRule type="cellIs" priority="30" operator="lessThan" dxfId="4">
      <formula>0.5</formula>
    </cfRule>
  </conditionalFormatting>
  <conditionalFormatting sqref="H53:H60">
    <cfRule type="cellIs" priority="41" operator="greaterThanOrEqual" dxfId="3">
      <formula>0.5</formula>
    </cfRule>
    <cfRule type="cellIs" priority="42" operator="lessThan" dxfId="4">
      <formula>0.5</formula>
    </cfRule>
  </conditionalFormatting>
  <conditionalFormatting sqref="H59:H101">
    <cfRule type="cellIs" priority="53" operator="greaterThanOrEqual" dxfId="3">
      <formula>0.5</formula>
    </cfRule>
    <cfRule type="cellIs" priority="54" operator="lessThan" dxfId="4">
      <formula>0.5</formula>
    </cfRule>
  </conditionalFormatting>
  <conditionalFormatting sqref="H60:H67">
    <cfRule type="cellIs" priority="73" operator="greaterThanOrEqual" dxfId="3">
      <formula>0.5</formula>
    </cfRule>
    <cfRule type="cellIs" priority="74" operator="lessThan" dxfId="4">
      <formula>0.5</formula>
    </cfRule>
  </conditionalFormatting>
  <conditionalFormatting sqref="H65:H74">
    <cfRule type="cellIs" priority="45" operator="greaterThanOrEqual" dxfId="3">
      <formula>0.5</formula>
    </cfRule>
    <cfRule type="cellIs" priority="46" operator="lessThan" dxfId="4">
      <formula>0.5</formula>
    </cfRule>
  </conditionalFormatting>
  <conditionalFormatting sqref="H72:H81">
    <cfRule type="cellIs" priority="77" operator="greaterThanOrEqual" dxfId="3">
      <formula>0.5</formula>
    </cfRule>
    <cfRule type="cellIs" priority="78" operator="lessThan" dxfId="4">
      <formula>0.5</formula>
    </cfRule>
  </conditionalFormatting>
  <conditionalFormatting sqref="H106:H113">
    <cfRule type="cellIs" priority="57" operator="greaterThanOrEqual" dxfId="3">
      <formula>0.5</formula>
    </cfRule>
    <cfRule type="cellIs" priority="58" operator="lessThan" dxfId="4">
      <formula>0.5</formula>
    </cfRule>
  </conditionalFormatting>
  <conditionalFormatting sqref="H108:H117">
    <cfRule type="cellIs" priority="121" operator="greaterThanOrEqual" dxfId="3">
      <formula>0.5</formula>
    </cfRule>
    <cfRule type="cellIs" priority="122" operator="lessThan" dxfId="4">
      <formula>0.5</formula>
    </cfRule>
  </conditionalFormatting>
  <conditionalFormatting sqref="H113:H123">
    <cfRule type="cellIs" priority="89" operator="greaterThanOrEqual" dxfId="3">
      <formula>0.5</formula>
    </cfRule>
    <cfRule type="cellIs" priority="90" operator="lessThan" dxfId="4">
      <formula>0.5</formula>
    </cfRule>
  </conditionalFormatting>
  <conditionalFormatting sqref="H118:H127">
    <cfRule type="cellIs" priority="61" operator="greaterThanOrEqual" dxfId="3">
      <formula>0.5</formula>
    </cfRule>
    <cfRule type="cellIs" priority="62" operator="lessThan" dxfId="4">
      <formula>0.5</formula>
    </cfRule>
  </conditionalFormatting>
  <conditionalFormatting sqref="H122:H131">
    <cfRule type="cellIs" priority="125" operator="greaterThanOrEqual" dxfId="3">
      <formula>0.5</formula>
    </cfRule>
    <cfRule type="cellIs" priority="126" operator="lessThan" dxfId="4">
      <formula>0.5</formula>
    </cfRule>
  </conditionalFormatting>
  <conditionalFormatting sqref="H128:H137">
    <cfRule type="cellIs" priority="93" operator="greaterThanOrEqual" dxfId="3">
      <formula>0.5</formula>
    </cfRule>
    <cfRule type="cellIs" priority="94" operator="lessThan" dxfId="4">
      <formula>0.5</formula>
    </cfRule>
  </conditionalFormatting>
  <conditionalFormatting sqref="I6:I8">
    <cfRule type="cellIs" priority="3" operator="greaterThan" dxfId="3">
      <formula>0</formula>
    </cfRule>
    <cfRule type="cellIs" priority="4" operator="lessThan" dxfId="4">
      <formula>0</formula>
    </cfRule>
  </conditionalFormatting>
  <conditionalFormatting sqref="I6:I54">
    <cfRule type="cellIs" priority="51" operator="greaterThan" dxfId="3">
      <formula>0</formula>
    </cfRule>
    <cfRule type="cellIs" priority="52" operator="lessThan" dxfId="4">
      <formula>0</formula>
    </cfRule>
  </conditionalFormatting>
  <conditionalFormatting sqref="I13:I31">
    <cfRule type="cellIs" priority="7" operator="greaterThan" dxfId="3">
      <formula>0</formula>
    </cfRule>
    <cfRule type="cellIs" priority="8" operator="lessThan" dxfId="4">
      <formula>0</formula>
    </cfRule>
  </conditionalFormatting>
  <conditionalFormatting sqref="I13:I34">
    <cfRule type="cellIs" priority="23" operator="greaterThan" dxfId="3">
      <formula>0</formula>
    </cfRule>
    <cfRule type="cellIs" priority="24" operator="lessThan" dxfId="4">
      <formula>0</formula>
    </cfRule>
  </conditionalFormatting>
  <conditionalFormatting sqref="I13:I48">
    <cfRule type="cellIs" priority="39" operator="greaterThan" dxfId="3">
      <formula>0</formula>
    </cfRule>
    <cfRule type="cellIs" priority="40" operator="lessThan" dxfId="4">
      <formula>0</formula>
    </cfRule>
  </conditionalFormatting>
  <conditionalFormatting sqref="I13:I55">
    <cfRule type="cellIs" priority="71" operator="greaterThan" dxfId="3">
      <formula>0</formula>
    </cfRule>
    <cfRule type="cellIs" priority="72" operator="lessThan" dxfId="4">
      <formula>0</formula>
    </cfRule>
  </conditionalFormatting>
  <conditionalFormatting sqref="I13:I108">
    <cfRule type="cellIs" priority="87" operator="greaterThan" dxfId="3">
      <formula>0</formula>
    </cfRule>
    <cfRule type="cellIs" priority="88" operator="lessThan" dxfId="4">
      <formula>0</formula>
    </cfRule>
  </conditionalFormatting>
  <conditionalFormatting sqref="I13:I103">
    <cfRule type="cellIs" priority="119" operator="greaterThan" dxfId="3">
      <formula>0</formula>
    </cfRule>
    <cfRule type="cellIs" priority="120" operator="lessThan" dxfId="4">
      <formula>0</formula>
    </cfRule>
  </conditionalFormatting>
  <conditionalFormatting sqref="I36:I42">
    <cfRule type="cellIs" priority="11" operator="greaterThan" dxfId="3">
      <formula>0</formula>
    </cfRule>
    <cfRule type="cellIs" priority="12" operator="lessThan" dxfId="4">
      <formula>0</formula>
    </cfRule>
  </conditionalFormatting>
  <conditionalFormatting sqref="I39:I45">
    <cfRule type="cellIs" priority="27" operator="greaterThan" dxfId="3">
      <formula>0</formula>
    </cfRule>
    <cfRule type="cellIs" priority="28" operator="lessThan" dxfId="4">
      <formula>0</formula>
    </cfRule>
  </conditionalFormatting>
  <conditionalFormatting sqref="I47:I52">
    <cfRule type="cellIs" priority="15" operator="greaterThan" dxfId="3">
      <formula>0</formula>
    </cfRule>
    <cfRule type="cellIs" priority="16" operator="lessThan" dxfId="4">
      <formula>0</formula>
    </cfRule>
  </conditionalFormatting>
  <conditionalFormatting sqref="I50:I57">
    <cfRule type="cellIs" priority="31" operator="greaterThan" dxfId="3">
      <formula>0</formula>
    </cfRule>
    <cfRule type="cellIs" priority="32" operator="lessThan" dxfId="4">
      <formula>0</formula>
    </cfRule>
  </conditionalFormatting>
  <conditionalFormatting sqref="I53:I60">
    <cfRule type="cellIs" priority="43" operator="greaterThan" dxfId="3">
      <formula>0</formula>
    </cfRule>
    <cfRule type="cellIs" priority="44" operator="lessThan" dxfId="4">
      <formula>0</formula>
    </cfRule>
  </conditionalFormatting>
  <conditionalFormatting sqref="I59:I101">
    <cfRule type="cellIs" priority="55" operator="greaterThan" dxfId="3">
      <formula>0</formula>
    </cfRule>
    <cfRule type="cellIs" priority="56" operator="lessThan" dxfId="4">
      <formula>0</formula>
    </cfRule>
  </conditionalFormatting>
  <conditionalFormatting sqref="I60:I67">
    <cfRule type="cellIs" priority="75" operator="greaterThan" dxfId="3">
      <formula>0</formula>
    </cfRule>
    <cfRule type="cellIs" priority="76" operator="lessThan" dxfId="4">
      <formula>0</formula>
    </cfRule>
  </conditionalFormatting>
  <conditionalFormatting sqref="I65:I74">
    <cfRule type="cellIs" priority="47" operator="greaterThan" dxfId="3">
      <formula>0</formula>
    </cfRule>
    <cfRule type="cellIs" priority="48" operator="lessThan" dxfId="4">
      <formula>0</formula>
    </cfRule>
  </conditionalFormatting>
  <conditionalFormatting sqref="I72:I81">
    <cfRule type="cellIs" priority="79" operator="greaterThan" dxfId="3">
      <formula>0</formula>
    </cfRule>
    <cfRule type="cellIs" priority="80" operator="lessThan" dxfId="4">
      <formula>0</formula>
    </cfRule>
  </conditionalFormatting>
  <conditionalFormatting sqref="I106:I113">
    <cfRule type="cellIs" priority="59" operator="greaterThan" dxfId="3">
      <formula>0</formula>
    </cfRule>
    <cfRule type="cellIs" priority="60" operator="lessThan" dxfId="4">
      <formula>0</formula>
    </cfRule>
  </conditionalFormatting>
  <conditionalFormatting sqref="I108:I117">
    <cfRule type="cellIs" priority="123" operator="greaterThan" dxfId="3">
      <formula>0</formula>
    </cfRule>
    <cfRule type="cellIs" priority="124" operator="lessThan" dxfId="4">
      <formula>0</formula>
    </cfRule>
  </conditionalFormatting>
  <conditionalFormatting sqref="I113:I123">
    <cfRule type="cellIs" priority="91" operator="greaterThan" dxfId="3">
      <formula>0</formula>
    </cfRule>
    <cfRule type="cellIs" priority="92" operator="lessThan" dxfId="4">
      <formula>0</formula>
    </cfRule>
  </conditionalFormatting>
  <conditionalFormatting sqref="I118:I127">
    <cfRule type="cellIs" priority="63" operator="greaterThan" dxfId="3">
      <formula>0</formula>
    </cfRule>
    <cfRule type="cellIs" priority="64" operator="lessThan" dxfId="4">
      <formula>0</formula>
    </cfRule>
  </conditionalFormatting>
  <conditionalFormatting sqref="I122:I131">
    <cfRule type="cellIs" priority="127" operator="greaterThan" dxfId="3">
      <formula>0</formula>
    </cfRule>
    <cfRule type="cellIs" priority="128" operator="lessThan" dxfId="4">
      <formula>0</formula>
    </cfRule>
  </conditionalFormatting>
  <conditionalFormatting sqref="I128:I137">
    <cfRule type="cellIs" priority="95" operator="greaterThan" dxfId="3">
      <formula>0</formula>
    </cfRule>
    <cfRule type="cellIs" priority="96" operator="lessThan" dxfId="4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:L1"/>
    </sheetView>
  </sheetViews>
  <sheetFormatPr baseColWidth="8" defaultColWidth="9" defaultRowHeight="13.8"/>
  <cols>
    <col width="23" customWidth="1" style="78" min="1" max="1"/>
    <col width="12" customWidth="1" style="78" min="2" max="2"/>
    <col width="14" customWidth="1" style="78" min="3" max="7"/>
    <col width="12" customWidth="1" style="78" min="8" max="11"/>
    <col width="24" customWidth="1" style="78" min="12" max="12"/>
  </cols>
  <sheetData>
    <row r="1" ht="30" customHeight="1" s="78">
      <c r="A1" s="27" t="inlineStr">
        <is>
          <t>亚盘意图正向 vs 反向回测</t>
        </is>
      </c>
    </row>
    <row r="2" ht="34" customHeight="1" s="78">
      <c r="A2" s="28" t="inlineStr">
        <is>
          <t>正向=按当前亚盘意图选择的“投注方”；反向=买相反一方。仅统计已结算比赛。有效胜率=(红+0.5×半红)/(红+0.5×半红+黑+0.5×半黑)，走盘不进分母；反向水位取即时另一方水位。</t>
        </is>
      </c>
    </row>
    <row r="3">
      <c r="A3" s="29" t="n"/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</row>
    <row r="4">
      <c r="A4" s="3" t="inlineStr">
        <is>
          <t>一、总体对比</t>
        </is>
      </c>
    </row>
    <row r="5" ht="28" customHeight="1" s="78">
      <c r="A5" s="30" t="inlineStr">
        <is>
          <t>方向</t>
        </is>
      </c>
      <c r="B5" s="30" t="inlineStr">
        <is>
          <t>已结算场次</t>
        </is>
      </c>
      <c r="C5" s="30" t="inlineStr">
        <is>
          <t>红</t>
        </is>
      </c>
      <c r="D5" s="30" t="inlineStr">
        <is>
          <t>半红</t>
        </is>
      </c>
      <c r="E5" s="30" t="inlineStr">
        <is>
          <t>走</t>
        </is>
      </c>
      <c r="F5" s="30" t="inlineStr">
        <is>
          <t>半黑</t>
        </is>
      </c>
      <c r="G5" s="30" t="inlineStr">
        <is>
          <t>黑</t>
        </is>
      </c>
      <c r="H5" s="30" t="inlineStr">
        <is>
          <t>有效胜率</t>
        </is>
      </c>
      <c r="I5" s="30" t="inlineStr">
        <is>
          <t>总盈亏(u)</t>
        </is>
      </c>
      <c r="J5" s="30" t="inlineStr">
        <is>
          <t>ROI</t>
        </is>
      </c>
      <c r="K5" s="30" t="inlineStr">
        <is>
          <t>胜率判断</t>
        </is>
      </c>
      <c r="L5" s="30" t="inlineStr">
        <is>
          <t>盈亏判断</t>
        </is>
      </c>
    </row>
    <row r="6" ht="14.4" customHeight="1" s="78">
      <c r="A6" s="31" t="inlineStr">
        <is>
          <t>正向（当前投注方）</t>
        </is>
      </c>
      <c r="B6" s="32">
        <f>COUNTIF(赛事明细!$P$4:$P$2000,"已结算")</f>
        <v/>
      </c>
      <c r="C6" s="32">
        <f>COUNTIFS(赛事明细!$P$4:$P$2000,"已结算",赛事明细!$Q$4:$Q$2000,"红")</f>
        <v/>
      </c>
      <c r="D6" s="32">
        <f>COUNTIFS(赛事明细!$P$4:$P$2000,"已结算",赛事明细!$Q$4:$Q$2000,"半红")</f>
        <v/>
      </c>
      <c r="E6" s="32">
        <f>COUNTIFS(赛事明细!$P$4:$P$2000,"已结算",赛事明细!$Q$4:$Q$2000,"走")</f>
        <v/>
      </c>
      <c r="F6" s="32">
        <f>COUNTIFS(赛事明细!$P$4:$P$2000,"已结算",赛事明细!$Q$4:$Q$2000,"半黑")</f>
        <v/>
      </c>
      <c r="G6" s="32">
        <f>COUNTIFS(赛事明细!$P$4:$P$2000,"已结算",赛事明细!$Q$4:$Q$2000,"黑")</f>
        <v/>
      </c>
      <c r="H6" s="82">
        <f>IFERROR((C6+0.5*D6)/(C6+0.5*D6+G6+0.5*F6),"")</f>
        <v/>
      </c>
      <c r="I6" s="83">
        <f>SUMIFS(赛事明细!$S$4:$S$2000,赛事明细!$P$4:$P$2000,"已结算")</f>
        <v/>
      </c>
      <c r="J6" s="82">
        <f>IF(B6=0,"",I6/B6)</f>
        <v/>
      </c>
      <c r="K6" s="53">
        <f>""</f>
        <v/>
      </c>
      <c r="L6" s="53">
        <f>""</f>
        <v/>
      </c>
    </row>
    <row r="7" ht="14.4" customHeight="1" s="78">
      <c r="A7" s="31" t="inlineStr">
        <is>
          <t>反向（相反投注方）</t>
        </is>
      </c>
      <c r="B7" s="32">
        <f>COUNTIF(赛事明细!$P$4:$P$2000,"已结算")</f>
        <v/>
      </c>
      <c r="C7" s="32">
        <f>COUNTIFS(赛事明细!$P$4:$P$2000,"已结算",赛事明细!$U$4:$U$2000,"红")</f>
        <v/>
      </c>
      <c r="D7" s="32">
        <f>COUNTIFS(赛事明细!$P$4:$P$2000,"已结算",赛事明细!$U$4:$U$2000,"半红")</f>
        <v/>
      </c>
      <c r="E7" s="32">
        <f>COUNTIFS(赛事明细!$P$4:$P$2000,"已结算",赛事明细!$U$4:$U$2000,"走")</f>
        <v/>
      </c>
      <c r="F7" s="32">
        <f>COUNTIFS(赛事明细!$P$4:$P$2000,"已结算",赛事明细!$U$4:$U$2000,"半黑")</f>
        <v/>
      </c>
      <c r="G7" s="32">
        <f>COUNTIFS(赛事明细!$P$4:$P$2000,"已结算",赛事明细!$U$4:$U$2000,"黑")</f>
        <v/>
      </c>
      <c r="H7" s="82">
        <f>IFERROR((C7+0.5*D7)/(C7+0.5*D7+G7+0.5*F7),"")</f>
        <v/>
      </c>
      <c r="I7" s="83">
        <f>SUMIFS(赛事明细!$W$4:$W$2000,赛事明细!$P$4:$P$2000,"已结算")</f>
        <v/>
      </c>
      <c r="J7" s="82">
        <f>IF(B7=0,"",I7/B7)</f>
        <v/>
      </c>
      <c r="K7" s="53">
        <f>""</f>
        <v/>
      </c>
      <c r="L7" s="53">
        <f>""</f>
        <v/>
      </c>
    </row>
    <row r="8" ht="14.4" customHeight="1" s="78">
      <c r="A8" s="36" t="inlineStr">
        <is>
          <t>结论</t>
        </is>
      </c>
      <c r="B8" s="37" t="n"/>
      <c r="C8" s="37" t="n"/>
      <c r="D8" s="37" t="n"/>
      <c r="E8" s="37" t="n"/>
      <c r="F8" s="37" t="n"/>
      <c r="G8" s="37" t="n"/>
      <c r="H8" s="36" t="n"/>
      <c r="I8" s="36" t="n"/>
      <c r="J8" s="36" t="n"/>
      <c r="K8" s="36">
        <f>IF(H6&gt;H7,"正向更高",IF(H6&lt;H7,"反向更高","相同"))</f>
        <v/>
      </c>
      <c r="L8" s="36">
        <f>IF(I6&gt;I7,"正向更优",IF(I6&lt;I7,"反向更优","相同"))</f>
        <v/>
      </c>
    </row>
    <row r="9">
      <c r="A9" s="29" t="n"/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</row>
    <row r="10">
      <c r="A10" s="29" t="n"/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</row>
    <row r="11">
      <c r="A11" s="3" t="inlineStr">
        <is>
          <t>二、按亚盘意图比较</t>
        </is>
      </c>
    </row>
    <row r="12" ht="32" customHeight="1" s="78">
      <c r="A12" s="30" t="inlineStr">
        <is>
          <t>亚盘意图</t>
        </is>
      </c>
      <c r="B12" s="30" t="inlineStr">
        <is>
          <t>已结算场次</t>
        </is>
      </c>
      <c r="C12" s="30" t="inlineStr">
        <is>
          <t>正向有效胜率</t>
        </is>
      </c>
      <c r="D12" s="30" t="inlineStr">
        <is>
          <t>反向有效胜率</t>
        </is>
      </c>
      <c r="E12" s="30" t="inlineStr">
        <is>
          <t>胜率差（正-反）</t>
        </is>
      </c>
      <c r="F12" s="30" t="inlineStr">
        <is>
          <t>正向盈亏(u)</t>
        </is>
      </c>
      <c r="G12" s="30" t="inlineStr">
        <is>
          <t>反向盈亏(u)</t>
        </is>
      </c>
      <c r="H12" s="30" t="inlineStr">
        <is>
          <t>正向ROI</t>
        </is>
      </c>
      <c r="I12" s="30" t="inlineStr">
        <is>
          <t>反向ROI</t>
        </is>
      </c>
      <c r="J12" s="30" t="inlineStr">
        <is>
          <t>胜率方向</t>
        </is>
      </c>
      <c r="K12" s="30" t="inlineStr">
        <is>
          <t>盈亏方向</t>
        </is>
      </c>
      <c r="L12" s="30" t="inlineStr">
        <is>
          <t>备注</t>
        </is>
      </c>
    </row>
    <row r="13" ht="14.4" customHeight="1" s="78">
      <c r="A13" s="31" t="inlineStr">
        <is>
          <t>真实示强/阻上</t>
        </is>
      </c>
      <c r="B13" s="32">
        <f>COUNTIFS(赛事明细!$P$4:$P$2000,"已结算",赛事明细!$K$4:$K$2000,$A13)</f>
        <v/>
      </c>
      <c r="C13" s="82">
        <f>IFERROR((COUNTIFS(赛事明细!$P$4:$P$2000,"已结算",赛事明细!$K$4:$K$2000,$A13,赛事明细!$Q$4:$Q$2000,"红")+0.5*COUNTIFS(赛事明细!$P$4:$P$2000,"已结算",赛事明细!$K$4:$K$2000,$A13,赛事明细!$Q$4:$Q$2000,"半红"))/(COUNTIFS(赛事明细!$P$4:$P$2000,"已结算",赛事明细!$K$4:$K$2000,$A13,赛事明细!$Q$4:$Q$2000,"红")+0.5*COUNTIFS(赛事明细!$P$4:$P$2000,"已结算",赛事明细!$K$4:$K$2000,$A13,赛事明细!$Q$4:$Q$2000,"半红")+COUNTIFS(赛事明细!$P$4:$P$2000,"已结算",赛事明细!$K$4:$K$2000,$A13,赛事明细!$Q$4:$Q$2000,"黑")+0.5*COUNTIFS(赛事明细!$P$4:$P$2000,"已结算",赛事明细!$K$4:$K$2000,$A13,赛事明细!$Q$4:$Q$2000,"半黑")),"")</f>
        <v/>
      </c>
      <c r="D13" s="82">
        <f>IFERROR((COUNTIFS(赛事明细!$P$4:$P$2000,"已结算",赛事明细!$K$4:$K$2000,$A13,赛事明细!$U$4:$U$2000,"红")+0.5*COUNTIFS(赛事明细!$P$4:$P$2000,"已结算",赛事明细!$K$4:$K$2000,$A13,赛事明细!$U$4:$U$2000,"半红"))/(COUNTIFS(赛事明细!$P$4:$P$2000,"已结算",赛事明细!$K$4:$K$2000,$A13,赛事明细!$U$4:$U$2000,"红")+0.5*COUNTIFS(赛事明细!$P$4:$P$2000,"已结算",赛事明细!$K$4:$K$2000,$A13,赛事明细!$U$4:$U$2000,"半红")+COUNTIFS(赛事明细!$P$4:$P$2000,"已结算",赛事明细!$K$4:$K$2000,$A13,赛事明细!$U$4:$U$2000,"黑")+0.5*COUNTIFS(赛事明细!$P$4:$P$2000,"已结算",赛事明细!$K$4:$K$2000,$A13,赛事明细!$U$4:$U$2000,"半黑")),"")</f>
        <v/>
      </c>
      <c r="E13" s="82">
        <f>C13-D13</f>
        <v/>
      </c>
      <c r="F13" s="83">
        <f>SUMIFS(赛事明细!$S$4:$S$2000,赛事明细!$P$4:$P$2000,"已结算",赛事明细!$K$4:$K$2000,$A13)</f>
        <v/>
      </c>
      <c r="G13" s="83">
        <f>SUMIFS(赛事明细!$W$4:$W$2000,赛事明细!$P$4:$P$2000,"已结算",赛事明细!$K$4:$K$2000,$A13)</f>
        <v/>
      </c>
      <c r="H13" s="82">
        <f>IF(B13=0,"",F13/B13)</f>
        <v/>
      </c>
      <c r="I13" s="82">
        <f>IF(B13=0,"",G13/B13)</f>
        <v/>
      </c>
      <c r="J13" s="53">
        <f>IF(C13&gt;D13,"正向",IF(C13&lt;D13,"反向","相同"))</f>
        <v/>
      </c>
      <c r="K13" s="53">
        <f>IF(F13&gt;G13,"正向",IF(F13&lt;G13,"反向","相同"))</f>
        <v/>
      </c>
      <c r="L13" s="53">
        <f>IF(B13=0,"无已结算样本",IF(B13&lt;5,"样本&lt;5，谨慎解读",""))</f>
        <v/>
      </c>
    </row>
    <row r="14" ht="14.4" customHeight="1" s="78">
      <c r="A14" s="31" t="inlineStr">
        <is>
          <t>诱上/阻下</t>
        </is>
      </c>
      <c r="B14" s="32">
        <f>COUNTIFS(赛事明细!$P$4:$P$2000,"已结算",赛事明细!$K$4:$K$2000,$A14)</f>
        <v/>
      </c>
      <c r="C14" s="82">
        <f>IFERROR((COUNTIFS(赛事明细!$P$4:$P$2000,"已结算",赛事明细!$K$4:$K$2000,$A14,赛事明细!$Q$4:$Q$2000,"红")+0.5*COUNTIFS(赛事明细!$P$4:$P$2000,"已结算",赛事明细!$K$4:$K$2000,$A14,赛事明细!$Q$4:$Q$2000,"半红"))/(COUNTIFS(赛事明细!$P$4:$P$2000,"已结算",赛事明细!$K$4:$K$2000,$A14,赛事明细!$Q$4:$Q$2000,"红")+0.5*COUNTIFS(赛事明细!$P$4:$P$2000,"已结算",赛事明细!$K$4:$K$2000,$A14,赛事明细!$Q$4:$Q$2000,"半红")+COUNTIFS(赛事明细!$P$4:$P$2000,"已结算",赛事明细!$K$4:$K$2000,$A14,赛事明细!$Q$4:$Q$2000,"黑")+0.5*COUNTIFS(赛事明细!$P$4:$P$2000,"已结算",赛事明细!$K$4:$K$2000,$A14,赛事明细!$Q$4:$Q$2000,"半黑")),"")</f>
        <v/>
      </c>
      <c r="D14" s="82">
        <f>IFERROR((COUNTIFS(赛事明细!$P$4:$P$2000,"已结算",赛事明细!$K$4:$K$2000,$A14,赛事明细!$U$4:$U$2000,"红")+0.5*COUNTIFS(赛事明细!$P$4:$P$2000,"已结算",赛事明细!$K$4:$K$2000,$A14,赛事明细!$U$4:$U$2000,"半红"))/(COUNTIFS(赛事明细!$P$4:$P$2000,"已结算",赛事明细!$K$4:$K$2000,$A14,赛事明细!$U$4:$U$2000,"红")+0.5*COUNTIFS(赛事明细!$P$4:$P$2000,"已结算",赛事明细!$K$4:$K$2000,$A14,赛事明细!$U$4:$U$2000,"半红")+COUNTIFS(赛事明细!$P$4:$P$2000,"已结算",赛事明细!$K$4:$K$2000,$A14,赛事明细!$U$4:$U$2000,"黑")+0.5*COUNTIFS(赛事明细!$P$4:$P$2000,"已结算",赛事明细!$K$4:$K$2000,$A14,赛事明细!$U$4:$U$2000,"半黑")),"")</f>
        <v/>
      </c>
      <c r="E14" s="82">
        <f>C14-D14</f>
        <v/>
      </c>
      <c r="F14" s="83">
        <f>SUMIFS(赛事明细!$S$4:$S$2000,赛事明细!$P$4:$P$2000,"已结算",赛事明细!$K$4:$K$2000,$A14)</f>
        <v/>
      </c>
      <c r="G14" s="83">
        <f>SUMIFS(赛事明细!$W$4:$W$2000,赛事明细!$P$4:$P$2000,"已结算",赛事明细!$K$4:$K$2000,$A14)</f>
        <v/>
      </c>
      <c r="H14" s="82">
        <f>IF(B14=0,"",F14/B14)</f>
        <v/>
      </c>
      <c r="I14" s="82">
        <f>IF(B14=0,"",G14/B14)</f>
        <v/>
      </c>
      <c r="J14" s="53">
        <f>IF(C14&gt;D14,"正向",IF(C14&lt;D14,"反向","相同"))</f>
        <v/>
      </c>
      <c r="K14" s="53">
        <f>IF(F14&gt;G14,"正向",IF(F14&lt;G14,"反向","相同"))</f>
        <v/>
      </c>
      <c r="L14" s="53">
        <f>IF(B14=0,"无已结算样本",IF(B14&lt;5,"样本&lt;5，谨慎解读",""))</f>
        <v/>
      </c>
    </row>
    <row r="15" ht="14.4" customHeight="1" s="78">
      <c r="A15" s="31" t="inlineStr">
        <is>
          <t>降温保护/诱下</t>
        </is>
      </c>
      <c r="B15" s="32">
        <f>COUNTIFS(赛事明细!$P$4:$P$2000,"已结算",赛事明细!$K$4:$K$2000,$A15)</f>
        <v/>
      </c>
      <c r="C15" s="82">
        <f>IFERROR((COUNTIFS(赛事明细!$P$4:$P$2000,"已结算",赛事明细!$K$4:$K$2000,$A15,赛事明细!$Q$4:$Q$2000,"红")+0.5*COUNTIFS(赛事明细!$P$4:$P$2000,"已结算",赛事明细!$K$4:$K$2000,$A15,赛事明细!$Q$4:$Q$2000,"半红"))/(COUNTIFS(赛事明细!$P$4:$P$2000,"已结算",赛事明细!$K$4:$K$2000,$A15,赛事明细!$Q$4:$Q$2000,"红")+0.5*COUNTIFS(赛事明细!$P$4:$P$2000,"已结算",赛事明细!$K$4:$K$2000,$A15,赛事明细!$Q$4:$Q$2000,"半红")+COUNTIFS(赛事明细!$P$4:$P$2000,"已结算",赛事明细!$K$4:$K$2000,$A15,赛事明细!$Q$4:$Q$2000,"黑")+0.5*COUNTIFS(赛事明细!$P$4:$P$2000,"已结算",赛事明细!$K$4:$K$2000,$A15,赛事明细!$Q$4:$Q$2000,"半黑")),"")</f>
        <v/>
      </c>
      <c r="D15" s="82">
        <f>IFERROR((COUNTIFS(赛事明细!$P$4:$P$2000,"已结算",赛事明细!$K$4:$K$2000,$A15,赛事明细!$U$4:$U$2000,"红")+0.5*COUNTIFS(赛事明细!$P$4:$P$2000,"已结算",赛事明细!$K$4:$K$2000,$A15,赛事明细!$U$4:$U$2000,"半红"))/(COUNTIFS(赛事明细!$P$4:$P$2000,"已结算",赛事明细!$K$4:$K$2000,$A15,赛事明细!$U$4:$U$2000,"红")+0.5*COUNTIFS(赛事明细!$P$4:$P$2000,"已结算",赛事明细!$K$4:$K$2000,$A15,赛事明细!$U$4:$U$2000,"半红")+COUNTIFS(赛事明细!$P$4:$P$2000,"已结算",赛事明细!$K$4:$K$2000,$A15,赛事明细!$U$4:$U$2000,"黑")+0.5*COUNTIFS(赛事明细!$P$4:$P$2000,"已结算",赛事明细!$K$4:$K$2000,$A15,赛事明细!$U$4:$U$2000,"半黑")),"")</f>
        <v/>
      </c>
      <c r="E15" s="82">
        <f>C15-D15</f>
        <v/>
      </c>
      <c r="F15" s="83">
        <f>SUMIFS(赛事明细!$S$4:$S$2000,赛事明细!$P$4:$P$2000,"已结算",赛事明细!$K$4:$K$2000,$A15)</f>
        <v/>
      </c>
      <c r="G15" s="83">
        <f>SUMIFS(赛事明细!$W$4:$W$2000,赛事明细!$P$4:$P$2000,"已结算",赛事明细!$K$4:$K$2000,$A15)</f>
        <v/>
      </c>
      <c r="H15" s="82">
        <f>IF(B15=0,"",F15/B15)</f>
        <v/>
      </c>
      <c r="I15" s="82">
        <f>IF(B15=0,"",G15/B15)</f>
        <v/>
      </c>
      <c r="J15" s="53">
        <f>IF(C15&gt;D15,"正向",IF(C15&lt;D15,"反向","相同"))</f>
        <v/>
      </c>
      <c r="K15" s="53">
        <f>IF(F15&gt;G15,"正向",IF(F15&lt;G15,"反向","相同"))</f>
        <v/>
      </c>
      <c r="L15" s="53">
        <f>IF(B15=0,"无已结算样本",IF(B15&lt;5,"样本&lt;5，谨慎解读",""))</f>
        <v/>
      </c>
    </row>
    <row r="16" ht="14.4" customHeight="1" s="78">
      <c r="A16" s="31" t="inlineStr">
        <is>
          <t>阻下/上盘保护</t>
        </is>
      </c>
      <c r="B16" s="32">
        <f>COUNTIFS(赛事明细!$P$4:$P$2000,"已结算",赛事明细!$K$4:$K$2000,$A16)</f>
        <v/>
      </c>
      <c r="C16" s="82">
        <f>IFERROR((COUNTIFS(赛事明细!$P$4:$P$2000,"已结算",赛事明细!$K$4:$K$2000,$A16,赛事明细!$Q$4:$Q$2000,"红")+0.5*COUNTIFS(赛事明细!$P$4:$P$2000,"已结算",赛事明细!$K$4:$K$2000,$A16,赛事明细!$Q$4:$Q$2000,"半红"))/(COUNTIFS(赛事明细!$P$4:$P$2000,"已结算",赛事明细!$K$4:$K$2000,$A16,赛事明细!$Q$4:$Q$2000,"红")+0.5*COUNTIFS(赛事明细!$P$4:$P$2000,"已结算",赛事明细!$K$4:$K$2000,$A16,赛事明细!$Q$4:$Q$2000,"半红")+COUNTIFS(赛事明细!$P$4:$P$2000,"已结算",赛事明细!$K$4:$K$2000,$A16,赛事明细!$Q$4:$Q$2000,"黑")+0.5*COUNTIFS(赛事明细!$P$4:$P$2000,"已结算",赛事明细!$K$4:$K$2000,$A16,赛事明细!$Q$4:$Q$2000,"半黑")),"")</f>
        <v/>
      </c>
      <c r="D16" s="82">
        <f>IFERROR((COUNTIFS(赛事明细!$P$4:$P$2000,"已结算",赛事明细!$K$4:$K$2000,$A16,赛事明细!$U$4:$U$2000,"红")+0.5*COUNTIFS(赛事明细!$P$4:$P$2000,"已结算",赛事明细!$K$4:$K$2000,$A16,赛事明细!$U$4:$U$2000,"半红"))/(COUNTIFS(赛事明细!$P$4:$P$2000,"已结算",赛事明细!$K$4:$K$2000,$A16,赛事明细!$U$4:$U$2000,"红")+0.5*COUNTIFS(赛事明细!$P$4:$P$2000,"已结算",赛事明细!$K$4:$K$2000,$A16,赛事明细!$U$4:$U$2000,"半红")+COUNTIFS(赛事明细!$P$4:$P$2000,"已结算",赛事明细!$K$4:$K$2000,$A16,赛事明细!$U$4:$U$2000,"黑")+0.5*COUNTIFS(赛事明细!$P$4:$P$2000,"已结算",赛事明细!$K$4:$K$2000,$A16,赛事明细!$U$4:$U$2000,"半黑")),"")</f>
        <v/>
      </c>
      <c r="E16" s="82">
        <f>C16-D16</f>
        <v/>
      </c>
      <c r="F16" s="83">
        <f>SUMIFS(赛事明细!$S$4:$S$2000,赛事明细!$P$4:$P$2000,"已结算",赛事明细!$K$4:$K$2000,$A16)</f>
        <v/>
      </c>
      <c r="G16" s="83">
        <f>SUMIFS(赛事明细!$W$4:$W$2000,赛事明细!$P$4:$P$2000,"已结算",赛事明细!$K$4:$K$2000,$A16)</f>
        <v/>
      </c>
      <c r="H16" s="82">
        <f>IF(B16=0,"",F16/B16)</f>
        <v/>
      </c>
      <c r="I16" s="82">
        <f>IF(B16=0,"",G16/B16)</f>
        <v/>
      </c>
      <c r="J16" s="53">
        <f>IF(C16&gt;D16,"正向",IF(C16&lt;D16,"反向","相同"))</f>
        <v/>
      </c>
      <c r="K16" s="53">
        <f>IF(F16&gt;G16,"正向",IF(F16&lt;G16,"反向","相同"))</f>
        <v/>
      </c>
      <c r="L16" s="53">
        <f>IF(B16=0,"无已结算样本",IF(B16&lt;5,"样本&lt;5，谨慎解读",""))</f>
        <v/>
      </c>
    </row>
    <row r="17" ht="14.4" customHeight="1" s="78">
      <c r="A17" s="31" t="inlineStr">
        <is>
          <t>阻上/诱下</t>
        </is>
      </c>
      <c r="B17" s="32">
        <f>COUNTIFS(赛事明细!$P$4:$P$2000,"已结算",赛事明细!$K$4:$K$2000,$A17)</f>
        <v/>
      </c>
      <c r="C17" s="82">
        <f>IFERROR((COUNTIFS(赛事明细!$P$4:$P$2000,"已结算",赛事明细!$K$4:$K$2000,$A17,赛事明细!$Q$4:$Q$2000,"红")+0.5*COUNTIFS(赛事明细!$P$4:$P$2000,"已结算",赛事明细!$K$4:$K$2000,$A17,赛事明细!$Q$4:$Q$2000,"半红"))/(COUNTIFS(赛事明细!$P$4:$P$2000,"已结算",赛事明细!$K$4:$K$2000,$A17,赛事明细!$Q$4:$Q$2000,"红")+0.5*COUNTIFS(赛事明细!$P$4:$P$2000,"已结算",赛事明细!$K$4:$K$2000,$A17,赛事明细!$Q$4:$Q$2000,"半红")+COUNTIFS(赛事明细!$P$4:$P$2000,"已结算",赛事明细!$K$4:$K$2000,$A17,赛事明细!$Q$4:$Q$2000,"黑")+0.5*COUNTIFS(赛事明细!$P$4:$P$2000,"已结算",赛事明细!$K$4:$K$2000,$A17,赛事明细!$Q$4:$Q$2000,"半黑")),"")</f>
        <v/>
      </c>
      <c r="D17" s="82">
        <f>IFERROR((COUNTIFS(赛事明细!$P$4:$P$2000,"已结算",赛事明细!$K$4:$K$2000,$A17,赛事明细!$U$4:$U$2000,"红")+0.5*COUNTIFS(赛事明细!$P$4:$P$2000,"已结算",赛事明细!$K$4:$K$2000,$A17,赛事明细!$U$4:$U$2000,"半红"))/(COUNTIFS(赛事明细!$P$4:$P$2000,"已结算",赛事明细!$K$4:$K$2000,$A17,赛事明细!$U$4:$U$2000,"红")+0.5*COUNTIFS(赛事明细!$P$4:$P$2000,"已结算",赛事明细!$K$4:$K$2000,$A17,赛事明细!$U$4:$U$2000,"半红")+COUNTIFS(赛事明细!$P$4:$P$2000,"已结算",赛事明细!$K$4:$K$2000,$A17,赛事明细!$U$4:$U$2000,"黑")+0.5*COUNTIFS(赛事明细!$P$4:$P$2000,"已结算",赛事明细!$K$4:$K$2000,$A17,赛事明细!$U$4:$U$2000,"半黑")),"")</f>
        <v/>
      </c>
      <c r="E17" s="82">
        <f>C17-D17</f>
        <v/>
      </c>
      <c r="F17" s="83">
        <f>SUMIFS(赛事明细!$S$4:$S$2000,赛事明细!$P$4:$P$2000,"已结算",赛事明细!$K$4:$K$2000,$A17)</f>
        <v/>
      </c>
      <c r="G17" s="83">
        <f>SUMIFS(赛事明细!$W$4:$W$2000,赛事明细!$P$4:$P$2000,"已结算",赛事明细!$K$4:$K$2000,$A17)</f>
        <v/>
      </c>
      <c r="H17" s="82">
        <f>IF(B17=0,"",F17/B17)</f>
        <v/>
      </c>
      <c r="I17" s="82">
        <f>IF(B17=0,"",G17/B17)</f>
        <v/>
      </c>
      <c r="J17" s="53">
        <f>IF(C17&gt;D17,"正向",IF(C17&lt;D17,"反向","相同"))</f>
        <v/>
      </c>
      <c r="K17" s="53">
        <f>IF(F17&gt;G17,"正向",IF(F17&lt;G17,"反向","相同"))</f>
        <v/>
      </c>
      <c r="L17" s="53">
        <f>IF(B17=0,"无已结算样本",IF(B17&lt;5,"样本&lt;5，谨慎解读",""))</f>
        <v/>
      </c>
    </row>
    <row r="18" ht="14.4" customHeight="1" s="78">
      <c r="A18" s="31" t="inlineStr">
        <is>
          <t>诱下/上盘降温</t>
        </is>
      </c>
      <c r="B18" s="32">
        <f>COUNTIFS(赛事明细!$P$4:$P$2000,"已结算",赛事明细!$K$4:$K$2000,$A18)</f>
        <v/>
      </c>
      <c r="C18" s="82">
        <f>IFERROR((COUNTIFS(赛事明细!$P$4:$P$2000,"已结算",赛事明细!$K$4:$K$2000,$A18,赛事明细!$Q$4:$Q$2000,"红")+0.5*COUNTIFS(赛事明细!$P$4:$P$2000,"已结算",赛事明细!$K$4:$K$2000,$A18,赛事明细!$Q$4:$Q$2000,"半红"))/(COUNTIFS(赛事明细!$P$4:$P$2000,"已结算",赛事明细!$K$4:$K$2000,$A18,赛事明细!$Q$4:$Q$2000,"红")+0.5*COUNTIFS(赛事明细!$P$4:$P$2000,"已结算",赛事明细!$K$4:$K$2000,$A18,赛事明细!$Q$4:$Q$2000,"半红")+COUNTIFS(赛事明细!$P$4:$P$2000,"已结算",赛事明细!$K$4:$K$2000,$A18,赛事明细!$Q$4:$Q$2000,"黑")+0.5*COUNTIFS(赛事明细!$P$4:$P$2000,"已结算",赛事明细!$K$4:$K$2000,$A18,赛事明细!$Q$4:$Q$2000,"半黑")),"")</f>
        <v/>
      </c>
      <c r="D18" s="82">
        <f>IFERROR((COUNTIFS(赛事明细!$P$4:$P$2000,"已结算",赛事明细!$K$4:$K$2000,$A18,赛事明细!$U$4:$U$2000,"红")+0.5*COUNTIFS(赛事明细!$P$4:$P$2000,"已结算",赛事明细!$K$4:$K$2000,$A18,赛事明细!$U$4:$U$2000,"半红"))/(COUNTIFS(赛事明细!$P$4:$P$2000,"已结算",赛事明细!$K$4:$K$2000,$A18,赛事明细!$U$4:$U$2000,"红")+0.5*COUNTIFS(赛事明细!$P$4:$P$2000,"已结算",赛事明细!$K$4:$K$2000,$A18,赛事明细!$U$4:$U$2000,"半红")+COUNTIFS(赛事明细!$P$4:$P$2000,"已结算",赛事明细!$K$4:$K$2000,$A18,赛事明细!$U$4:$U$2000,"黑")+0.5*COUNTIFS(赛事明细!$P$4:$P$2000,"已结算",赛事明细!$K$4:$K$2000,$A18,赛事明细!$U$4:$U$2000,"半黑")),"")</f>
        <v/>
      </c>
      <c r="E18" s="82">
        <f>C18-D18</f>
        <v/>
      </c>
      <c r="F18" s="83">
        <f>SUMIFS(赛事明细!$S$4:$S$2000,赛事明细!$P$4:$P$2000,"已结算",赛事明细!$K$4:$K$2000,$A18)</f>
        <v/>
      </c>
      <c r="G18" s="83">
        <f>SUMIFS(赛事明细!$W$4:$W$2000,赛事明细!$P$4:$P$2000,"已结算",赛事明细!$K$4:$K$2000,$A18)</f>
        <v/>
      </c>
      <c r="H18" s="82">
        <f>IF(B18=0,"",F18/B18)</f>
        <v/>
      </c>
      <c r="I18" s="82">
        <f>IF(B18=0,"",G18/B18)</f>
        <v/>
      </c>
      <c r="J18" s="53">
        <f>IF(C18&gt;D18,"正向",IF(C18&lt;D18,"反向","相同"))</f>
        <v/>
      </c>
      <c r="K18" s="53">
        <f>IF(F18&gt;G18,"正向",IF(F18&lt;G18,"反向","相同"))</f>
        <v/>
      </c>
      <c r="L18" s="53">
        <f>IF(B18=0,"无已结算样本",IF(B18&lt;5,"样本&lt;5，谨慎解读",""))</f>
        <v/>
      </c>
    </row>
  </sheetData>
  <mergeCells count="4">
    <mergeCell ref="A11:L11"/>
    <mergeCell ref="A2:L2"/>
    <mergeCell ref="A1:L1"/>
    <mergeCell ref="A4:L4"/>
  </mergeCells>
  <conditionalFormatting sqref="H6:H7">
    <cfRule type="cellIs" priority="1" operator="greaterThanOrEqual" dxfId="3">
      <formula>0.5</formula>
    </cfRule>
    <cfRule type="cellIs" priority="2" operator="lessThan" dxfId="4">
      <formula>0.5</formula>
    </cfRule>
  </conditionalFormatting>
  <conditionalFormatting sqref="I6:I7">
    <cfRule type="cellIs" priority="3" operator="greaterThan" dxfId="3">
      <formula>0</formula>
    </cfRule>
    <cfRule type="cellIs" priority="4" operator="lessThan" dxfId="4">
      <formula>0</formula>
    </cfRule>
  </conditionalFormatting>
  <conditionalFormatting sqref="C13:D18">
    <cfRule type="cellIs" priority="5" operator="greaterThanOrEqual" dxfId="3">
      <formula>0.5</formula>
    </cfRule>
    <cfRule type="cellIs" priority="6" operator="lessThan" dxfId="4">
      <formula>0.5</formula>
    </cfRule>
  </conditionalFormatting>
  <conditionalFormatting sqref="F13:G18">
    <cfRule type="cellIs" priority="7" operator="greaterThan" dxfId="3">
      <formula>0</formula>
    </cfRule>
    <cfRule type="cellIs" priority="8" operator="lessThan" dxfId="4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4" topLeftCell="A5" activePane="bottomLeft" state="frozen"/>
      <selection activeCell="A1" sqref="A1"/>
      <selection pane="bottomLeft" activeCell="A1" sqref="A1"/>
    </sheetView>
  </sheetViews>
  <sheetFormatPr baseColWidth="8" defaultColWidth="9" defaultRowHeight="13.8"/>
  <cols>
    <col width="28" customWidth="1" style="78" min="1" max="1"/>
    <col width="12" customWidth="1" style="78" min="2" max="2"/>
    <col width="14" customWidth="1" style="78" min="3" max="5"/>
    <col width="20" customWidth="1" style="78" min="6" max="6"/>
    <col width="14" customWidth="1" style="78" min="7" max="10"/>
    <col width="16" customWidth="1" style="78" min="11" max="11"/>
  </cols>
  <sheetData>
    <row r="1" ht="24" customHeight="1" s="78">
      <c r="A1" s="19" t="inlineStr">
        <is>
          <t>让 0.75 至 1.0 盘口 Delta_Conv 回测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</row>
    <row r="2" ht="20" customHeight="1" s="78">
      <c r="A2" s="20" t="inlineStr">
        <is>
          <t>Delta_Conv = 即时投注水位 - 欧转亚理论水位；理论水位由去水1X2概率拟合独立泊松模型后计算。</t>
        </is>
      </c>
      <c r="B2" s="41" t="n"/>
      <c r="C2" s="41" t="n"/>
      <c r="D2" s="41" t="n"/>
      <c r="E2" s="41" t="n"/>
      <c r="F2" s="41" t="n"/>
      <c r="G2" s="41" t="n"/>
      <c r="H2" s="41" t="n"/>
      <c r="I2" s="41" t="n"/>
      <c r="J2" s="41" t="n"/>
      <c r="K2" s="41" t="n"/>
    </row>
    <row r="3" ht="20" customHeight="1" s="78">
      <c r="A3" s="21" t="inlineStr">
        <is>
          <t>说明：1X2到亚盘并非唯一映射，泊松分布是假设；阈值必须看样本量与时间外验证，不能仅凭全样本最优值。</t>
        </is>
      </c>
      <c r="B3" s="41" t="n"/>
      <c r="C3" s="41" t="n"/>
      <c r="D3" s="41" t="n"/>
      <c r="E3" s="41" t="n"/>
      <c r="F3" s="41" t="n"/>
      <c r="G3" s="41" t="n"/>
      <c r="H3" s="41" t="n"/>
      <c r="I3" s="41" t="n"/>
      <c r="J3" s="41" t="n"/>
      <c r="K3" s="41" t="n"/>
    </row>
    <row r="4" ht="20" customHeight="1" s="7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</row>
    <row r="5" ht="20" customHeight="1" s="78">
      <c r="A5" s="22" t="inlineStr">
        <is>
          <t>盲区结算汇总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 ht="20" customHeight="1" s="78">
      <c r="A6" s="23" t="inlineStr">
        <is>
          <t>范围</t>
        </is>
      </c>
      <c r="B6" s="23" t="inlineStr">
        <is>
          <t>场次</t>
        </is>
      </c>
      <c r="C6" s="23" t="inlineStr">
        <is>
          <t>红</t>
        </is>
      </c>
      <c r="D6" s="23" t="inlineStr">
        <is>
          <t>半红</t>
        </is>
      </c>
      <c r="E6" s="23" t="inlineStr">
        <is>
          <t>走</t>
        </is>
      </c>
      <c r="F6" s="23" t="inlineStr">
        <is>
          <t>半黑</t>
        </is>
      </c>
      <c r="G6" s="23" t="inlineStr">
        <is>
          <t>黑</t>
        </is>
      </c>
      <c r="H6" s="23" t="inlineStr">
        <is>
          <t>有效胜率</t>
        </is>
      </c>
      <c r="I6" s="23" t="inlineStr">
        <is>
          <t>盈亏(u)</t>
        </is>
      </c>
      <c r="J6" s="23" t="inlineStr">
        <is>
          <t>ROI</t>
        </is>
      </c>
      <c r="K6" s="23" t="inlineStr">
        <is>
          <t>平均Delta</t>
        </is>
      </c>
    </row>
    <row r="7" ht="20" customHeight="1" s="78">
      <c r="A7" s="41" t="inlineStr">
        <is>
          <t>让0.75至1.0（上盘合计）</t>
        </is>
      </c>
      <c r="B7" s="41" t="n">
        <v>49</v>
      </c>
      <c r="C7" s="41" t="n">
        <v>14</v>
      </c>
      <c r="D7" s="41" t="n">
        <v>6</v>
      </c>
      <c r="E7" s="41" t="n">
        <v>3</v>
      </c>
      <c r="F7" s="41" t="n">
        <v>0</v>
      </c>
      <c r="G7" s="41" t="n">
        <v>26</v>
      </c>
      <c r="H7" s="89" t="n">
        <v>0.369565217391304</v>
      </c>
      <c r="I7" s="92" t="n">
        <v>-11.61</v>
      </c>
      <c r="J7" s="89" t="n">
        <v>-0.236938775510204</v>
      </c>
      <c r="K7" s="92" t="n">
        <v>-0.285096825219484</v>
      </c>
    </row>
    <row r="8" ht="20" customHeight="1" s="78">
      <c r="A8" s="41" t="inlineStr">
        <is>
          <t>让0.75（上盘）</t>
        </is>
      </c>
      <c r="B8" s="41" t="n">
        <v>27</v>
      </c>
      <c r="C8" s="41" t="n">
        <v>7</v>
      </c>
      <c r="D8" s="41" t="n">
        <v>6</v>
      </c>
      <c r="E8" s="41" t="n">
        <v>0</v>
      </c>
      <c r="F8" s="41" t="n">
        <v>0</v>
      </c>
      <c r="G8" s="41" t="n">
        <v>14</v>
      </c>
      <c r="H8" s="89" t="n">
        <v>0.37037037037037</v>
      </c>
      <c r="I8" s="92" t="n">
        <v>-5.33</v>
      </c>
      <c r="J8" s="89" t="n">
        <v>-0.197407407407407</v>
      </c>
      <c r="K8" s="92" t="n">
        <v>-0.314211763249214</v>
      </c>
    </row>
    <row r="9" ht="20" customHeight="1" s="78">
      <c r="A9" s="41" t="inlineStr">
        <is>
          <t>让1.0（上盘）</t>
        </is>
      </c>
      <c r="B9" s="41" t="n">
        <v>22</v>
      </c>
      <c r="C9" s="41" t="n">
        <v>7</v>
      </c>
      <c r="D9" s="41" t="n">
        <v>0</v>
      </c>
      <c r="E9" s="41" t="n">
        <v>3</v>
      </c>
      <c r="F9" s="41" t="n">
        <v>0</v>
      </c>
      <c r="G9" s="41" t="n">
        <v>12</v>
      </c>
      <c r="H9" s="89" t="n">
        <v>0.368421052631579</v>
      </c>
      <c r="I9" s="92" t="n">
        <v>-6.28</v>
      </c>
      <c r="J9" s="89" t="n">
        <v>-0.285454545454546</v>
      </c>
      <c r="K9" s="92" t="n">
        <v>-0.249364855819361</v>
      </c>
    </row>
    <row r="10" ht="20" customHeight="1" s="78">
      <c r="A10" s="41" t="inlineStr">
        <is>
          <t>0.75/1.0全部投注方向</t>
        </is>
      </c>
      <c r="B10" s="41" t="n">
        <v>58</v>
      </c>
      <c r="C10" s="41" t="n">
        <v>18</v>
      </c>
      <c r="D10" s="41" t="n">
        <v>6</v>
      </c>
      <c r="E10" s="41" t="n">
        <v>3</v>
      </c>
      <c r="F10" s="41" t="n">
        <v>3</v>
      </c>
      <c r="G10" s="41" t="n">
        <v>28</v>
      </c>
      <c r="H10" s="89" t="n">
        <v>0.381818181818182</v>
      </c>
      <c r="I10" s="92" t="n">
        <v>-11.37</v>
      </c>
      <c r="J10" s="89" t="n">
        <v>-0.196034482758621</v>
      </c>
      <c r="K10" s="92" t="n">
        <v>-0.218087651428752</v>
      </c>
    </row>
    <row r="11" ht="20" customHeight="1" s="78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</row>
    <row r="12" ht="20" customHeight="1" s="78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</row>
    <row r="13" ht="20" customHeight="1" s="78">
      <c r="A13" s="22" t="inlineStr">
        <is>
          <t>红单与黑单 Delta 分布</t>
        </is>
      </c>
      <c r="B13" s="22" t="n"/>
      <c r="C13" s="22" t="n"/>
      <c r="D13" s="22" t="n"/>
      <c r="E13" s="22" t="n"/>
      <c r="F13" s="22" t="n"/>
      <c r="G13" s="59" t="n"/>
      <c r="H13" s="59" t="n"/>
      <c r="I13" s="59" t="n"/>
      <c r="J13" s="59" t="n"/>
      <c r="K13" s="59" t="n"/>
    </row>
    <row r="14" ht="20" customHeight="1" s="78">
      <c r="A14" s="23" t="inlineStr">
        <is>
          <t>结果</t>
        </is>
      </c>
      <c r="B14" s="23" t="inlineStr">
        <is>
          <t>场次</t>
        </is>
      </c>
      <c r="C14" s="23" t="inlineStr">
        <is>
          <t>平均Delta</t>
        </is>
      </c>
      <c r="D14" s="23" t="inlineStr">
        <is>
          <t>标准差</t>
        </is>
      </c>
      <c r="E14" s="23" t="inlineStr">
        <is>
          <t>中位数</t>
        </is>
      </c>
      <c r="F14" s="23" t="inlineStr">
        <is>
          <t>均值差置换检验p值</t>
        </is>
      </c>
      <c r="G14" s="41" t="n"/>
      <c r="H14" s="41" t="n"/>
      <c r="I14" s="41" t="n"/>
      <c r="J14" s="41" t="n"/>
      <c r="K14" s="41" t="n"/>
    </row>
    <row r="15" ht="20" customHeight="1" s="78">
      <c r="A15" s="41" t="inlineStr">
        <is>
          <t>红</t>
        </is>
      </c>
      <c r="B15" s="41" t="n">
        <v>14</v>
      </c>
      <c r="C15" s="92" t="n">
        <v>-0.325091843605606</v>
      </c>
      <c r="D15" s="92" t="n">
        <v>0.169619333818795</v>
      </c>
      <c r="E15" s="92" t="n">
        <v>-0.300475604461819</v>
      </c>
      <c r="F15" s="92" t="n">
        <v>0.892005399730013</v>
      </c>
      <c r="G15" s="41" t="n"/>
      <c r="H15" s="41" t="n"/>
      <c r="I15" s="41" t="n"/>
      <c r="J15" s="41" t="n"/>
      <c r="K15" s="41" t="n"/>
    </row>
    <row r="16" ht="20" customHeight="1" s="78">
      <c r="A16" s="41" t="inlineStr">
        <is>
          <t>黑</t>
        </is>
      </c>
      <c r="B16" s="41" t="n">
        <v>26</v>
      </c>
      <c r="C16" s="92" t="n">
        <v>-0.336840654586348</v>
      </c>
      <c r="D16" s="92" t="n">
        <v>0.292313718307902</v>
      </c>
      <c r="E16" s="92" t="n">
        <v>-0.255901577009871</v>
      </c>
      <c r="F16" s="92" t="n"/>
      <c r="G16" s="41" t="n"/>
      <c r="H16" s="41" t="n"/>
      <c r="I16" s="41" t="n"/>
      <c r="J16" s="41" t="n"/>
      <c r="K16" s="41" t="n"/>
    </row>
    <row r="17" ht="20" customHeight="1" s="78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</row>
    <row r="18" ht="20" customHeight="1" s="7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</row>
    <row r="19" ht="20" customHeight="1" s="78">
      <c r="A19" s="22" t="inlineStr">
        <is>
          <t>绝对偏离阈值敏感性</t>
        </is>
      </c>
      <c r="B19" s="22" t="n"/>
      <c r="C19" s="22" t="n"/>
      <c r="D19" s="22" t="n"/>
      <c r="E19" s="22" t="n"/>
      <c r="F19" s="22" t="n"/>
      <c r="G19" s="22" t="n"/>
      <c r="H19" s="59" t="n"/>
      <c r="I19" s="59" t="n"/>
      <c r="J19" s="59" t="n"/>
      <c r="K19" s="59" t="n"/>
    </row>
    <row r="20" ht="20" customHeight="1" s="78">
      <c r="A20" s="23" t="inlineStr">
        <is>
          <t>过滤规则</t>
        </is>
      </c>
      <c r="B20" s="23" t="inlineStr">
        <is>
          <t>保留场次</t>
        </is>
      </c>
      <c r="C20" s="23" t="inlineStr">
        <is>
          <t>保留率</t>
        </is>
      </c>
      <c r="D20" s="23" t="inlineStr">
        <is>
          <t>有效胜率</t>
        </is>
      </c>
      <c r="E20" s="23" t="inlineStr">
        <is>
          <t>盈亏(u)</t>
        </is>
      </c>
      <c r="F20" s="23" t="inlineStr">
        <is>
          <t>ROI</t>
        </is>
      </c>
      <c r="G20" s="23" t="inlineStr">
        <is>
          <t>平均Delta</t>
        </is>
      </c>
      <c r="H20" s="41" t="n"/>
      <c r="I20" s="41" t="n"/>
      <c r="J20" s="41" t="n"/>
      <c r="K20" s="41" t="n"/>
    </row>
    <row r="21" ht="20" customHeight="1" s="78">
      <c r="A21" s="41" t="inlineStr">
        <is>
          <t>|Delta|≤0.030</t>
        </is>
      </c>
      <c r="B21" s="41" t="n">
        <v>2</v>
      </c>
      <c r="C21" s="89" t="n">
        <v>0.0408163265306122</v>
      </c>
      <c r="D21" s="89" t="n">
        <v>0</v>
      </c>
      <c r="E21" s="92" t="n">
        <v>-2</v>
      </c>
      <c r="F21" s="89" t="n">
        <v>-1</v>
      </c>
      <c r="G21" s="92" t="n">
        <v>-0.0118525908371716</v>
      </c>
      <c r="H21" s="41" t="n"/>
      <c r="I21" s="41" t="n"/>
      <c r="J21" s="41" t="n"/>
      <c r="K21" s="41" t="n"/>
    </row>
    <row r="22" ht="20" customHeight="1" s="78">
      <c r="A22" s="41" t="inlineStr">
        <is>
          <t>|Delta|≤0.050</t>
        </is>
      </c>
      <c r="B22" s="41" t="n">
        <v>5</v>
      </c>
      <c r="C22" s="89" t="n">
        <v>0.102040816326531</v>
      </c>
      <c r="D22" s="89" t="n">
        <v>0.125</v>
      </c>
      <c r="E22" s="92" t="n">
        <v>-2.54</v>
      </c>
      <c r="F22" s="89" t="n">
        <v>-0.508</v>
      </c>
      <c r="G22" s="92" t="n">
        <v>0.00409296961971037</v>
      </c>
      <c r="H22" s="41" t="n"/>
      <c r="I22" s="41" t="n"/>
      <c r="J22" s="41" t="n"/>
      <c r="K22" s="41" t="n"/>
    </row>
    <row r="23" ht="20" customHeight="1" s="78">
      <c r="A23" s="41" t="inlineStr">
        <is>
          <t>|Delta|≤0.075</t>
        </is>
      </c>
      <c r="B23" s="41" t="n">
        <v>6</v>
      </c>
      <c r="C23" s="89" t="n">
        <v>0.122448979591837</v>
      </c>
      <c r="D23" s="89" t="n">
        <v>0.3</v>
      </c>
      <c r="E23" s="92" t="n">
        <v>-1.73</v>
      </c>
      <c r="F23" s="89" t="n">
        <v>-0.288333333333333</v>
      </c>
      <c r="G23" s="92" t="n">
        <v>-0.00560519076592279</v>
      </c>
      <c r="H23" s="41" t="n"/>
      <c r="I23" s="41" t="n"/>
      <c r="J23" s="41" t="n"/>
      <c r="K23" s="41" t="n"/>
    </row>
    <row r="24" ht="20" customHeight="1" s="78">
      <c r="A24" s="41" t="inlineStr">
        <is>
          <t>|Delta|≤0.100</t>
        </is>
      </c>
      <c r="B24" s="41" t="n">
        <v>9</v>
      </c>
      <c r="C24" s="89" t="n">
        <v>0.183673469387755</v>
      </c>
      <c r="D24" s="89" t="n">
        <v>0.3125</v>
      </c>
      <c r="E24" s="92" t="n">
        <v>-1.93</v>
      </c>
      <c r="F24" s="89" t="n">
        <v>-0.214444444444444</v>
      </c>
      <c r="G24" s="92" t="n">
        <v>-0.0361911213163286</v>
      </c>
      <c r="H24" s="41" t="n"/>
      <c r="I24" s="41" t="n"/>
      <c r="J24" s="41" t="n"/>
      <c r="K24" s="41" t="n"/>
    </row>
    <row r="25" ht="20" customHeight="1" s="78">
      <c r="A25" s="41" t="inlineStr">
        <is>
          <t>|Delta|≤0.125</t>
        </is>
      </c>
      <c r="B25" s="41" t="n">
        <v>12</v>
      </c>
      <c r="C25" s="89" t="n">
        <v>0.244897959183673</v>
      </c>
      <c r="D25" s="89" t="n">
        <v>0.35</v>
      </c>
      <c r="E25" s="92" t="n">
        <v>-2.11</v>
      </c>
      <c r="F25" s="89" t="n">
        <v>-0.175833333333333</v>
      </c>
      <c r="G25" s="92" t="n">
        <v>-0.0551529884150171</v>
      </c>
      <c r="H25" s="41" t="n"/>
      <c r="I25" s="41" t="n"/>
      <c r="J25" s="41" t="n"/>
      <c r="K25" s="41" t="n"/>
    </row>
    <row r="26" ht="20" customHeight="1" s="78">
      <c r="A26" s="41" t="inlineStr">
        <is>
          <t>|Delta|≤0.150</t>
        </is>
      </c>
      <c r="B26" s="41" t="n">
        <v>13</v>
      </c>
      <c r="C26" s="89" t="n">
        <v>0.26530612244898</v>
      </c>
      <c r="D26" s="89" t="n">
        <v>0.363636363636364</v>
      </c>
      <c r="E26" s="92" t="n">
        <v>-1.715</v>
      </c>
      <c r="F26" s="89" t="n">
        <v>-0.131923076923077</v>
      </c>
      <c r="G26" s="92" t="n">
        <v>-0.0412616492269606</v>
      </c>
      <c r="H26" s="41" t="n"/>
      <c r="I26" s="41" t="n"/>
      <c r="J26" s="41" t="n"/>
      <c r="K26" s="41" t="n"/>
    </row>
    <row r="27" ht="20" customHeight="1" s="78">
      <c r="A27" s="41" t="inlineStr">
        <is>
          <t>|Delta|≤0.200</t>
        </is>
      </c>
      <c r="B27" s="41" t="n">
        <v>19</v>
      </c>
      <c r="C27" s="89" t="n">
        <v>0.387755102040816</v>
      </c>
      <c r="D27" s="89" t="n">
        <v>0.25</v>
      </c>
      <c r="E27" s="92" t="n">
        <v>-6.715</v>
      </c>
      <c r="F27" s="89" t="n">
        <v>-0.353421052631579</v>
      </c>
      <c r="G27" s="92" t="n">
        <v>-0.0466814581071175</v>
      </c>
      <c r="H27" s="41" t="n"/>
      <c r="I27" s="41" t="n"/>
      <c r="J27" s="41" t="n"/>
      <c r="K27" s="41" t="n"/>
    </row>
    <row r="28" ht="20" customHeight="1" s="78">
      <c r="A28" s="41" t="inlineStr">
        <is>
          <t>|Delta|≤0.250</t>
        </is>
      </c>
      <c r="B28" s="41" t="n">
        <v>27</v>
      </c>
      <c r="C28" s="89" t="n">
        <v>0.551020408163265</v>
      </c>
      <c r="D28" s="89" t="n">
        <v>0.354166666666667</v>
      </c>
      <c r="E28" s="92" t="n">
        <v>-5.705</v>
      </c>
      <c r="F28" s="89" t="n">
        <v>-0.211296296296296</v>
      </c>
      <c r="G28" s="92" t="n">
        <v>-0.0972646019396346</v>
      </c>
      <c r="H28" s="41" t="n"/>
      <c r="I28" s="41" t="n"/>
      <c r="J28" s="41" t="n"/>
      <c r="K28" s="41" t="n"/>
    </row>
    <row r="29" ht="20" customHeight="1" s="78">
      <c r="A29" s="41" t="inlineStr">
        <is>
          <t>|Delta|≤0.300</t>
        </is>
      </c>
      <c r="B29" s="41" t="n">
        <v>29</v>
      </c>
      <c r="C29" s="89" t="n">
        <v>0.591836734693878</v>
      </c>
      <c r="D29" s="89" t="n">
        <v>0.365384615384615</v>
      </c>
      <c r="E29" s="92" t="n">
        <v>-5.885</v>
      </c>
      <c r="F29" s="89" t="n">
        <v>-0.202931034482759</v>
      </c>
      <c r="G29" s="92" t="n">
        <v>-0.110240425412962</v>
      </c>
      <c r="H29" s="41" t="n"/>
      <c r="I29" s="41" t="n"/>
      <c r="J29" s="41" t="n"/>
      <c r="K29" s="41" t="n"/>
    </row>
    <row r="30" ht="20" customHeight="1" s="78">
      <c r="A30" s="41" t="inlineStr">
        <is>
          <t>|Delta|≤0.400</t>
        </is>
      </c>
      <c r="B30" s="41" t="n">
        <v>33</v>
      </c>
      <c r="C30" s="89" t="n">
        <v>0.673469387755102</v>
      </c>
      <c r="D30" s="89" t="n">
        <v>0.35</v>
      </c>
      <c r="E30" s="92" t="n">
        <v>-8.065</v>
      </c>
      <c r="F30" s="89" t="n">
        <v>-0.244393939393939</v>
      </c>
      <c r="G30" s="92" t="n">
        <v>-0.139164469981642</v>
      </c>
      <c r="H30" s="41" t="n"/>
      <c r="I30" s="41" t="n"/>
      <c r="J30" s="41" t="n"/>
      <c r="K30" s="41" t="n"/>
    </row>
    <row r="31" ht="20" customHeight="1" s="78">
      <c r="A31" s="41" t="inlineStr">
        <is>
          <t>全部</t>
        </is>
      </c>
      <c r="B31" s="41" t="n">
        <v>49</v>
      </c>
      <c r="C31" s="89" t="n">
        <v>1</v>
      </c>
      <c r="D31" s="89" t="n">
        <v>0.369565217391304</v>
      </c>
      <c r="E31" s="92" t="n">
        <v>-11.61</v>
      </c>
      <c r="F31" s="89" t="n">
        <v>-0.236938775510204</v>
      </c>
      <c r="G31" s="92" t="n">
        <v>-0.285096825219484</v>
      </c>
      <c r="H31" s="41" t="n"/>
      <c r="I31" s="41" t="n"/>
      <c r="J31" s="41" t="n"/>
      <c r="K31" s="41" t="n"/>
    </row>
    <row r="32" ht="20" customHeight="1" s="78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</row>
    <row r="33" ht="20" customHeight="1" s="78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  <c r="K33" s="41" t="n"/>
    </row>
    <row r="34" ht="20" customHeight="1" s="78">
      <c r="A34" s="22" t="inlineStr">
        <is>
          <t>70%训练 / 30%时间外验证</t>
        </is>
      </c>
      <c r="B34" s="22" t="n"/>
      <c r="C34" s="22" t="n"/>
      <c r="D34" s="22" t="n"/>
      <c r="E34" s="22" t="n"/>
      <c r="F34" s="22" t="n"/>
      <c r="G34" s="59" t="n"/>
      <c r="H34" s="59" t="n"/>
      <c r="I34" s="59" t="n"/>
      <c r="J34" s="59" t="n"/>
      <c r="K34" s="59" t="n"/>
    </row>
    <row r="35" ht="20" customHeight="1" s="78">
      <c r="A35" s="23" t="inlineStr">
        <is>
          <t>区间</t>
        </is>
      </c>
      <c r="B35" s="23" t="inlineStr">
        <is>
          <t>场次</t>
        </is>
      </c>
      <c r="C35" s="23" t="inlineStr">
        <is>
          <t>有效胜率</t>
        </is>
      </c>
      <c r="D35" s="23" t="inlineStr">
        <is>
          <t>盈亏(u)</t>
        </is>
      </c>
      <c r="E35" s="23" t="inlineStr">
        <is>
          <t>ROI</t>
        </is>
      </c>
      <c r="F35" s="23" t="inlineStr">
        <is>
          <t>采用阈值</t>
        </is>
      </c>
      <c r="G35" s="41" t="n"/>
      <c r="H35" s="41" t="n"/>
      <c r="I35" s="41" t="n"/>
      <c r="J35" s="41" t="n"/>
      <c r="K35" s="41" t="n"/>
    </row>
    <row r="36" ht="20" customHeight="1" s="78">
      <c r="A36" s="41" t="inlineStr">
        <is>
          <t>训练基线</t>
        </is>
      </c>
      <c r="B36" s="41" t="n">
        <v>34</v>
      </c>
      <c r="C36" s="89" t="n">
        <v>0.453125</v>
      </c>
      <c r="D36" s="92" t="n">
        <v>-3.735</v>
      </c>
      <c r="E36" s="89" t="n">
        <v>-0.109852941176471</v>
      </c>
      <c r="F36" s="92" t="n">
        <v>0.4</v>
      </c>
      <c r="G36" s="41" t="n"/>
      <c r="H36" s="41" t="n"/>
      <c r="I36" s="41" t="n"/>
      <c r="J36" s="41" t="n"/>
      <c r="K36" s="41" t="n"/>
    </row>
    <row r="37" ht="20" customHeight="1" s="78">
      <c r="A37" s="41" t="inlineStr">
        <is>
          <t>训练过滤后</t>
        </is>
      </c>
      <c r="B37" s="41" t="n">
        <v>22</v>
      </c>
      <c r="C37" s="89" t="n">
        <v>0.45</v>
      </c>
      <c r="D37" s="92" t="n">
        <v>-2.35</v>
      </c>
      <c r="E37" s="89" t="n">
        <v>-0.106818181818182</v>
      </c>
      <c r="F37" s="92" t="n">
        <v>0.4</v>
      </c>
      <c r="G37" s="41" t="n"/>
      <c r="H37" s="41" t="n"/>
      <c r="I37" s="41" t="n"/>
      <c r="J37" s="41" t="n"/>
      <c r="K37" s="41" t="n"/>
    </row>
    <row r="38" ht="20" customHeight="1" s="78">
      <c r="A38" s="41" t="inlineStr">
        <is>
          <t>测试基线</t>
        </is>
      </c>
      <c r="B38" s="41" t="n">
        <v>15</v>
      </c>
      <c r="C38" s="89" t="n">
        <v>0.178571428571429</v>
      </c>
      <c r="D38" s="92" t="n">
        <v>-7.875</v>
      </c>
      <c r="E38" s="89" t="n">
        <v>-0.525</v>
      </c>
      <c r="F38" s="92" t="n">
        <v>0.4</v>
      </c>
      <c r="G38" s="41" t="n"/>
      <c r="H38" s="41" t="n"/>
      <c r="I38" s="41" t="n"/>
      <c r="J38" s="41" t="n"/>
      <c r="K38" s="41" t="n"/>
    </row>
    <row r="39" ht="20" customHeight="1" s="78">
      <c r="A39" s="41" t="inlineStr">
        <is>
          <t>测试过滤后</t>
        </is>
      </c>
      <c r="B39" s="41" t="n">
        <v>11</v>
      </c>
      <c r="C39" s="89" t="n">
        <v>0.15</v>
      </c>
      <c r="D39" s="92" t="n">
        <v>-5.715</v>
      </c>
      <c r="E39" s="89" t="n">
        <v>-0.519545454545455</v>
      </c>
      <c r="F39" s="92" t="n">
        <v>0.4</v>
      </c>
      <c r="G39" s="41" t="n"/>
      <c r="H39" s="41" t="n"/>
      <c r="I39" s="41" t="n"/>
      <c r="J39" s="41" t="n"/>
      <c r="K39" s="41" t="n"/>
    </row>
    <row r="40" ht="20" customHeight="1" s="78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41" t="n"/>
    </row>
    <row r="41" ht="20" customHeight="1" s="78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</row>
    <row r="42" ht="20" customHeight="1" s="78">
      <c r="A42" s="22" t="inlineStr">
        <is>
          <t>结论与阈值建议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58" customHeight="1" s="78">
      <c r="A43" s="26" t="inlineStr">
        <is>
          <t>当前红黑Delta差异未形成稳健证据（置换检验p=0.892），或时间外改善未同时满足胜率与盈亏。训练集候选阈值为 |Delta_Conv|≤0.400，但不建议直接设为硬过滤器。建议先将 |Delta_Conv|&gt;0.15 标记为高偏离观察项，累计至少100场同盘口样本后再重新定阈值；现阶段对让1.0继续单独限仓，不与让0.75合并评价。</t>
        </is>
      </c>
    </row>
    <row r="44" ht="20" customHeight="1" s="78"/>
    <row r="45" ht="20" customHeight="1" s="78"/>
  </sheetData>
  <mergeCells count="1">
    <mergeCell ref="A43:K45"/>
  </mergeCell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4" topLeftCell="A5" activePane="bottomLeft" state="frozen"/>
      <selection activeCell="A1" sqref="A1"/>
      <selection pane="bottomLeft" activeCell="A1" sqref="A1:K1"/>
    </sheetView>
  </sheetViews>
  <sheetFormatPr baseColWidth="8" defaultColWidth="9" defaultRowHeight="13.8"/>
  <cols>
    <col width="22" customWidth="1" style="78" min="1" max="1"/>
    <col width="28" customWidth="1" style="78" min="2" max="2"/>
    <col width="14" customWidth="1" style="78" min="3" max="3"/>
    <col width="9" customWidth="1" style="78" min="4" max="8"/>
    <col width="14" customWidth="1" style="78" min="9" max="9"/>
    <col width="13" customWidth="1" style="78" min="10" max="10"/>
    <col width="12" customWidth="1" style="78" min="11" max="11"/>
  </cols>
  <sheetData>
    <row r="1" ht="28" customHeight="1" s="78">
      <c r="A1" s="12" t="inlineStr">
        <is>
          <t>周中与周末 0.75 / 1.0 盘口及每日回测</t>
        </is>
      </c>
    </row>
    <row r="2" ht="42" customHeight="1" s="78">
      <c r="A2" s="13" t="inlineStr">
        <is>
          <t>口径：北京时间开赛日；周中=周一至周五，周末=周六与周日。有效胜率=(红+0.5×半红)/(红+0.5×半红+黑+0.5×半黑)，走盘不进分母；盈亏按真实水位、均注1u。</t>
        </is>
      </c>
    </row>
    <row r="4" ht="24" customHeight="1" s="78">
      <c r="A4" s="14" t="inlineStr">
        <is>
          <t>时段</t>
        </is>
      </c>
      <c r="B4" s="14" t="inlineStr">
        <is>
          <t>投注盘口</t>
        </is>
      </c>
      <c r="C4" s="14" t="inlineStr">
        <is>
          <t>已结算场次</t>
        </is>
      </c>
      <c r="D4" s="14" t="inlineStr">
        <is>
          <t>红</t>
        </is>
      </c>
      <c r="E4" s="14" t="inlineStr">
        <is>
          <t>半红</t>
        </is>
      </c>
      <c r="F4" s="14" t="inlineStr">
        <is>
          <t>走</t>
        </is>
      </c>
      <c r="G4" s="14" t="inlineStr">
        <is>
          <t>半黑</t>
        </is>
      </c>
      <c r="H4" s="14" t="inlineStr">
        <is>
          <t>黑</t>
        </is>
      </c>
      <c r="I4" s="14" t="inlineStr">
        <is>
          <t>有效胜率</t>
        </is>
      </c>
      <c r="J4" s="14" t="inlineStr">
        <is>
          <t>盈亏(u)</t>
        </is>
      </c>
      <c r="K4" s="14" t="inlineStr">
        <is>
          <t>ROI</t>
        </is>
      </c>
    </row>
    <row r="5" ht="22" customHeight="1" s="78">
      <c r="A5" s="41" t="inlineStr">
        <is>
          <t>周中（周一至周五）</t>
        </is>
      </c>
      <c r="B5" s="41" t="inlineStr">
        <is>
          <t>让1球</t>
        </is>
      </c>
      <c r="C5" s="41" t="n">
        <v>20</v>
      </c>
      <c r="D5" s="41" t="n">
        <v>11</v>
      </c>
      <c r="E5" s="41" t="n">
        <v>0</v>
      </c>
      <c r="F5" s="41" t="n">
        <v>6</v>
      </c>
      <c r="G5" s="41" t="n">
        <v>0</v>
      </c>
      <c r="H5" s="41" t="n">
        <v>3</v>
      </c>
      <c r="I5" s="89" t="n">
        <v>0.785714285714286</v>
      </c>
      <c r="J5" s="81" t="n">
        <v>6.88</v>
      </c>
      <c r="K5" s="89" t="n">
        <v>0.344</v>
      </c>
    </row>
    <row r="6" ht="22" customHeight="1" s="78">
      <c r="A6" s="41" t="inlineStr">
        <is>
          <t>周中（周一至周五）</t>
        </is>
      </c>
      <c r="B6" s="41" t="inlineStr">
        <is>
          <t>受让1球</t>
        </is>
      </c>
      <c r="C6" s="41" t="n">
        <v>2</v>
      </c>
      <c r="D6" s="41" t="n">
        <v>0</v>
      </c>
      <c r="E6" s="41" t="n">
        <v>0</v>
      </c>
      <c r="F6" s="41" t="n">
        <v>1</v>
      </c>
      <c r="G6" s="41" t="n">
        <v>0</v>
      </c>
      <c r="H6" s="41" t="n">
        <v>1</v>
      </c>
      <c r="I6" s="89" t="n">
        <v>0</v>
      </c>
      <c r="J6" s="81" t="n">
        <v>-1</v>
      </c>
      <c r="K6" s="89" t="n">
        <v>-0.5</v>
      </c>
    </row>
    <row r="7" ht="22" customHeight="1" s="78">
      <c r="A7" s="41" t="inlineStr">
        <is>
          <t>周中（周一至周五）</t>
        </is>
      </c>
      <c r="B7" s="41" t="inlineStr">
        <is>
          <t>让0.75球</t>
        </is>
      </c>
      <c r="C7" s="41" t="n">
        <v>37</v>
      </c>
      <c r="D7" s="41" t="n">
        <v>10</v>
      </c>
      <c r="E7" s="41" t="n">
        <v>8</v>
      </c>
      <c r="F7" s="41" t="n">
        <v>0</v>
      </c>
      <c r="G7" s="41" t="n">
        <v>0</v>
      </c>
      <c r="H7" s="41" t="n">
        <v>19</v>
      </c>
      <c r="I7" s="89" t="n">
        <v>0.424242424242424</v>
      </c>
      <c r="J7" s="81" t="n">
        <v>-6.595</v>
      </c>
      <c r="K7" s="89" t="n">
        <v>-0.178243243243243</v>
      </c>
    </row>
    <row r="8" ht="22" customHeight="1" s="78">
      <c r="A8" s="41" t="inlineStr">
        <is>
          <t>周中（周一至周五）</t>
        </is>
      </c>
      <c r="B8" s="41" t="inlineStr">
        <is>
          <t>受让0.75球</t>
        </is>
      </c>
      <c r="C8" s="41" t="n">
        <v>6</v>
      </c>
      <c r="D8" s="41" t="n">
        <v>4</v>
      </c>
      <c r="E8" s="41" t="n">
        <v>0</v>
      </c>
      <c r="F8" s="41" t="n">
        <v>0</v>
      </c>
      <c r="G8" s="41" t="n">
        <v>1</v>
      </c>
      <c r="H8" s="41" t="n">
        <v>1</v>
      </c>
      <c r="I8" s="89" t="n">
        <v>0.727272727272727</v>
      </c>
      <c r="J8" s="81" t="n">
        <v>2.44</v>
      </c>
      <c r="K8" s="89" t="n">
        <v>0.406666666666667</v>
      </c>
    </row>
    <row r="9" ht="22" customHeight="1" s="78">
      <c r="A9" s="41" t="inlineStr">
        <is>
          <t>周末（周六、周日）</t>
        </is>
      </c>
      <c r="B9" s="41" t="inlineStr">
        <is>
          <t>让1球</t>
        </is>
      </c>
      <c r="C9" s="41" t="n">
        <v>14</v>
      </c>
      <c r="D9" s="41" t="n">
        <v>3</v>
      </c>
      <c r="E9" s="41" t="n">
        <v>0</v>
      </c>
      <c r="F9" s="41" t="n">
        <v>1</v>
      </c>
      <c r="G9" s="41" t="n">
        <v>0</v>
      </c>
      <c r="H9" s="41" t="n">
        <v>10</v>
      </c>
      <c r="I9" s="89" t="n">
        <v>0.230769230769231</v>
      </c>
      <c r="J9" s="81" t="n">
        <v>-7.55</v>
      </c>
      <c r="K9" s="89" t="n">
        <v>-0.539285714285714</v>
      </c>
    </row>
    <row r="10" ht="22" customHeight="1" s="78">
      <c r="A10" s="41" t="inlineStr">
        <is>
          <t>周末（周六、周日）</t>
        </is>
      </c>
      <c r="B10" s="41" t="inlineStr">
        <is>
          <t>受让1球</t>
        </is>
      </c>
      <c r="C10" s="41" t="n">
        <v>1</v>
      </c>
      <c r="D10" s="41" t="n">
        <v>0</v>
      </c>
      <c r="E10" s="41" t="n">
        <v>0</v>
      </c>
      <c r="F10" s="41" t="n">
        <v>0</v>
      </c>
      <c r="G10" s="41" t="n">
        <v>0</v>
      </c>
      <c r="H10" s="41" t="n">
        <v>1</v>
      </c>
      <c r="I10" s="89" t="n">
        <v>0</v>
      </c>
      <c r="J10" s="81" t="n">
        <v>-1</v>
      </c>
      <c r="K10" s="89" t="n">
        <v>-1</v>
      </c>
    </row>
    <row r="11" ht="22" customHeight="1" s="78">
      <c r="A11" s="41" t="inlineStr">
        <is>
          <t>周末（周六、周日）</t>
        </is>
      </c>
      <c r="B11" s="41" t="inlineStr">
        <is>
          <t>让0.75球</t>
        </is>
      </c>
      <c r="C11" s="41" t="n">
        <v>20</v>
      </c>
      <c r="D11" s="41" t="n">
        <v>8</v>
      </c>
      <c r="E11" s="41" t="n">
        <v>5</v>
      </c>
      <c r="F11" s="41" t="n">
        <v>0</v>
      </c>
      <c r="G11" s="41" t="n">
        <v>0</v>
      </c>
      <c r="H11" s="41" t="n">
        <v>7</v>
      </c>
      <c r="I11" s="89" t="n">
        <v>0.6</v>
      </c>
      <c r="J11" s="81" t="n">
        <v>1.51</v>
      </c>
      <c r="K11" s="89" t="n">
        <v>0.0755</v>
      </c>
    </row>
    <row r="12" ht="22" customHeight="1" s="78">
      <c r="A12" s="41" t="inlineStr">
        <is>
          <t>周末（周六、周日）</t>
        </is>
      </c>
      <c r="B12" s="41" t="inlineStr">
        <is>
          <t>受让0.75球</t>
        </is>
      </c>
      <c r="C12" s="41" t="n">
        <v>6</v>
      </c>
      <c r="D12" s="41" t="n">
        <v>3</v>
      </c>
      <c r="E12" s="41" t="n">
        <v>0</v>
      </c>
      <c r="F12" s="41" t="n">
        <v>0</v>
      </c>
      <c r="G12" s="41" t="n">
        <v>2</v>
      </c>
      <c r="H12" s="41" t="n">
        <v>1</v>
      </c>
      <c r="I12" s="89" t="n">
        <v>0.6</v>
      </c>
      <c r="J12" s="81" t="n">
        <v>0.83</v>
      </c>
      <c r="K12" s="89" t="n">
        <v>0.138333333333333</v>
      </c>
    </row>
    <row r="14" ht="23" customHeight="1" s="78">
      <c r="A14" s="18" t="inlineStr">
        <is>
          <t>周中按星期汇总</t>
        </is>
      </c>
    </row>
    <row r="15" ht="24" customHeight="1" s="78">
      <c r="A15" s="14" t="inlineStr">
        <is>
          <t>星期</t>
        </is>
      </c>
      <c r="B15" s="14" t="inlineStr">
        <is>
          <t>覆盖日期</t>
        </is>
      </c>
      <c r="C15" s="14" t="inlineStr">
        <is>
          <t>已结算场次</t>
        </is>
      </c>
      <c r="D15" s="14" t="inlineStr">
        <is>
          <t>红</t>
        </is>
      </c>
      <c r="E15" s="14" t="inlineStr">
        <is>
          <t>半红</t>
        </is>
      </c>
      <c r="F15" s="14" t="inlineStr">
        <is>
          <t>走</t>
        </is>
      </c>
      <c r="G15" s="14" t="inlineStr">
        <is>
          <t>半黑</t>
        </is>
      </c>
      <c r="H15" s="14" t="inlineStr">
        <is>
          <t>黑</t>
        </is>
      </c>
      <c r="I15" s="14" t="inlineStr">
        <is>
          <t>有效胜率</t>
        </is>
      </c>
      <c r="J15" s="14" t="inlineStr">
        <is>
          <t>盈亏(u)</t>
        </is>
      </c>
      <c r="K15" s="14" t="inlineStr">
        <is>
          <t>ROI</t>
        </is>
      </c>
    </row>
    <row r="16" ht="22" customHeight="1" s="78">
      <c r="A16" s="41" t="inlineStr">
        <is>
          <t>周一</t>
        </is>
      </c>
      <c r="B16" s="41" t="inlineStr">
        <is>
          <t>2026-09-07、2026-09-14</t>
        </is>
      </c>
      <c r="C16" s="41" t="n">
        <v>32</v>
      </c>
      <c r="D16" s="41" t="n">
        <v>10</v>
      </c>
      <c r="E16" s="41" t="n">
        <v>3</v>
      </c>
      <c r="F16" s="41" t="n">
        <v>3</v>
      </c>
      <c r="G16" s="41" t="n">
        <v>7</v>
      </c>
      <c r="H16" s="41" t="n">
        <v>9</v>
      </c>
      <c r="I16" s="89" t="n">
        <v>0.479166666666667</v>
      </c>
      <c r="J16" s="81" t="n">
        <v>-2.08</v>
      </c>
      <c r="K16" s="89" t="n">
        <v>-0.065</v>
      </c>
    </row>
    <row r="17" ht="22" customHeight="1" s="78">
      <c r="A17" s="41" t="inlineStr">
        <is>
          <t>周二</t>
        </is>
      </c>
      <c r="B17" s="41" t="inlineStr">
        <is>
          <t>2026-09-01、2026-09-08、2026-09-15</t>
        </is>
      </c>
      <c r="C17" s="41" t="n">
        <v>13</v>
      </c>
      <c r="D17" s="41" t="n">
        <v>8</v>
      </c>
      <c r="E17" s="41" t="n">
        <v>0</v>
      </c>
      <c r="F17" s="41" t="n">
        <v>0</v>
      </c>
      <c r="G17" s="41" t="n">
        <v>2</v>
      </c>
      <c r="H17" s="41" t="n">
        <v>3</v>
      </c>
      <c r="I17" s="89" t="n">
        <v>0.666666666666667</v>
      </c>
      <c r="J17" s="81" t="n">
        <v>3.15</v>
      </c>
      <c r="K17" s="89" t="n">
        <v>0.242307692307692</v>
      </c>
    </row>
    <row r="18" ht="22" customHeight="1" s="78">
      <c r="A18" s="41" t="inlineStr">
        <is>
          <t>周三</t>
        </is>
      </c>
      <c r="B18" s="41" t="inlineStr">
        <is>
          <t>2026-09-02、2026-09-09、2026-09-16</t>
        </is>
      </c>
      <c r="C18" s="41" t="n">
        <v>85</v>
      </c>
      <c r="D18" s="41" t="n">
        <v>36</v>
      </c>
      <c r="E18" s="41" t="n">
        <v>5</v>
      </c>
      <c r="F18" s="41" t="n">
        <v>12</v>
      </c>
      <c r="G18" s="41" t="n">
        <v>7</v>
      </c>
      <c r="H18" s="41" t="n">
        <v>25</v>
      </c>
      <c r="I18" s="89" t="n">
        <v>0.574626865671642</v>
      </c>
      <c r="J18" s="81" t="n">
        <v>6.18</v>
      </c>
      <c r="K18" s="89" t="n">
        <v>0.0727058823529412</v>
      </c>
    </row>
    <row r="19" ht="22" customHeight="1" s="78">
      <c r="A19" s="41" t="inlineStr">
        <is>
          <t>周四</t>
        </is>
      </c>
      <c r="B19" s="41" t="inlineStr">
        <is>
          <t>2026-09-03、2026-09-10、2026-09-17</t>
        </is>
      </c>
      <c r="C19" s="41" t="n">
        <v>94</v>
      </c>
      <c r="D19" s="41" t="n">
        <v>32</v>
      </c>
      <c r="E19" s="41" t="n">
        <v>6</v>
      </c>
      <c r="F19" s="41" t="n">
        <v>8</v>
      </c>
      <c r="G19" s="41" t="n">
        <v>18</v>
      </c>
      <c r="H19" s="41" t="n">
        <v>30</v>
      </c>
      <c r="I19" s="89" t="n">
        <v>0.472972972972973</v>
      </c>
      <c r="J19" s="81" t="n">
        <v>-7.435</v>
      </c>
      <c r="K19" s="89" t="n">
        <v>-0.07909574468085109</v>
      </c>
    </row>
    <row r="20" ht="22" customHeight="1" s="78">
      <c r="A20" s="41" t="inlineStr">
        <is>
          <t>周五</t>
        </is>
      </c>
      <c r="B20" s="41" t="inlineStr">
        <is>
          <t>2026-09-04、2026-09-11、2026-09-18</t>
        </is>
      </c>
      <c r="C20" s="41" t="n">
        <v>46</v>
      </c>
      <c r="D20" s="41" t="n">
        <v>30</v>
      </c>
      <c r="E20" s="41" t="n">
        <v>0</v>
      </c>
      <c r="F20" s="41" t="n">
        <v>3</v>
      </c>
      <c r="G20" s="41" t="n">
        <v>4</v>
      </c>
      <c r="H20" s="41" t="n">
        <v>9</v>
      </c>
      <c r="I20" s="89" t="n">
        <v>0.731707317073171</v>
      </c>
      <c r="J20" s="81" t="n">
        <v>15.9</v>
      </c>
      <c r="K20" s="89" t="n">
        <v>0.345652173913043</v>
      </c>
    </row>
    <row r="21" ht="22" customHeight="1" s="78">
      <c r="A21" s="41" t="inlineStr">
        <is>
          <t>周中合计</t>
        </is>
      </c>
      <c r="B21" s="41" t="inlineStr">
        <is>
          <t>周一至周五</t>
        </is>
      </c>
      <c r="C21" s="41" t="n">
        <v>270</v>
      </c>
      <c r="D21" s="41" t="n">
        <v>116</v>
      </c>
      <c r="E21" s="41" t="n">
        <v>14</v>
      </c>
      <c r="F21" s="41" t="n">
        <v>26</v>
      </c>
      <c r="G21" s="41" t="n">
        <v>38</v>
      </c>
      <c r="H21" s="41" t="n">
        <v>76</v>
      </c>
      <c r="I21" s="89" t="n">
        <v>0.564220183486238</v>
      </c>
      <c r="J21" s="81" t="n">
        <v>15.715</v>
      </c>
      <c r="K21" s="89" t="n">
        <v>0.0582037037037037</v>
      </c>
    </row>
    <row r="23" ht="23" customHeight="1" s="78">
      <c r="A23" s="18" t="inlineStr">
        <is>
          <t>周中自然日明细</t>
        </is>
      </c>
    </row>
    <row r="24" ht="24" customHeight="1" s="78">
      <c r="A24" s="14" t="inlineStr">
        <is>
          <t>日期</t>
        </is>
      </c>
      <c r="B24" s="14" t="inlineStr">
        <is>
          <t>星期</t>
        </is>
      </c>
      <c r="C24" s="14" t="inlineStr">
        <is>
          <t>已结算场次</t>
        </is>
      </c>
      <c r="D24" s="14" t="inlineStr">
        <is>
          <t>红</t>
        </is>
      </c>
      <c r="E24" s="14" t="inlineStr">
        <is>
          <t>半红</t>
        </is>
      </c>
      <c r="F24" s="14" t="inlineStr">
        <is>
          <t>走</t>
        </is>
      </c>
      <c r="G24" s="14" t="inlineStr">
        <is>
          <t>半黑</t>
        </is>
      </c>
      <c r="H24" s="14" t="inlineStr">
        <is>
          <t>黑</t>
        </is>
      </c>
      <c r="I24" s="14" t="inlineStr">
        <is>
          <t>有效胜率</t>
        </is>
      </c>
      <c r="J24" s="14" t="inlineStr">
        <is>
          <t>盈亏(u)</t>
        </is>
      </c>
      <c r="K24" s="14" t="inlineStr">
        <is>
          <t>ROI</t>
        </is>
      </c>
    </row>
    <row r="25" ht="22" customHeight="1" s="78">
      <c r="A25" s="41" t="inlineStr">
        <is>
          <t>2026-09-01</t>
        </is>
      </c>
      <c r="B25" s="41" t="inlineStr">
        <is>
          <t>周二</t>
        </is>
      </c>
      <c r="C25" s="41" t="n">
        <v>1</v>
      </c>
      <c r="D25" s="41" t="n">
        <v>1</v>
      </c>
      <c r="E25" s="41" t="n">
        <v>0</v>
      </c>
      <c r="F25" s="41" t="n">
        <v>0</v>
      </c>
      <c r="G25" s="41" t="n">
        <v>0</v>
      </c>
      <c r="H25" s="41" t="n">
        <v>0</v>
      </c>
      <c r="I25" s="89" t="n">
        <v>1</v>
      </c>
      <c r="J25" s="81" t="n">
        <v>0.96</v>
      </c>
      <c r="K25" s="89" t="n">
        <v>0.96</v>
      </c>
    </row>
    <row r="26" ht="22" customHeight="1" s="78">
      <c r="A26" s="41" t="inlineStr">
        <is>
          <t>2026-09-02</t>
        </is>
      </c>
      <c r="B26" s="41" t="inlineStr">
        <is>
          <t>周三</t>
        </is>
      </c>
      <c r="C26" s="41" t="n">
        <v>49</v>
      </c>
      <c r="D26" s="41" t="n">
        <v>20</v>
      </c>
      <c r="E26" s="41" t="n">
        <v>2</v>
      </c>
      <c r="F26" s="41" t="n">
        <v>5</v>
      </c>
      <c r="G26" s="41" t="n">
        <v>5</v>
      </c>
      <c r="H26" s="41" t="n">
        <v>17</v>
      </c>
      <c r="I26" s="89" t="n">
        <v>0.518518518518518</v>
      </c>
      <c r="J26" s="81" t="n">
        <v>-0.83</v>
      </c>
      <c r="K26" s="89" t="n">
        <v>-0.0169387755102041</v>
      </c>
    </row>
    <row r="27" ht="22" customHeight="1" s="78">
      <c r="A27" s="41" t="inlineStr">
        <is>
          <t>2026-09-03</t>
        </is>
      </c>
      <c r="B27" s="41" t="inlineStr">
        <is>
          <t>周四</t>
        </is>
      </c>
      <c r="C27" s="41" t="n">
        <v>42</v>
      </c>
      <c r="D27" s="41" t="n">
        <v>15</v>
      </c>
      <c r="E27" s="41" t="n">
        <v>4</v>
      </c>
      <c r="F27" s="41" t="n">
        <v>2</v>
      </c>
      <c r="G27" s="41" t="n">
        <v>6</v>
      </c>
      <c r="H27" s="41" t="n">
        <v>15</v>
      </c>
      <c r="I27" s="89" t="n">
        <v>0.485714285714286</v>
      </c>
      <c r="J27" s="81" t="n">
        <v>-2.585</v>
      </c>
      <c r="K27" s="89" t="n">
        <v>-0.0615476190476191</v>
      </c>
    </row>
    <row r="28" ht="22" customHeight="1" s="78">
      <c r="A28" s="41" t="inlineStr">
        <is>
          <t>2026-09-04</t>
        </is>
      </c>
      <c r="B28" s="41" t="inlineStr">
        <is>
          <t>周五</t>
        </is>
      </c>
      <c r="C28" s="41" t="n">
        <v>13</v>
      </c>
      <c r="D28" s="41" t="n">
        <v>12</v>
      </c>
      <c r="E28" s="41" t="n">
        <v>0</v>
      </c>
      <c r="F28" s="41" t="n">
        <v>0</v>
      </c>
      <c r="G28" s="41" t="n">
        <v>1</v>
      </c>
      <c r="H28" s="41" t="n">
        <v>0</v>
      </c>
      <c r="I28" s="89" t="n">
        <v>0.96</v>
      </c>
      <c r="J28" s="81" t="n">
        <v>10.01</v>
      </c>
      <c r="K28" s="89" t="n">
        <v>0.77</v>
      </c>
    </row>
    <row r="29" ht="22" customHeight="1" s="78">
      <c r="A29" s="41" t="inlineStr">
        <is>
          <t>2026-09-07</t>
        </is>
      </c>
      <c r="B29" s="41" t="inlineStr">
        <is>
          <t>周一</t>
        </is>
      </c>
      <c r="C29" s="41" t="n">
        <v>24</v>
      </c>
      <c r="D29" s="41" t="n">
        <v>8</v>
      </c>
      <c r="E29" s="41" t="n">
        <v>2</v>
      </c>
      <c r="F29" s="41" t="n">
        <v>2</v>
      </c>
      <c r="G29" s="41" t="n">
        <v>5</v>
      </c>
      <c r="H29" s="41" t="n">
        <v>7</v>
      </c>
      <c r="I29" s="89" t="n">
        <v>0.486486486486487</v>
      </c>
      <c r="J29" s="81" t="n">
        <v>-1.34</v>
      </c>
      <c r="K29" s="89" t="n">
        <v>-0.0558333333333333</v>
      </c>
    </row>
    <row r="30" ht="22" customHeight="1" s="78">
      <c r="A30" s="41" t="inlineStr">
        <is>
          <t>2026-09-08</t>
        </is>
      </c>
      <c r="B30" s="41" t="inlineStr">
        <is>
          <t>周二</t>
        </is>
      </c>
      <c r="C30" s="41" t="n">
        <v>6</v>
      </c>
      <c r="D30" s="41" t="n">
        <v>4</v>
      </c>
      <c r="E30" s="41" t="n">
        <v>0</v>
      </c>
      <c r="F30" s="41" t="n">
        <v>0</v>
      </c>
      <c r="G30" s="41" t="n">
        <v>1</v>
      </c>
      <c r="H30" s="41" t="n">
        <v>1</v>
      </c>
      <c r="I30" s="89" t="n">
        <v>0.727272727272727</v>
      </c>
      <c r="J30" s="81" t="n">
        <v>2.17</v>
      </c>
      <c r="K30" s="89" t="n">
        <v>0.361666666666667</v>
      </c>
    </row>
    <row r="31" ht="22" customHeight="1" s="78">
      <c r="A31" s="41" t="inlineStr">
        <is>
          <t>2026-09-09</t>
        </is>
      </c>
      <c r="B31" s="41" t="inlineStr">
        <is>
          <t>周三</t>
        </is>
      </c>
      <c r="C31" s="41" t="n">
        <v>18</v>
      </c>
      <c r="D31" s="41" t="n">
        <v>7</v>
      </c>
      <c r="E31" s="41" t="n">
        <v>2</v>
      </c>
      <c r="F31" s="41" t="n">
        <v>5</v>
      </c>
      <c r="G31" s="41" t="n">
        <v>0</v>
      </c>
      <c r="H31" s="41" t="n">
        <v>4</v>
      </c>
      <c r="I31" s="89" t="n">
        <v>0.666666666666667</v>
      </c>
      <c r="J31" s="81" t="n">
        <v>3.345</v>
      </c>
      <c r="K31" s="89" t="n">
        <v>0.185833333333333</v>
      </c>
    </row>
    <row r="32" ht="22" customHeight="1" s="78">
      <c r="A32" s="41" t="inlineStr">
        <is>
          <t>2026-09-10</t>
        </is>
      </c>
      <c r="B32" s="41" t="inlineStr">
        <is>
          <t>周四</t>
        </is>
      </c>
      <c r="C32" s="41" t="n">
        <v>34</v>
      </c>
      <c r="D32" s="41" t="n">
        <v>12</v>
      </c>
      <c r="E32" s="41" t="n">
        <v>0</v>
      </c>
      <c r="F32" s="41" t="n">
        <v>4</v>
      </c>
      <c r="G32" s="41" t="n">
        <v>9</v>
      </c>
      <c r="H32" s="41" t="n">
        <v>9</v>
      </c>
      <c r="I32" s="89" t="n">
        <v>0.470588235294118</v>
      </c>
      <c r="J32" s="81" t="n">
        <v>-2.94</v>
      </c>
      <c r="K32" s="89" t="n">
        <v>-0.0864705882352941</v>
      </c>
    </row>
    <row r="33" ht="22" customHeight="1" s="78">
      <c r="A33" s="41" t="inlineStr">
        <is>
          <t>2026-09-11</t>
        </is>
      </c>
      <c r="B33" s="41" t="inlineStr">
        <is>
          <t>周五</t>
        </is>
      </c>
      <c r="C33" s="41" t="n">
        <v>21</v>
      </c>
      <c r="D33" s="41" t="n">
        <v>11</v>
      </c>
      <c r="E33" s="41" t="n">
        <v>0</v>
      </c>
      <c r="F33" s="41" t="n">
        <v>1</v>
      </c>
      <c r="G33" s="41" t="n">
        <v>2</v>
      </c>
      <c r="H33" s="41" t="n">
        <v>7</v>
      </c>
      <c r="I33" s="89" t="n">
        <v>0.578947368421053</v>
      </c>
      <c r="J33" s="81" t="n">
        <v>1.82</v>
      </c>
      <c r="K33" s="89" t="n">
        <v>0.0866666666666667</v>
      </c>
    </row>
    <row r="34" ht="22" customHeight="1" s="78">
      <c r="A34" s="41" t="inlineStr">
        <is>
          <t>2026-09-14</t>
        </is>
      </c>
      <c r="B34" s="41" t="inlineStr">
        <is>
          <t>周一</t>
        </is>
      </c>
      <c r="C34" s="41" t="n">
        <v>8</v>
      </c>
      <c r="D34" s="41" t="n">
        <v>2</v>
      </c>
      <c r="E34" s="41" t="n">
        <v>1</v>
      </c>
      <c r="F34" s="41" t="n">
        <v>1</v>
      </c>
      <c r="G34" s="41" t="n">
        <v>2</v>
      </c>
      <c r="H34" s="41" t="n">
        <v>2</v>
      </c>
      <c r="I34" s="89" t="n">
        <v>0.454545454545454</v>
      </c>
      <c r="J34" s="81" t="n">
        <v>-0.74</v>
      </c>
      <c r="K34" s="89" t="n">
        <v>-0.0925</v>
      </c>
    </row>
    <row r="35" ht="22" customHeight="1" s="78">
      <c r="A35" s="41" t="inlineStr">
        <is>
          <t>2026-09-15</t>
        </is>
      </c>
      <c r="B35" s="41" t="inlineStr">
        <is>
          <t>周二</t>
        </is>
      </c>
      <c r="C35" s="41" t="n">
        <v>6</v>
      </c>
      <c r="D35" s="41" t="n">
        <v>3</v>
      </c>
      <c r="E35" s="41" t="n">
        <v>0</v>
      </c>
      <c r="F35" s="41" t="n">
        <v>0</v>
      </c>
      <c r="G35" s="41" t="n">
        <v>1</v>
      </c>
      <c r="H35" s="41" t="n">
        <v>2</v>
      </c>
      <c r="I35" s="89" t="n">
        <v>0.545454545454545</v>
      </c>
      <c r="J35" s="81" t="n">
        <v>0.0199999999999999</v>
      </c>
      <c r="K35" s="89" t="n">
        <v>0.00333333333333332</v>
      </c>
    </row>
    <row r="36" ht="22" customHeight="1" s="78">
      <c r="A36" s="41" t="inlineStr">
        <is>
          <t>2026-09-16</t>
        </is>
      </c>
      <c r="B36" s="41" t="inlineStr">
        <is>
          <t>周三</t>
        </is>
      </c>
      <c r="C36" s="41" t="n">
        <v>18</v>
      </c>
      <c r="D36" s="41" t="n">
        <v>9</v>
      </c>
      <c r="E36" s="41" t="n">
        <v>1</v>
      </c>
      <c r="F36" s="41" t="n">
        <v>2</v>
      </c>
      <c r="G36" s="41" t="n">
        <v>2</v>
      </c>
      <c r="H36" s="41" t="n">
        <v>4</v>
      </c>
      <c r="I36" s="89" t="n">
        <v>0.655172413793103</v>
      </c>
      <c r="J36" s="81" t="n">
        <v>3.665</v>
      </c>
      <c r="K36" s="89" t="n">
        <v>0.203611111111111</v>
      </c>
    </row>
    <row r="37" ht="22" customHeight="1" s="78">
      <c r="A37" s="41" t="inlineStr">
        <is>
          <t>2026-09-17</t>
        </is>
      </c>
      <c r="B37" s="41" t="inlineStr">
        <is>
          <t>周四</t>
        </is>
      </c>
      <c r="C37" s="41" t="n">
        <v>18</v>
      </c>
      <c r="D37" s="41" t="n">
        <v>5</v>
      </c>
      <c r="E37" s="41" t="n">
        <v>2</v>
      </c>
      <c r="F37" s="41" t="n">
        <v>2</v>
      </c>
      <c r="G37" s="41" t="n">
        <v>3</v>
      </c>
      <c r="H37" s="41" t="n">
        <v>6</v>
      </c>
      <c r="I37" s="89" t="n">
        <v>0.444444444444444</v>
      </c>
      <c r="J37" s="81" t="n">
        <v>-1.91</v>
      </c>
      <c r="K37" s="89" t="n">
        <v>-0.106111111111111</v>
      </c>
    </row>
    <row r="38" ht="22" customHeight="1" s="78">
      <c r="A38" s="41" t="inlineStr">
        <is>
          <t>2026-09-18</t>
        </is>
      </c>
      <c r="B38" s="41" t="inlineStr">
        <is>
          <t>周五</t>
        </is>
      </c>
      <c r="C38" s="41" t="n">
        <v>12</v>
      </c>
      <c r="D38" s="41" t="n">
        <v>7</v>
      </c>
      <c r="E38" s="41" t="n">
        <v>0</v>
      </c>
      <c r="F38" s="41" t="n">
        <v>2</v>
      </c>
      <c r="G38" s="41" t="n">
        <v>1</v>
      </c>
      <c r="H38" s="41" t="n">
        <v>2</v>
      </c>
      <c r="I38" s="89" t="n">
        <v>0.736842105263158</v>
      </c>
      <c r="J38" s="81" t="n">
        <v>4.07</v>
      </c>
      <c r="K38" s="89" t="n">
        <v>0.339166666666667</v>
      </c>
    </row>
    <row r="39" ht="22" customHeight="1" s="78"/>
  </sheetData>
  <mergeCells count="4">
    <mergeCell ref="A2:K2"/>
    <mergeCell ref="A14:K14"/>
    <mergeCell ref="A23:K23"/>
    <mergeCell ref="A1:K1"/>
  </mergeCell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4" topLeftCell="A5" activePane="bottomLeft" state="frozen"/>
      <selection activeCell="A1" sqref="A1"/>
      <selection pane="bottomLeft" activeCell="A1" sqref="A1:O1"/>
    </sheetView>
  </sheetViews>
  <sheetFormatPr baseColWidth="8" defaultColWidth="9" defaultRowHeight="13.8"/>
  <cols>
    <col width="16" customWidth="1" style="78" min="1" max="1"/>
    <col width="10" customWidth="1" style="78" min="2" max="2"/>
    <col width="22" customWidth="1" style="78" min="3" max="3"/>
    <col width="10" customWidth="1" style="78" min="4" max="4"/>
    <col width="12" customWidth="1" style="78" min="5" max="6"/>
    <col width="10" customWidth="1" style="78" min="7" max="7"/>
    <col width="12" customWidth="1" style="78" min="8" max="9"/>
    <col width="10" customWidth="1" style="78" min="10" max="10"/>
    <col width="12" customWidth="1" style="78" min="11" max="12"/>
    <col width="10" customWidth="1" style="78" min="13" max="13"/>
    <col width="24" customWidth="1" style="78" min="14" max="14"/>
    <col width="30" customWidth="1" style="78" min="15" max="15"/>
  </cols>
  <sheetData>
    <row r="1" ht="28" customHeight="1" s="78">
      <c r="A1" s="1" t="inlineStr">
        <is>
          <t>指定联赛正反买：周中与周末适用性检验</t>
        </is>
      </c>
    </row>
    <row r="2" ht="42" customHeight="1" s="78">
      <c r="A2" s="2" t="inlineStr">
        <is>
          <t>周中=周一至周五、周末=周六/周日（均按北京时间开赛日）。反买按对手方即时水位重新结算；p值为两侧置换检验。只有周中、周末各≥5场且p&lt;0.05才认定明显差异。</t>
        </is>
      </c>
    </row>
    <row r="4" ht="24" customHeight="1" s="78">
      <c r="A4" s="3" t="inlineStr">
        <is>
          <t>组合</t>
        </is>
      </c>
      <c r="B4" s="3" t="inlineStr">
        <is>
          <t>周中N</t>
        </is>
      </c>
      <c r="C4" s="3" t="inlineStr">
        <is>
          <t>周中胜率</t>
        </is>
      </c>
      <c r="D4" s="3" t="inlineStr">
        <is>
          <t>周中盈亏</t>
        </is>
      </c>
      <c r="E4" s="3" t="inlineStr">
        <is>
          <t>周中ROI</t>
        </is>
      </c>
      <c r="F4" s="3" t="inlineStr">
        <is>
          <t>周末N</t>
        </is>
      </c>
      <c r="G4" s="3" t="inlineStr">
        <is>
          <t>周末胜率</t>
        </is>
      </c>
      <c r="H4" s="3" t="inlineStr">
        <is>
          <t>周末盈亏</t>
        </is>
      </c>
      <c r="I4" s="3" t="inlineStr">
        <is>
          <t>周末ROI</t>
        </is>
      </c>
      <c r="J4" s="3" t="inlineStr">
        <is>
          <t>全周N</t>
        </is>
      </c>
      <c r="K4" s="3" t="inlineStr">
        <is>
          <t>全周胜率</t>
        </is>
      </c>
      <c r="L4" s="3" t="inlineStr">
        <is>
          <t>全周盈亏</t>
        </is>
      </c>
      <c r="M4" s="3" t="inlineStr">
        <is>
          <t>全周ROI</t>
        </is>
      </c>
      <c r="N4" s="3" t="inlineStr">
        <is>
          <t>p值</t>
        </is>
      </c>
      <c r="O4" s="3" t="inlineStr">
        <is>
          <t>判断</t>
        </is>
      </c>
    </row>
    <row r="5" ht="23" customHeight="1" s="78">
      <c r="A5" s="49" t="inlineStr">
        <is>
          <t>反买组合</t>
        </is>
      </c>
      <c r="B5" s="49" t="n">
        <v>11</v>
      </c>
      <c r="C5" s="86" t="n">
        <v>0.714285714285714</v>
      </c>
      <c r="D5" s="87" t="n">
        <v>3.9</v>
      </c>
      <c r="E5" s="86" t="n">
        <v>0.354545454545455</v>
      </c>
      <c r="F5" s="49" t="n">
        <v>26</v>
      </c>
      <c r="G5" s="86" t="n">
        <v>0.833333333333333</v>
      </c>
      <c r="H5" s="87" t="n">
        <v>12.65</v>
      </c>
      <c r="I5" s="86" t="n">
        <v>0.486538461538461</v>
      </c>
      <c r="J5" s="49" t="n">
        <v>37</v>
      </c>
      <c r="K5" s="86" t="n">
        <v>0.7936507936507941</v>
      </c>
      <c r="L5" s="87" t="n">
        <v>16.55</v>
      </c>
      <c r="M5" s="86" t="n">
        <v>0.447297297297297</v>
      </c>
      <c r="N5" s="88" t="n">
        <v>0.620327593448131</v>
      </c>
      <c r="O5" s="49" t="inlineStr">
        <is>
          <t>未见统计显著差异，整周可沿用</t>
        </is>
      </c>
    </row>
    <row r="6" ht="23" customHeight="1" s="78">
      <c r="A6" s="49" t="inlineStr">
        <is>
          <t>正买组合</t>
        </is>
      </c>
      <c r="B6" s="49" t="n">
        <v>35</v>
      </c>
      <c r="C6" s="86" t="n">
        <v>0.637931034482759</v>
      </c>
      <c r="D6" s="87" t="n">
        <v>5.86</v>
      </c>
      <c r="E6" s="86" t="n">
        <v>0.167428571428571</v>
      </c>
      <c r="F6" s="49" t="n">
        <v>21</v>
      </c>
      <c r="G6" s="86" t="n">
        <v>0.65</v>
      </c>
      <c r="H6" s="87" t="n">
        <v>4.71</v>
      </c>
      <c r="I6" s="86" t="n">
        <v>0.224285714285714</v>
      </c>
      <c r="J6" s="49" t="n">
        <v>56</v>
      </c>
      <c r="K6" s="86" t="n">
        <v>0.642857142857143</v>
      </c>
      <c r="L6" s="87" t="n">
        <v>10.57</v>
      </c>
      <c r="M6" s="86" t="n">
        <v>0.18875</v>
      </c>
      <c r="N6" s="88" t="n">
        <v>0.812343753124937</v>
      </c>
      <c r="O6" s="49" t="inlineStr">
        <is>
          <t>未见统计显著差异，整周可沿用</t>
        </is>
      </c>
    </row>
    <row r="7" ht="23" customHeight="1" s="78">
      <c r="A7" s="49" t="inlineStr">
        <is>
          <t>全部观点组合</t>
        </is>
      </c>
      <c r="B7" s="49" t="n">
        <v>46</v>
      </c>
      <c r="C7" s="86" t="n">
        <v>0.658227848101266</v>
      </c>
      <c r="D7" s="87" t="n">
        <v>9.76</v>
      </c>
      <c r="E7" s="86" t="n">
        <v>0.212173913043478</v>
      </c>
      <c r="F7" s="49" t="n">
        <v>47</v>
      </c>
      <c r="G7" s="86" t="n">
        <v>0.74390243902439</v>
      </c>
      <c r="H7" s="87" t="n">
        <v>17.36</v>
      </c>
      <c r="I7" s="86" t="n">
        <v>0.36936170212766</v>
      </c>
      <c r="J7" s="49" t="n">
        <v>93</v>
      </c>
      <c r="K7" s="86" t="n">
        <v>0.701863354037267</v>
      </c>
      <c r="L7" s="87" t="n">
        <v>27.12</v>
      </c>
      <c r="M7" s="86" t="n">
        <v>0.291612903225807</v>
      </c>
      <c r="N7" s="88" t="n">
        <v>0.346133077338453</v>
      </c>
      <c r="O7" s="49" t="inlineStr">
        <is>
          <t>未见统计显著差异，整周可沿用</t>
        </is>
      </c>
    </row>
    <row r="8" ht="23" customHeight="1" s="78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49" t="n"/>
      <c r="M8" s="49" t="n"/>
      <c r="N8" s="49" t="n"/>
      <c r="O8" s="49" t="n"/>
    </row>
    <row r="9" ht="23" customHeight="1" s="78">
      <c r="A9" s="8" t="inlineStr">
        <is>
          <t>逐联赛/国家明细</t>
        </is>
      </c>
    </row>
    <row r="10" ht="23" customHeight="1" s="78">
      <c r="A10" s="9" t="inlineStr">
        <is>
          <t>联赛/国家</t>
        </is>
      </c>
      <c r="B10" s="9" t="inlineStr">
        <is>
          <t>方向</t>
        </is>
      </c>
      <c r="C10" s="9" t="inlineStr">
        <is>
          <t>匹配口径</t>
        </is>
      </c>
      <c r="D10" s="9" t="inlineStr">
        <is>
          <t>周中N</t>
        </is>
      </c>
      <c r="E10" s="9" t="inlineStr">
        <is>
          <t>周中胜率</t>
        </is>
      </c>
      <c r="F10" s="9" t="inlineStr">
        <is>
          <t>周中盈亏</t>
        </is>
      </c>
      <c r="G10" s="9" t="inlineStr">
        <is>
          <t>周末N</t>
        </is>
      </c>
      <c r="H10" s="9" t="inlineStr">
        <is>
          <t>周末胜率</t>
        </is>
      </c>
      <c r="I10" s="9" t="inlineStr">
        <is>
          <t>周末盈亏</t>
        </is>
      </c>
      <c r="J10" s="9" t="inlineStr">
        <is>
          <t>全周N</t>
        </is>
      </c>
      <c r="K10" s="9" t="inlineStr">
        <is>
          <t>全周胜率</t>
        </is>
      </c>
      <c r="L10" s="9" t="inlineStr">
        <is>
          <t>全周盈亏</t>
        </is>
      </c>
      <c r="M10" s="9" t="inlineStr">
        <is>
          <t>p值</t>
        </is>
      </c>
      <c r="N10" s="9" t="inlineStr">
        <is>
          <t>判定</t>
        </is>
      </c>
      <c r="O10" s="9" t="inlineStr">
        <is>
          <t>备注</t>
        </is>
      </c>
    </row>
    <row r="11" ht="23" customHeight="1" s="78">
      <c r="A11" s="49" t="inlineStr">
        <is>
          <t>中超</t>
        </is>
      </c>
      <c r="B11" s="49" t="inlineStr">
        <is>
          <t>反买</t>
        </is>
      </c>
      <c r="C11" s="49" t="inlineStr">
        <is>
          <t>中超</t>
        </is>
      </c>
      <c r="D11" s="49" t="n">
        <v>0</v>
      </c>
      <c r="E11" s="86" t="n"/>
      <c r="F11" s="87" t="n">
        <v>0</v>
      </c>
      <c r="G11" s="49" t="n">
        <v>3</v>
      </c>
      <c r="H11" s="86" t="n">
        <v>1</v>
      </c>
      <c r="I11" s="87" t="n">
        <v>2.3</v>
      </c>
      <c r="J11" s="49" t="n">
        <v>3</v>
      </c>
      <c r="K11" s="86" t="n">
        <v>1</v>
      </c>
      <c r="L11" s="87" t="n">
        <v>2.3</v>
      </c>
      <c r="M11" s="88" t="n"/>
      <c r="N11" s="49" t="inlineStr">
        <is>
          <t>样本不足，不能判定时段差异</t>
        </is>
      </c>
      <c r="O11" s="49" t="inlineStr">
        <is>
          <t>只有单一时段样本，不能比较</t>
        </is>
      </c>
    </row>
    <row r="12" ht="23" customHeight="1" s="78">
      <c r="A12" s="49" t="inlineStr">
        <is>
          <t>丹麦</t>
        </is>
      </c>
      <c r="B12" s="49" t="inlineStr">
        <is>
          <t>反买</t>
        </is>
      </c>
      <c r="C12" s="49" t="inlineStr">
        <is>
          <t>丹麦赛事</t>
        </is>
      </c>
      <c r="D12" s="49" t="n">
        <v>0</v>
      </c>
      <c r="E12" s="86" t="n"/>
      <c r="F12" s="87" t="n">
        <v>0</v>
      </c>
      <c r="G12" s="49" t="n">
        <v>6</v>
      </c>
      <c r="H12" s="86" t="n">
        <v>1</v>
      </c>
      <c r="I12" s="87" t="n">
        <v>3.88</v>
      </c>
      <c r="J12" s="49" t="n">
        <v>6</v>
      </c>
      <c r="K12" s="86" t="n">
        <v>1</v>
      </c>
      <c r="L12" s="87" t="n">
        <v>3.88</v>
      </c>
      <c r="M12" s="88" t="n"/>
      <c r="N12" s="49" t="inlineStr">
        <is>
          <t>样本不足，不能判定时段差异</t>
        </is>
      </c>
      <c r="O12" s="49" t="inlineStr">
        <is>
          <t>只有单一时段样本，不能比较</t>
        </is>
      </c>
    </row>
    <row r="13" ht="23" customHeight="1" s="78">
      <c r="A13" s="49" t="inlineStr">
        <is>
          <t>挪威</t>
        </is>
      </c>
      <c r="B13" s="49" t="inlineStr">
        <is>
          <t>反买</t>
        </is>
      </c>
      <c r="C13" s="49" t="inlineStr">
        <is>
          <t>挪威赛事</t>
        </is>
      </c>
      <c r="D13" s="49" t="n">
        <v>0</v>
      </c>
      <c r="E13" s="86" t="n"/>
      <c r="F13" s="87" t="n">
        <v>0</v>
      </c>
      <c r="G13" s="49" t="n">
        <v>7</v>
      </c>
      <c r="H13" s="86" t="n">
        <v>0.615384615384615</v>
      </c>
      <c r="I13" s="87" t="n">
        <v>1.19</v>
      </c>
      <c r="J13" s="49" t="n">
        <v>7</v>
      </c>
      <c r="K13" s="86" t="n">
        <v>0.615384615384615</v>
      </c>
      <c r="L13" s="87" t="n">
        <v>1.19</v>
      </c>
      <c r="M13" s="88" t="n"/>
      <c r="N13" s="49" t="inlineStr">
        <is>
          <t>样本不足，不能判定时段差异</t>
        </is>
      </c>
      <c r="O13" s="49" t="inlineStr">
        <is>
          <t>只有单一时段样本，不能比较</t>
        </is>
      </c>
    </row>
    <row r="14" ht="23" customHeight="1" s="78">
      <c r="A14" s="49" t="inlineStr">
        <is>
          <t>意丙</t>
        </is>
      </c>
      <c r="B14" s="49" t="inlineStr">
        <is>
          <t>反买</t>
        </is>
      </c>
      <c r="C14" s="49" t="inlineStr">
        <is>
          <t>意丙（不含杯赛）</t>
        </is>
      </c>
      <c r="D14" s="49" t="n">
        <v>1</v>
      </c>
      <c r="E14" s="86" t="n">
        <v>1</v>
      </c>
      <c r="F14" s="87" t="n">
        <v>0.87</v>
      </c>
      <c r="G14" s="49" t="n">
        <v>4</v>
      </c>
      <c r="H14" s="86" t="n">
        <v>0.714285714285714</v>
      </c>
      <c r="I14" s="87" t="n">
        <v>1.045</v>
      </c>
      <c r="J14" s="49" t="n">
        <v>5</v>
      </c>
      <c r="K14" s="86" t="n">
        <v>0.777777777777778</v>
      </c>
      <c r="L14" s="87" t="n">
        <v>1.915</v>
      </c>
      <c r="M14" s="88" t="n"/>
      <c r="N14" s="49" t="inlineStr">
        <is>
          <t>样本不足，不能判定时段差异</t>
        </is>
      </c>
      <c r="O14" s="49" t="inlineStr">
        <is>
          <t>继续积累样本</t>
        </is>
      </c>
    </row>
    <row r="15" ht="23" customHeight="1" s="78">
      <c r="A15" s="49" t="inlineStr">
        <is>
          <t>沙特联</t>
        </is>
      </c>
      <c r="B15" s="49" t="inlineStr">
        <is>
          <t>反买</t>
        </is>
      </c>
      <c r="C15" s="49" t="inlineStr">
        <is>
          <t>沙特联</t>
        </is>
      </c>
      <c r="D15" s="49" t="n">
        <v>6</v>
      </c>
      <c r="E15" s="86" t="n">
        <v>0.636363636363636</v>
      </c>
      <c r="F15" s="87" t="n">
        <v>1.29</v>
      </c>
      <c r="G15" s="49" t="n">
        <v>2</v>
      </c>
      <c r="H15" s="86" t="n">
        <v>1</v>
      </c>
      <c r="I15" s="87" t="n">
        <v>1.555</v>
      </c>
      <c r="J15" s="49" t="n">
        <v>8</v>
      </c>
      <c r="K15" s="86" t="n">
        <v>0.714285714285714</v>
      </c>
      <c r="L15" s="87" t="n">
        <v>2.845</v>
      </c>
      <c r="M15" s="88" t="n"/>
      <c r="N15" s="49" t="inlineStr">
        <is>
          <t>样本不足，不能判定时段差异</t>
        </is>
      </c>
      <c r="O15" s="49" t="inlineStr">
        <is>
          <t>继续积累样本</t>
        </is>
      </c>
    </row>
    <row r="16" ht="23" customHeight="1" s="78">
      <c r="A16" s="49" t="inlineStr">
        <is>
          <t>瑞典甲</t>
        </is>
      </c>
      <c r="B16" s="49" t="inlineStr">
        <is>
          <t>反买</t>
        </is>
      </c>
      <c r="C16" s="49" t="inlineStr">
        <is>
          <t>瑞典甲</t>
        </is>
      </c>
      <c r="D16" s="49" t="n">
        <v>0</v>
      </c>
      <c r="E16" s="86" t="n"/>
      <c r="F16" s="87" t="n">
        <v>0</v>
      </c>
      <c r="G16" s="49" t="n">
        <v>4</v>
      </c>
      <c r="H16" s="86" t="n">
        <v>1</v>
      </c>
      <c r="I16" s="87" t="n">
        <v>2.68</v>
      </c>
      <c r="J16" s="49" t="n">
        <v>4</v>
      </c>
      <c r="K16" s="86" t="n">
        <v>1</v>
      </c>
      <c r="L16" s="87" t="n">
        <v>2.68</v>
      </c>
      <c r="M16" s="88" t="n"/>
      <c r="N16" s="49" t="inlineStr">
        <is>
          <t>样本不足，不能判定时段差异</t>
        </is>
      </c>
      <c r="O16" s="49" t="inlineStr">
        <is>
          <t>只有单一时段样本，不能比较</t>
        </is>
      </c>
    </row>
    <row r="17" ht="23" customHeight="1" s="78">
      <c r="A17" s="49" t="inlineStr">
        <is>
          <t>哥伦甲秋</t>
        </is>
      </c>
      <c r="B17" s="49" t="inlineStr">
        <is>
          <t>反买</t>
        </is>
      </c>
      <c r="C17" s="49" t="inlineStr">
        <is>
          <t>哥伦甲秋</t>
        </is>
      </c>
      <c r="D17" s="49" t="n">
        <v>4</v>
      </c>
      <c r="E17" s="86" t="n">
        <v>0.75</v>
      </c>
      <c r="F17" s="87" t="n">
        <v>1.74</v>
      </c>
      <c r="G17" s="49" t="n">
        <v>0</v>
      </c>
      <c r="H17" s="86" t="n"/>
      <c r="I17" s="87" t="n">
        <v>0</v>
      </c>
      <c r="J17" s="49" t="n">
        <v>4</v>
      </c>
      <c r="K17" s="86" t="n">
        <v>0.75</v>
      </c>
      <c r="L17" s="87" t="n">
        <v>1.74</v>
      </c>
      <c r="M17" s="88" t="n"/>
      <c r="N17" s="49" t="inlineStr">
        <is>
          <t>样本不足，不能判定时段差异</t>
        </is>
      </c>
      <c r="O17" s="49" t="inlineStr">
        <is>
          <t>只有单一时段样本，不能比较</t>
        </is>
      </c>
    </row>
    <row r="18" ht="23" customHeight="1" s="78">
      <c r="A18" s="49" t="inlineStr">
        <is>
          <t>西协甲</t>
        </is>
      </c>
      <c r="B18" s="49" t="inlineStr">
        <is>
          <t>正买</t>
        </is>
      </c>
      <c r="C18" s="49" t="inlineStr">
        <is>
          <t>西协甲</t>
        </is>
      </c>
      <c r="D18" s="49" t="n">
        <v>2</v>
      </c>
      <c r="E18" s="86" t="n">
        <v>1</v>
      </c>
      <c r="F18" s="87" t="n">
        <v>1.65</v>
      </c>
      <c r="G18" s="49" t="n">
        <v>3</v>
      </c>
      <c r="H18" s="86" t="n">
        <v>1</v>
      </c>
      <c r="I18" s="87" t="n">
        <v>1.63</v>
      </c>
      <c r="J18" s="49" t="n">
        <v>5</v>
      </c>
      <c r="K18" s="86" t="n">
        <v>1</v>
      </c>
      <c r="L18" s="87" t="n">
        <v>3.28</v>
      </c>
      <c r="M18" s="88" t="n"/>
      <c r="N18" s="49" t="inlineStr">
        <is>
          <t>样本不足，不能判定时段差异</t>
        </is>
      </c>
      <c r="O18" s="49" t="inlineStr">
        <is>
          <t>继续积累样本</t>
        </is>
      </c>
    </row>
    <row r="19" ht="23" customHeight="1" s="78">
      <c r="A19" s="49" t="inlineStr">
        <is>
          <t>西乙</t>
        </is>
      </c>
      <c r="B19" s="49" t="inlineStr">
        <is>
          <t>正买</t>
        </is>
      </c>
      <c r="C19" s="49" t="inlineStr">
        <is>
          <t>西乙</t>
        </is>
      </c>
      <c r="D19" s="49" t="n">
        <v>0</v>
      </c>
      <c r="E19" s="86" t="n"/>
      <c r="F19" s="87" t="n">
        <v>0</v>
      </c>
      <c r="G19" s="49" t="n">
        <v>3</v>
      </c>
      <c r="H19" s="86" t="n">
        <v>0.666666666666667</v>
      </c>
      <c r="I19" s="87" t="n">
        <v>1.06</v>
      </c>
      <c r="J19" s="49" t="n">
        <v>3</v>
      </c>
      <c r="K19" s="86" t="n">
        <v>0.666666666666667</v>
      </c>
      <c r="L19" s="87" t="n">
        <v>1.06</v>
      </c>
      <c r="M19" s="88" t="n"/>
      <c r="N19" s="49" t="inlineStr">
        <is>
          <t>样本不足，不能判定时段差异</t>
        </is>
      </c>
      <c r="O19" s="49" t="inlineStr">
        <is>
          <t>只有单一时段样本，不能比较</t>
        </is>
      </c>
    </row>
    <row r="20" ht="23" customHeight="1" s="78">
      <c r="A20" s="49" t="inlineStr">
        <is>
          <t>英冠</t>
        </is>
      </c>
      <c r="B20" s="49" t="inlineStr">
        <is>
          <t>正买</t>
        </is>
      </c>
      <c r="C20" s="49" t="inlineStr">
        <is>
          <t>英冠</t>
        </is>
      </c>
      <c r="D20" s="49" t="n">
        <v>11</v>
      </c>
      <c r="E20" s="86" t="n">
        <v>0.6</v>
      </c>
      <c r="F20" s="87" t="n">
        <v>0.855</v>
      </c>
      <c r="G20" s="49" t="n">
        <v>5</v>
      </c>
      <c r="H20" s="86" t="n">
        <v>0.6</v>
      </c>
      <c r="I20" s="87" t="n">
        <v>0.77</v>
      </c>
      <c r="J20" s="49" t="n">
        <v>16</v>
      </c>
      <c r="K20" s="86" t="n">
        <v>0.6</v>
      </c>
      <c r="L20" s="87" t="n">
        <v>1.625</v>
      </c>
      <c r="M20" s="88" t="n">
        <v>0.866622667546649</v>
      </c>
      <c r="N20" s="49" t="inlineStr">
        <is>
          <t>未见明显时段差异</t>
        </is>
      </c>
      <c r="O20" s="49" t="inlineStr">
        <is>
          <t>继续积累样本</t>
        </is>
      </c>
    </row>
    <row r="21" ht="23" customHeight="1" s="78">
      <c r="A21" s="49" t="inlineStr">
        <is>
          <t>英甲</t>
        </is>
      </c>
      <c r="B21" s="49" t="inlineStr">
        <is>
          <t>正买</t>
        </is>
      </c>
      <c r="C21" s="49" t="inlineStr">
        <is>
          <t>英甲</t>
        </is>
      </c>
      <c r="D21" s="49" t="n">
        <v>7</v>
      </c>
      <c r="E21" s="86" t="n">
        <v>0.9090909090909089</v>
      </c>
      <c r="F21" s="87" t="n">
        <v>4.19</v>
      </c>
      <c r="G21" s="49" t="n">
        <v>3</v>
      </c>
      <c r="H21" s="86" t="n">
        <v>0.333333333333333</v>
      </c>
      <c r="I21" s="87" t="n">
        <v>-0.95</v>
      </c>
      <c r="J21" s="49" t="n">
        <v>10</v>
      </c>
      <c r="K21" s="86" t="n">
        <v>0.705882352941177</v>
      </c>
      <c r="L21" s="87" t="n">
        <v>3.24</v>
      </c>
      <c r="M21" s="88" t="n">
        <v>0.155956880862383</v>
      </c>
      <c r="N21" s="49" t="inlineStr">
        <is>
          <t>样本不足，不能判定时段差异</t>
        </is>
      </c>
      <c r="O21" s="49" t="inlineStr">
        <is>
          <t>账面上周中明显优于周末，但周末仅3场</t>
        </is>
      </c>
    </row>
    <row r="22" ht="23" customHeight="1" s="78">
      <c r="A22" s="49" t="inlineStr">
        <is>
          <t>土甲</t>
        </is>
      </c>
      <c r="B22" s="49" t="inlineStr">
        <is>
          <t>正买</t>
        </is>
      </c>
      <c r="C22" s="49" t="inlineStr">
        <is>
          <t>土甲</t>
        </is>
      </c>
      <c r="D22" s="49" t="n">
        <v>3</v>
      </c>
      <c r="E22" s="86" t="n">
        <v>1</v>
      </c>
      <c r="F22" s="87" t="n">
        <v>2.66</v>
      </c>
      <c r="G22" s="49" t="n">
        <v>2</v>
      </c>
      <c r="H22" s="86" t="n">
        <v>0.5</v>
      </c>
      <c r="I22" s="87" t="n">
        <v>-0.19</v>
      </c>
      <c r="J22" s="49" t="n">
        <v>5</v>
      </c>
      <c r="K22" s="86" t="n">
        <v>0.8</v>
      </c>
      <c r="L22" s="87" t="n">
        <v>2.47</v>
      </c>
      <c r="M22" s="88" t="n"/>
      <c r="N22" s="49" t="inlineStr">
        <is>
          <t>样本不足，不能判定时段差异</t>
        </is>
      </c>
      <c r="O22" s="49" t="inlineStr">
        <is>
          <t>账面上周中较强，但两侧样本不足</t>
        </is>
      </c>
    </row>
    <row r="23" ht="23" customHeight="1" s="78">
      <c r="A23" s="49" t="inlineStr">
        <is>
          <t>美国</t>
        </is>
      </c>
      <c r="B23" s="49" t="inlineStr">
        <is>
          <t>正买</t>
        </is>
      </c>
      <c r="C23" s="49" t="inlineStr">
        <is>
          <t>美职业/美冠联/美甲</t>
        </is>
      </c>
      <c r="D23" s="49" t="n">
        <v>8</v>
      </c>
      <c r="E23" s="86" t="n">
        <v>0.2</v>
      </c>
      <c r="F23" s="87" t="n">
        <v>-4.67</v>
      </c>
      <c r="G23" s="49" t="n">
        <v>2</v>
      </c>
      <c r="H23" s="86" t="n">
        <v>1</v>
      </c>
      <c r="I23" s="87" t="n">
        <v>1.84</v>
      </c>
      <c r="J23" s="49" t="n">
        <v>10</v>
      </c>
      <c r="K23" s="86" t="n">
        <v>0.368421052631579</v>
      </c>
      <c r="L23" s="87" t="n">
        <v>-2.83</v>
      </c>
      <c r="M23" s="88" t="n"/>
      <c r="N23" s="49" t="inlineStr">
        <is>
          <t>样本不足，不能判定时段差异</t>
        </is>
      </c>
      <c r="O23" s="49" t="inlineStr">
        <is>
          <t>周中20.0%且-4.670u，周末100%但仅2场；时段差异样本仍不足，周中须谨慎</t>
        </is>
      </c>
    </row>
    <row r="24" ht="23" customHeight="1" s="78">
      <c r="A24" s="49" t="inlineStr">
        <is>
          <t>捷克</t>
        </is>
      </c>
      <c r="B24" s="49" t="inlineStr">
        <is>
          <t>正买</t>
        </is>
      </c>
      <c r="C24" s="49" t="inlineStr">
        <is>
          <t>捷克赛事</t>
        </is>
      </c>
      <c r="D24" s="49" t="n">
        <v>4</v>
      </c>
      <c r="E24" s="86" t="n">
        <v>0.714285714285714</v>
      </c>
      <c r="F24" s="87" t="n">
        <v>1.175</v>
      </c>
      <c r="G24" s="49" t="n">
        <v>3</v>
      </c>
      <c r="H24" s="86" t="n">
        <v>0.666666666666667</v>
      </c>
      <c r="I24" s="87" t="n">
        <v>0.55</v>
      </c>
      <c r="J24" s="49" t="n">
        <v>7</v>
      </c>
      <c r="K24" s="86" t="n">
        <v>0.692307692307692</v>
      </c>
      <c r="L24" s="87" t="n">
        <v>1.725</v>
      </c>
      <c r="M24" s="88" t="n">
        <v>0.71862562748745</v>
      </c>
      <c r="N24" s="49" t="inlineStr">
        <is>
          <t>样本不足，不能判定时段差异</t>
        </is>
      </c>
      <c r="O24" s="49" t="inlineStr">
        <is>
          <t>继续积累样本</t>
        </is>
      </c>
    </row>
    <row r="26" ht="23" customHeight="1" s="78">
      <c r="A26" s="10" t="inlineStr">
        <is>
          <t>结论</t>
        </is>
      </c>
    </row>
    <row r="27" ht="48" customHeight="1" s="78">
      <c r="A27" s="11" t="inlineStr">
        <is>
          <t>组合层面：全部观点周中胜率65.8%、周末74.4%，置换检验p=0.346，仍不支持总体存在显著周中/周末差异。美国正买的周中样本降至20.0%、-4.670u，周末2场均红，虽未满足正式显著性样本要求，但已形成明确风险提示：美国正买暂以周末观察、周中谨慎或停用；其余组合暂不设统一时段硬过滤。</t>
        </is>
      </c>
    </row>
    <row r="28" ht="48" customHeight="1" s="78"/>
  </sheetData>
  <mergeCells count="5">
    <mergeCell ref="A26:O26"/>
    <mergeCell ref="A2:O2"/>
    <mergeCell ref="A1:O1"/>
    <mergeCell ref="A27:O28"/>
    <mergeCell ref="A9:O9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2026-10-03T15:16:28Z</dcterms:created>
  <dcterms:modified xmlns:dcterms="http://purl.org/dc/terms/" xmlns:xsi="http://www.w3.org/2001/XMLSchema-instance" xsi:type="dcterms:W3CDTF">2026-10-07T23:51:11Z</dcterms:modified>
  <cp:lastModifiedBy>simon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2125A9C28B224E82BF4153733F5B2C43_13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